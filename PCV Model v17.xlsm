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trlProps/ctrlProp5.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1130" yWindow="600" windowWidth="11910" windowHeight="8460" activeTab="3"/>
  </bookViews>
  <sheets>
    <sheet name="Control Logic" sheetId="4" r:id="rId1"/>
    <sheet name="Real Time Clock Generator" sheetId="1" state="hidden" r:id="rId2"/>
    <sheet name="Lung Model" sheetId="2" state="hidden" r:id="rId3"/>
    <sheet name="Drive table generator" sheetId="12" r:id="rId4"/>
    <sheet name="Delete me" sheetId="11" r:id="rId5"/>
  </sheets>
  <functionGroups builtInGroupCount="17"/>
  <definedNames>
    <definedName name="_E">#REF!</definedName>
    <definedName name="_FI02">'Control Logic'!$E$23</definedName>
    <definedName name="_K1">#REF!</definedName>
    <definedName name="_Kf">#REF!</definedName>
    <definedName name="_Kv">#REF!</definedName>
    <definedName name="_Pm">#REF!</definedName>
    <definedName name="_R0">#REF!</definedName>
    <definedName name="_RC">#REF!</definedName>
    <definedName name="_t_step">#REF!</definedName>
    <definedName name="_t1">#REF!</definedName>
    <definedName name="_t2">#REF!</definedName>
    <definedName name="_timeAxis">#REF!</definedName>
    <definedName name="_V">#REF!</definedName>
    <definedName name="_V_dot">#REF!</definedName>
    <definedName name="drive_table_as_string">'Drive table generator'!$T$6</definedName>
    <definedName name="elapsed">'Drive table generator'!$F$63</definedName>
    <definedName name="Exhelation_Time">'Control Logic'!$E$33</definedName>
    <definedName name="Exhelation_Time_RT">'Control Logic'!$H$33</definedName>
    <definedName name="I_E_Ratio">'Control Logic'!$E$21</definedName>
    <definedName name="ieRatio">'Drive table generator'!$F$57</definedName>
    <definedName name="inhale_driver_table">'Drive table generator'!$S$6:$S$106</definedName>
    <definedName name="inhale_grad">'Drive table generator'!$F$4:$F$6</definedName>
    <definedName name="inhale_target">'Drive table generator'!$D$4:$D$7</definedName>
    <definedName name="Inhelation_time">'Control Logic'!$E$32</definedName>
    <definedName name="Inhelation_Time_RT">'Control Logic'!$H$32</definedName>
    <definedName name="Inspiratory_pressure_level">'Control Logic'!$E$19</definedName>
    <definedName name="iPlusE">'Drive table generator'!$F$59</definedName>
    <definedName name="Min_Tidal_vol_alert">'Control Logic'!$E$24</definedName>
    <definedName name="modelOut">#REF!</definedName>
    <definedName name="PEEP">'Control Logic'!$E$20</definedName>
    <definedName name="Pressure_Switch_Off_Time">'Control Logic'!$E$28</definedName>
    <definedName name="Pressure_Switch_On_Time">'Control Logic'!$E$27</definedName>
    <definedName name="Respatory_rate">'Control Logic'!$E$22</definedName>
    <definedName name="RTC_Calibration" localSheetId="0">'Control Logic'!#REF!</definedName>
    <definedName name="RTC_Calibration">'Real Time Clock Generator'!$E$4</definedName>
    <definedName name="RTC_to_seconds" localSheetId="0">'Control Logic'!$C$35</definedName>
    <definedName name="RTC_to_seconds">'Real Time Clock Generator'!#REF!</definedName>
    <definedName name="segment">'Drive table generator'!$C$4:$C$7</definedName>
    <definedName name="ticks_per_exhale">'Drive table generator'!$F$61</definedName>
    <definedName name="ticks_per_inhale">'Drive table generator'!$F$60</definedName>
    <definedName name="ticksPerBreath">'Drive table generator'!$F$55</definedName>
    <definedName name="time_for_breath_RT">'Control Logic'!$H$31</definedName>
    <definedName name="time_per_breath">'Control Logic'!$E$31</definedName>
  </definedNames>
  <calcPr calcId="145621"/>
</workbook>
</file>

<file path=xl/calcChain.xml><?xml version="1.0" encoding="utf-8"?>
<calcChain xmlns="http://schemas.openxmlformats.org/spreadsheetml/2006/main">
  <c r="F58" i="12" l="1"/>
  <c r="F5" i="12" l="1"/>
  <c r="F6" i="12"/>
  <c r="F4" i="12"/>
  <c r="F59" i="12" l="1"/>
  <c r="F53" i="12"/>
  <c r="F55" i="12" s="1"/>
  <c r="F61" i="12" l="1"/>
  <c r="F60" i="12"/>
  <c r="F64" i="12" s="1"/>
  <c r="Q24" i="11"/>
  <c r="Q23" i="11"/>
  <c r="Q25" i="11" s="1"/>
  <c r="E21" i="11"/>
  <c r="E25" i="11"/>
  <c r="E24" i="11"/>
  <c r="E19" i="11"/>
  <c r="K8" i="11"/>
  <c r="H9" i="11"/>
  <c r="H10" i="11" s="1"/>
  <c r="E9" i="11"/>
  <c r="E10" i="11"/>
  <c r="E11" i="11"/>
  <c r="E12" i="11"/>
  <c r="E13" i="11"/>
  <c r="E8" i="11"/>
  <c r="H61" i="12" l="1"/>
  <c r="Q26" i="11"/>
  <c r="Y1008" i="12"/>
  <c r="Y1016" i="12"/>
  <c r="Y1024" i="12"/>
  <c r="Y1032" i="12"/>
  <c r="Y1040" i="12"/>
  <c r="Y1048" i="12"/>
  <c r="Y1056" i="12"/>
  <c r="Y1064" i="12"/>
  <c r="Y1072" i="12"/>
  <c r="Y1080" i="12"/>
  <c r="Y1088" i="12"/>
  <c r="Y1096" i="12"/>
  <c r="Y1104" i="12"/>
  <c r="Y1112" i="12"/>
  <c r="Y1120" i="12"/>
  <c r="Y1128" i="12"/>
  <c r="Y1136" i="12"/>
  <c r="Y1144" i="12"/>
  <c r="Y1152" i="12"/>
  <c r="Y1160" i="12"/>
  <c r="Y1168" i="12"/>
  <c r="Y1176" i="12"/>
  <c r="Y1184" i="12"/>
  <c r="Y1192" i="12"/>
  <c r="Y1200" i="12"/>
  <c r="Y1208" i="12"/>
  <c r="Y1216" i="12"/>
  <c r="Y1224" i="12"/>
  <c r="Y1232" i="12"/>
  <c r="Y1240" i="12"/>
  <c r="Y1248" i="12"/>
  <c r="Y1256" i="12"/>
  <c r="Y1264" i="12"/>
  <c r="Y1272" i="12"/>
  <c r="Y1280" i="12"/>
  <c r="Y1288" i="12"/>
  <c r="Y1296" i="12"/>
  <c r="Y1304" i="12"/>
  <c r="Y1312" i="12"/>
  <c r="Y1320" i="12"/>
  <c r="Y1328" i="12"/>
  <c r="Y1336" i="12"/>
  <c r="Y1344" i="12"/>
  <c r="Y1352" i="12"/>
  <c r="Y1360" i="12"/>
  <c r="Y1368" i="12"/>
  <c r="Y1376" i="12"/>
  <c r="Y1384" i="12"/>
  <c r="Y1392" i="12"/>
  <c r="Y1400" i="12"/>
  <c r="Y1408" i="12"/>
  <c r="Y1416" i="12"/>
  <c r="Y1424" i="12"/>
  <c r="Y1432" i="12"/>
  <c r="Y1440" i="12"/>
  <c r="Y1448" i="12"/>
  <c r="Y1456" i="12"/>
  <c r="Y1009" i="12"/>
  <c r="Y1017" i="12"/>
  <c r="Y1025" i="12"/>
  <c r="Y1033" i="12"/>
  <c r="Y1041" i="12"/>
  <c r="Y1049" i="12"/>
  <c r="Y1057" i="12"/>
  <c r="Y1065" i="12"/>
  <c r="Y1073" i="12"/>
  <c r="Y1081" i="12"/>
  <c r="Y1089" i="12"/>
  <c r="Y1097" i="12"/>
  <c r="Y1105" i="12"/>
  <c r="Y1113" i="12"/>
  <c r="Y1121" i="12"/>
  <c r="Y1129" i="12"/>
  <c r="Y1137" i="12"/>
  <c r="Y1145" i="12"/>
  <c r="Y1153" i="12"/>
  <c r="Y1161" i="12"/>
  <c r="Y1169" i="12"/>
  <c r="Y1177" i="12"/>
  <c r="Y1185" i="12"/>
  <c r="Y1193" i="12"/>
  <c r="Y1201" i="12"/>
  <c r="Y1209" i="12"/>
  <c r="Y1217" i="12"/>
  <c r="Y1010" i="12"/>
  <c r="Y1018" i="12"/>
  <c r="Y1026" i="12"/>
  <c r="Y1034" i="12"/>
  <c r="Y1042" i="12"/>
  <c r="Y1050" i="12"/>
  <c r="Y1058" i="12"/>
  <c r="Y1066" i="12"/>
  <c r="Y1074" i="12"/>
  <c r="Y1082" i="12"/>
  <c r="Y1090" i="12"/>
  <c r="Y1098" i="12"/>
  <c r="Y1106" i="12"/>
  <c r="Y1114" i="12"/>
  <c r="Y1122" i="12"/>
  <c r="Y1130" i="12"/>
  <c r="Y1138" i="12"/>
  <c r="Y1146" i="12"/>
  <c r="Y1154" i="12"/>
  <c r="Y1162" i="12"/>
  <c r="Y1170" i="12"/>
  <c r="Y1178" i="12"/>
  <c r="Y1186" i="12"/>
  <c r="Y1194" i="12"/>
  <c r="Y1202" i="12"/>
  <c r="Y1210" i="12"/>
  <c r="Y1218" i="12"/>
  <c r="Y1226" i="12"/>
  <c r="Y1234" i="12"/>
  <c r="Y1242" i="12"/>
  <c r="Y1250" i="12"/>
  <c r="Y1258" i="12"/>
  <c r="Y1266" i="12"/>
  <c r="Y1274" i="12"/>
  <c r="Y1282" i="12"/>
  <c r="Y1011" i="12"/>
  <c r="Y1019" i="12"/>
  <c r="Y1027" i="12"/>
  <c r="Y1035" i="12"/>
  <c r="Y1043" i="12"/>
  <c r="Y1051" i="12"/>
  <c r="Y1059" i="12"/>
  <c r="Y1067" i="12"/>
  <c r="Y1075" i="12"/>
  <c r="Y1083" i="12"/>
  <c r="Y1091" i="12"/>
  <c r="Y1099" i="12"/>
  <c r="Y1107" i="12"/>
  <c r="Y1115" i="12"/>
  <c r="Y1123" i="12"/>
  <c r="Y1131" i="12"/>
  <c r="Y1139" i="12"/>
  <c r="Y1147" i="12"/>
  <c r="Y1155" i="12"/>
  <c r="Y1163" i="12"/>
  <c r="Y1171" i="12"/>
  <c r="Y1179" i="12"/>
  <c r="Y1187" i="12"/>
  <c r="Y1195" i="12"/>
  <c r="Y1203" i="12"/>
  <c r="Y1211" i="12"/>
  <c r="Y1219" i="12"/>
  <c r="Y1227" i="12"/>
  <c r="Y1235" i="12"/>
  <c r="Y1243" i="12"/>
  <c r="Y1251" i="12"/>
  <c r="Y1259" i="12"/>
  <c r="Y1267" i="12"/>
  <c r="Y1275" i="12"/>
  <c r="Y1283" i="12"/>
  <c r="Y1291" i="12"/>
  <c r="Y1299" i="12"/>
  <c r="Y1307" i="12"/>
  <c r="Y1315" i="12"/>
  <c r="Y1323" i="12"/>
  <c r="Y1331" i="12"/>
  <c r="Y1339" i="12"/>
  <c r="Y1347" i="12"/>
  <c r="Y1355" i="12"/>
  <c r="Y1363" i="12"/>
  <c r="Y1371" i="12"/>
  <c r="Y1379" i="12"/>
  <c r="Y1387" i="12"/>
  <c r="Y1395" i="12"/>
  <c r="Y1403" i="12"/>
  <c r="Y1411" i="12"/>
  <c r="Y1419" i="12"/>
  <c r="Y1427" i="12"/>
  <c r="Y1435" i="12"/>
  <c r="Y1443" i="12"/>
  <c r="Y1451" i="12"/>
  <c r="Y1459" i="12"/>
  <c r="Y1467" i="12"/>
  <c r="Y1475" i="12"/>
  <c r="Y1483" i="12"/>
  <c r="Y1491" i="12"/>
  <c r="Y1499" i="12"/>
  <c r="Y1507" i="12"/>
  <c r="Y1515" i="12"/>
  <c r="Y1523" i="12"/>
  <c r="Y1531" i="12"/>
  <c r="Y1539" i="12"/>
  <c r="Y1547" i="12"/>
  <c r="Y1555" i="12"/>
  <c r="Y1563" i="12"/>
  <c r="Y1571" i="12"/>
  <c r="Y1579" i="12"/>
  <c r="Y1587" i="12"/>
  <c r="Y1595" i="12"/>
  <c r="Y1603" i="12"/>
  <c r="Y1611" i="12"/>
  <c r="Y1619" i="12"/>
  <c r="Y1627" i="12"/>
  <c r="Y1635" i="12"/>
  <c r="Y1643" i="12"/>
  <c r="Y1651" i="12"/>
  <c r="Y1659" i="12"/>
  <c r="Y1667" i="12"/>
  <c r="Y1675" i="12"/>
  <c r="Y1012" i="12"/>
  <c r="Y1020" i="12"/>
  <c r="Y1028" i="12"/>
  <c r="Y1036" i="12"/>
  <c r="Y1044" i="12"/>
  <c r="Y1052" i="12"/>
  <c r="Y1060" i="12"/>
  <c r="Y1068" i="12"/>
  <c r="Y1076" i="12"/>
  <c r="Y1084" i="12"/>
  <c r="Y1092" i="12"/>
  <c r="Y1100" i="12"/>
  <c r="Y1108" i="12"/>
  <c r="Y1116" i="12"/>
  <c r="Y1124" i="12"/>
  <c r="Y1132" i="12"/>
  <c r="Y1140" i="12"/>
  <c r="Y1148" i="12"/>
  <c r="Y1156" i="12"/>
  <c r="Y1164" i="12"/>
  <c r="Y1172" i="12"/>
  <c r="Y1180" i="12"/>
  <c r="Y1188" i="12"/>
  <c r="Y1196" i="12"/>
  <c r="Y1204" i="12"/>
  <c r="Y1212" i="12"/>
  <c r="Y1220" i="12"/>
  <c r="Y1228" i="12"/>
  <c r="Y1236" i="12"/>
  <c r="Y1244" i="12"/>
  <c r="Y1252" i="12"/>
  <c r="Y1260" i="12"/>
  <c r="Y1268" i="12"/>
  <c r="Y1276" i="12"/>
  <c r="Y1284" i="12"/>
  <c r="Y1292" i="12"/>
  <c r="Y1300" i="12"/>
  <c r="Y1308" i="12"/>
  <c r="Y1316" i="12"/>
  <c r="Y1324" i="12"/>
  <c r="Y1332" i="12"/>
  <c r="Y1340" i="12"/>
  <c r="Y1348" i="12"/>
  <c r="Y1356" i="12"/>
  <c r="Y1364" i="12"/>
  <c r="Y1372" i="12"/>
  <c r="Y1380" i="12"/>
  <c r="Y1388" i="12"/>
  <c r="Y1396" i="12"/>
  <c r="Y1404" i="12"/>
  <c r="Y1412" i="12"/>
  <c r="Y1420" i="12"/>
  <c r="Y1428" i="12"/>
  <c r="Y1436" i="12"/>
  <c r="Y1444" i="12"/>
  <c r="Y1452" i="12"/>
  <c r="Y1013" i="12"/>
  <c r="Y1021" i="12"/>
  <c r="Y1029" i="12"/>
  <c r="Y1037" i="12"/>
  <c r="Y1045" i="12"/>
  <c r="Y1053" i="12"/>
  <c r="Y1061" i="12"/>
  <c r="Y1069" i="12"/>
  <c r="Y1077" i="12"/>
  <c r="Y1085" i="12"/>
  <c r="Y1093" i="12"/>
  <c r="Y1101" i="12"/>
  <c r="Y1109" i="12"/>
  <c r="Y1117" i="12"/>
  <c r="Y1125" i="12"/>
  <c r="Y1133" i="12"/>
  <c r="Y1141" i="12"/>
  <c r="Y1149" i="12"/>
  <c r="Y1157" i="12"/>
  <c r="Y1165" i="12"/>
  <c r="Y1173" i="12"/>
  <c r="Y1181" i="12"/>
  <c r="Y1189" i="12"/>
  <c r="Y1197" i="12"/>
  <c r="Y1205" i="12"/>
  <c r="Y1213" i="12"/>
  <c r="Y1014" i="12"/>
  <c r="Y1022" i="12"/>
  <c r="Y1030" i="12"/>
  <c r="Y1038" i="12"/>
  <c r="Y1046" i="12"/>
  <c r="Y1054" i="12"/>
  <c r="Y1062" i="12"/>
  <c r="Y1070" i="12"/>
  <c r="Y1078" i="12"/>
  <c r="Y1086" i="12"/>
  <c r="Y1094" i="12"/>
  <c r="Y1102" i="12"/>
  <c r="Y1110" i="12"/>
  <c r="Y1118" i="12"/>
  <c r="Y1126" i="12"/>
  <c r="Y1134" i="12"/>
  <c r="Y1142" i="12"/>
  <c r="Y1150" i="12"/>
  <c r="Y1158" i="12"/>
  <c r="Y1166" i="12"/>
  <c r="Y1174" i="12"/>
  <c r="Y1182" i="12"/>
  <c r="Y1190" i="12"/>
  <c r="Y1198" i="12"/>
  <c r="Y1206" i="12"/>
  <c r="Y1214" i="12"/>
  <c r="Y1222" i="12"/>
  <c r="Y1230" i="12"/>
  <c r="Y1238" i="12"/>
  <c r="Y1246" i="12"/>
  <c r="Y1254" i="12"/>
  <c r="Y1262" i="12"/>
  <c r="Y1270" i="12"/>
  <c r="Y1278" i="12"/>
  <c r="Y1015" i="12"/>
  <c r="Y1023" i="12"/>
  <c r="Y1031" i="12"/>
  <c r="Y1039" i="12"/>
  <c r="Y1047" i="12"/>
  <c r="Y1055" i="12"/>
  <c r="Y1063" i="12"/>
  <c r="Y1071" i="12"/>
  <c r="Y1079" i="12"/>
  <c r="Y1087" i="12"/>
  <c r="Y1095" i="12"/>
  <c r="Y1103" i="12"/>
  <c r="Y1111" i="12"/>
  <c r="Y1119" i="12"/>
  <c r="Y1127" i="12"/>
  <c r="Y1135" i="12"/>
  <c r="Y1143" i="12"/>
  <c r="Y1151" i="12"/>
  <c r="Y1159" i="12"/>
  <c r="Y1167" i="12"/>
  <c r="Y1175" i="12"/>
  <c r="Y1183" i="12"/>
  <c r="Y1191" i="12"/>
  <c r="Y1199" i="12"/>
  <c r="Y1207" i="12"/>
  <c r="Y1215" i="12"/>
  <c r="Y1223" i="12"/>
  <c r="Y1231" i="12"/>
  <c r="Y1239" i="12"/>
  <c r="Y1247" i="12"/>
  <c r="Y1255" i="12"/>
  <c r="Y1263" i="12"/>
  <c r="Y1271" i="12"/>
  <c r="Y1279" i="12"/>
  <c r="Y1287" i="12"/>
  <c r="Y1295" i="12"/>
  <c r="Y1303" i="12"/>
  <c r="Y1311" i="12"/>
  <c r="Y1319" i="12"/>
  <c r="Y1327" i="12"/>
  <c r="Y1335" i="12"/>
  <c r="Y1343" i="12"/>
  <c r="Y1351" i="12"/>
  <c r="Y1359" i="12"/>
  <c r="Y1367" i="12"/>
  <c r="Y1375" i="12"/>
  <c r="Y1383" i="12"/>
  <c r="Y1391" i="12"/>
  <c r="Y1399" i="12"/>
  <c r="Y1407" i="12"/>
  <c r="Y1415" i="12"/>
  <c r="Y1423" i="12"/>
  <c r="Y1431" i="12"/>
  <c r="Y1439" i="12"/>
  <c r="Y1447" i="12"/>
  <c r="Y1455" i="12"/>
  <c r="Y1463" i="12"/>
  <c r="Y1471" i="12"/>
  <c r="Y1479" i="12"/>
  <c r="Y1487" i="12"/>
  <c r="Y1495" i="12"/>
  <c r="Y1503" i="12"/>
  <c r="Y1511" i="12"/>
  <c r="Y1519" i="12"/>
  <c r="Y1527" i="12"/>
  <c r="Y1535" i="12"/>
  <c r="Y1543" i="12"/>
  <c r="Y1551" i="12"/>
  <c r="Y1559" i="12"/>
  <c r="Y1567" i="12"/>
  <c r="Y1575" i="12"/>
  <c r="Y1583" i="12"/>
  <c r="Y1591" i="12"/>
  <c r="Y1599" i="12"/>
  <c r="Y1607" i="12"/>
  <c r="Y1615" i="12"/>
  <c r="Y1623" i="12"/>
  <c r="Y1631" i="12"/>
  <c r="Y1639" i="12"/>
  <c r="Y1647" i="12"/>
  <c r="Y1655" i="12"/>
  <c r="Y1663" i="12"/>
  <c r="Y1671" i="12"/>
  <c r="Y1679" i="12"/>
  <c r="Y1687" i="12"/>
  <c r="Y1221" i="12"/>
  <c r="Y1253" i="12"/>
  <c r="Y1285" i="12"/>
  <c r="Y1301" i="12"/>
  <c r="Y1317" i="12"/>
  <c r="Y1333" i="12"/>
  <c r="Y1349" i="12"/>
  <c r="Y1365" i="12"/>
  <c r="Y1381" i="12"/>
  <c r="Y1397" i="12"/>
  <c r="Y1413" i="12"/>
  <c r="Y1429" i="12"/>
  <c r="Y1445" i="12"/>
  <c r="Y1460" i="12"/>
  <c r="Y1470" i="12"/>
  <c r="Y1492" i="12"/>
  <c r="Y1502" i="12"/>
  <c r="Y1513" i="12"/>
  <c r="Y1524" i="12"/>
  <c r="Y1545" i="12"/>
  <c r="Y1566" i="12"/>
  <c r="Y1588" i="12"/>
  <c r="Y1609" i="12"/>
  <c r="Y1641" i="12"/>
  <c r="Y1662" i="12"/>
  <c r="Y1692" i="12"/>
  <c r="Y1708" i="12"/>
  <c r="Y1225" i="12"/>
  <c r="Y1257" i="12"/>
  <c r="Y1286" i="12"/>
  <c r="Y1302" i="12"/>
  <c r="Y1318" i="12"/>
  <c r="Y1334" i="12"/>
  <c r="Y1350" i="12"/>
  <c r="Y1366" i="12"/>
  <c r="Y1229" i="12"/>
  <c r="Y1261" i="12"/>
  <c r="Y1289" i="12"/>
  <c r="Y1305" i="12"/>
  <c r="Y1233" i="12"/>
  <c r="Y1265" i="12"/>
  <c r="Y1290" i="12"/>
  <c r="Y1306" i="12"/>
  <c r="Y1322" i="12"/>
  <c r="Y1338" i="12"/>
  <c r="Y1354" i="12"/>
  <c r="Y1370" i="12"/>
  <c r="Y1386" i="12"/>
  <c r="Y1402" i="12"/>
  <c r="Y1418" i="12"/>
  <c r="Y1434" i="12"/>
  <c r="Y1450" i="12"/>
  <c r="Y1464" i="12"/>
  <c r="Y1474" i="12"/>
  <c r="Y1485" i="12"/>
  <c r="Y1496" i="12"/>
  <c r="Y1506" i="12"/>
  <c r="Y1517" i="12"/>
  <c r="Y1528" i="12"/>
  <c r="Y1538" i="12"/>
  <c r="Y1549" i="12"/>
  <c r="Y1560" i="12"/>
  <c r="Y1570" i="12"/>
  <c r="Y1581" i="12"/>
  <c r="Y1592" i="12"/>
  <c r="Y1602" i="12"/>
  <c r="Y1613" i="12"/>
  <c r="Y1624" i="12"/>
  <c r="Y1634" i="12"/>
  <c r="Y1645" i="12"/>
  <c r="Y1656" i="12"/>
  <c r="Y1666" i="12"/>
  <c r="Y1677" i="12"/>
  <c r="Y1686" i="12"/>
  <c r="Y1695" i="12"/>
  <c r="Y1703" i="12"/>
  <c r="Y1711" i="12"/>
  <c r="Y1719" i="12"/>
  <c r="Y1727" i="12"/>
  <c r="Y1735" i="12"/>
  <c r="Y1743" i="12"/>
  <c r="Y1751" i="12"/>
  <c r="Y1759" i="12"/>
  <c r="Y1767" i="12"/>
  <c r="Y1775" i="12"/>
  <c r="Y1783" i="12"/>
  <c r="Y1791" i="12"/>
  <c r="Y1799" i="12"/>
  <c r="Y1807" i="12"/>
  <c r="Y1815" i="12"/>
  <c r="Y1823" i="12"/>
  <c r="Y1831" i="12"/>
  <c r="Y1839" i="12"/>
  <c r="Y1847" i="12"/>
  <c r="Y1855" i="12"/>
  <c r="Y1863" i="12"/>
  <c r="Y1871" i="12"/>
  <c r="Y1879" i="12"/>
  <c r="Y1887" i="12"/>
  <c r="Y1895" i="12"/>
  <c r="Y1903" i="12"/>
  <c r="Y1911" i="12"/>
  <c r="Y1919" i="12"/>
  <c r="Y1927" i="12"/>
  <c r="Y1935" i="12"/>
  <c r="Y1943" i="12"/>
  <c r="Y1951" i="12"/>
  <c r="Y1959" i="12"/>
  <c r="Y1967" i="12"/>
  <c r="Y1975" i="12"/>
  <c r="Y1983" i="12"/>
  <c r="Y1991" i="12"/>
  <c r="Y1999" i="12"/>
  <c r="Y2007" i="12"/>
  <c r="Y1486" i="12"/>
  <c r="Y1540" i="12"/>
  <c r="Y1561" i="12"/>
  <c r="Y1582" i="12"/>
  <c r="Y1604" i="12"/>
  <c r="Y1625" i="12"/>
  <c r="Y1646" i="12"/>
  <c r="Y1657" i="12"/>
  <c r="Y1678" i="12"/>
  <c r="Y1696" i="12"/>
  <c r="Y1237" i="12"/>
  <c r="Y1269" i="12"/>
  <c r="Y1293" i="12"/>
  <c r="Y1309" i="12"/>
  <c r="Y1325" i="12"/>
  <c r="Y1341" i="12"/>
  <c r="Y1357" i="12"/>
  <c r="Y1373" i="12"/>
  <c r="Y1389" i="12"/>
  <c r="Y1405" i="12"/>
  <c r="Y1421" i="12"/>
  <c r="Y1437" i="12"/>
  <c r="Y1453" i="12"/>
  <c r="Y1465" i="12"/>
  <c r="Y1476" i="12"/>
  <c r="Y1497" i="12"/>
  <c r="Y1508" i="12"/>
  <c r="Y1518" i="12"/>
  <c r="Y1529" i="12"/>
  <c r="Y1550" i="12"/>
  <c r="Y1572" i="12"/>
  <c r="Y1593" i="12"/>
  <c r="Y1614" i="12"/>
  <c r="Y1636" i="12"/>
  <c r="Y1668" i="12"/>
  <c r="Y1688" i="12"/>
  <c r="Y1704" i="12"/>
  <c r="Y1241" i="12"/>
  <c r="Y1273" i="12"/>
  <c r="Y1294" i="12"/>
  <c r="Y1310" i="12"/>
  <c r="Y1326" i="12"/>
  <c r="Y1342" i="12"/>
  <c r="Y1358" i="12"/>
  <c r="Y1374" i="12"/>
  <c r="Y1245" i="12"/>
  <c r="Y1277" i="12"/>
  <c r="Y1297" i="12"/>
  <c r="Y1313" i="12"/>
  <c r="Y1249" i="12"/>
  <c r="Y1281" i="12"/>
  <c r="Y1298" i="12"/>
  <c r="Y1314" i="12"/>
  <c r="Y1330" i="12"/>
  <c r="Y1346" i="12"/>
  <c r="Y1362" i="12"/>
  <c r="Y1378" i="12"/>
  <c r="Y1394" i="12"/>
  <c r="Y1410" i="12"/>
  <c r="Y1426" i="12"/>
  <c r="Y1442" i="12"/>
  <c r="Y1458" i="12"/>
  <c r="Y1469" i="12"/>
  <c r="Y1480" i="12"/>
  <c r="Y1490" i="12"/>
  <c r="Y1501" i="12"/>
  <c r="Y1512" i="12"/>
  <c r="Y1522" i="12"/>
  <c r="Y1533" i="12"/>
  <c r="Y1544" i="12"/>
  <c r="Y1554" i="12"/>
  <c r="Y1565" i="12"/>
  <c r="Y1576" i="12"/>
  <c r="Y1586" i="12"/>
  <c r="Y1597" i="12"/>
  <c r="Y1608" i="12"/>
  <c r="Y1618" i="12"/>
  <c r="Y1629" i="12"/>
  <c r="Y1640" i="12"/>
  <c r="Y1650" i="12"/>
  <c r="Y1661" i="12"/>
  <c r="Y1672" i="12"/>
  <c r="Y1682" i="12"/>
  <c r="Y1691" i="12"/>
  <c r="Y1699" i="12"/>
  <c r="Y1707" i="12"/>
  <c r="Y1715" i="12"/>
  <c r="Y1723" i="12"/>
  <c r="Y1731" i="12"/>
  <c r="Y1739" i="12"/>
  <c r="Y1747" i="12"/>
  <c r="Y1755" i="12"/>
  <c r="Y1763" i="12"/>
  <c r="Y1771" i="12"/>
  <c r="Y1779" i="12"/>
  <c r="Y1787" i="12"/>
  <c r="Y1795" i="12"/>
  <c r="Y1803" i="12"/>
  <c r="Y1811" i="12"/>
  <c r="Y1819" i="12"/>
  <c r="Y1827" i="12"/>
  <c r="Y1835" i="12"/>
  <c r="Y1843" i="12"/>
  <c r="Y1851" i="12"/>
  <c r="Y1859" i="12"/>
  <c r="Y1867" i="12"/>
  <c r="Y1875" i="12"/>
  <c r="Y1883" i="12"/>
  <c r="Y1891" i="12"/>
  <c r="Y1899" i="12"/>
  <c r="Y1907" i="12"/>
  <c r="Y1915" i="12"/>
  <c r="Y1923" i="12"/>
  <c r="Y1931" i="12"/>
  <c r="Y1939" i="12"/>
  <c r="Y1947" i="12"/>
  <c r="Y1955" i="12"/>
  <c r="Y1963" i="12"/>
  <c r="Y1971" i="12"/>
  <c r="Y1979" i="12"/>
  <c r="Y1987" i="12"/>
  <c r="Y1995" i="12"/>
  <c r="Y2003" i="12"/>
  <c r="Y1481" i="12"/>
  <c r="Y1534" i="12"/>
  <c r="Y1556" i="12"/>
  <c r="Y1577" i="12"/>
  <c r="Y1598" i="12"/>
  <c r="Y1620" i="12"/>
  <c r="Y1630" i="12"/>
  <c r="Y1652" i="12"/>
  <c r="Y1673" i="12"/>
  <c r="Y1683" i="12"/>
  <c r="Y1700" i="12"/>
  <c r="Y1800" i="12"/>
  <c r="Y1938" i="12"/>
  <c r="Y1970" i="12"/>
  <c r="Y2002" i="12"/>
  <c r="Y1385" i="12"/>
  <c r="Y1449" i="12"/>
  <c r="Y1516" i="12"/>
  <c r="Y1558" i="12"/>
  <c r="Y1601" i="12"/>
  <c r="Y1644" i="12"/>
  <c r="Y1685" i="12"/>
  <c r="Y1716" i="12"/>
  <c r="Y1758" i="12"/>
  <c r="Y1780" i="12"/>
  <c r="Y1801" i="12"/>
  <c r="Y1822" i="12"/>
  <c r="Y1844" i="12"/>
  <c r="Y1865" i="12"/>
  <c r="Y1886" i="12"/>
  <c r="Y1918" i="12"/>
  <c r="Y1940" i="12"/>
  <c r="Y1972" i="12"/>
  <c r="Y2004" i="12"/>
  <c r="Y1562" i="12"/>
  <c r="Y1689" i="12"/>
  <c r="Y1717" i="12"/>
  <c r="Y1760" i="12"/>
  <c r="Y1802" i="12"/>
  <c r="Y1845" i="12"/>
  <c r="Y1888" i="12"/>
  <c r="Y1930" i="12"/>
  <c r="Y1962" i="12"/>
  <c r="Y1994" i="12"/>
  <c r="Y1737" i="12"/>
  <c r="Y1908" i="12"/>
  <c r="Y1961" i="12"/>
  <c r="Y1993" i="12"/>
  <c r="Y1584" i="12"/>
  <c r="Y1648" i="12"/>
  <c r="Y1738" i="12"/>
  <c r="Y1781" i="12"/>
  <c r="Y1824" i="12"/>
  <c r="Y1866" i="12"/>
  <c r="Y1920" i="12"/>
  <c r="Y1973" i="12"/>
  <c r="Y2005" i="12"/>
  <c r="Y1337" i="12"/>
  <c r="Y1390" i="12"/>
  <c r="Y1422" i="12"/>
  <c r="Y1454" i="12"/>
  <c r="Y1477" i="12"/>
  <c r="Y1498" i="12"/>
  <c r="Y1541" i="12"/>
  <c r="Y1605" i="12"/>
  <c r="Y1669" i="12"/>
  <c r="Y1749" i="12"/>
  <c r="Y1792" i="12"/>
  <c r="Y1856" i="12"/>
  <c r="Y1898" i="12"/>
  <c r="Y1952" i="12"/>
  <c r="Y1345" i="12"/>
  <c r="Y1393" i="12"/>
  <c r="Y1425" i="12"/>
  <c r="Y1457" i="12"/>
  <c r="Y1478" i="12"/>
  <c r="Y1500" i="12"/>
  <c r="Y1521" i="12"/>
  <c r="Y1542" i="12"/>
  <c r="Y1564" i="12"/>
  <c r="Y1585" i="12"/>
  <c r="Y1606" i="12"/>
  <c r="Y1628" i="12"/>
  <c r="Y1649" i="12"/>
  <c r="Y1670" i="12"/>
  <c r="Y1690" i="12"/>
  <c r="Y1706" i="12"/>
  <c r="Y1718" i="12"/>
  <c r="Y1729" i="12"/>
  <c r="Y1740" i="12"/>
  <c r="Y1750" i="12"/>
  <c r="Y1761" i="12"/>
  <c r="Y1772" i="12"/>
  <c r="Y1782" i="12"/>
  <c r="Y1793" i="12"/>
  <c r="Y1804" i="12"/>
  <c r="Y1814" i="12"/>
  <c r="Y1825" i="12"/>
  <c r="Y1836" i="12"/>
  <c r="Y1846" i="12"/>
  <c r="Y1857" i="12"/>
  <c r="Y1868" i="12"/>
  <c r="Y1878" i="12"/>
  <c r="Y1889" i="12"/>
  <c r="Y1900" i="12"/>
  <c r="Y1910" i="12"/>
  <c r="Y1921" i="12"/>
  <c r="Y1932" i="12"/>
  <c r="Y1942" i="12"/>
  <c r="Y1953" i="12"/>
  <c r="Y1964" i="12"/>
  <c r="Y1974" i="12"/>
  <c r="Y1985" i="12"/>
  <c r="Y1996" i="12"/>
  <c r="Y2006" i="12"/>
  <c r="Y1353" i="12"/>
  <c r="Y1398" i="12"/>
  <c r="Y1430" i="12"/>
  <c r="Y1461" i="12"/>
  <c r="Y1482" i="12"/>
  <c r="Y1504" i="12"/>
  <c r="Y1525" i="12"/>
  <c r="Y1546" i="12"/>
  <c r="Y1568" i="12"/>
  <c r="Y1589" i="12"/>
  <c r="Y1610" i="12"/>
  <c r="Y1632" i="12"/>
  <c r="Y1653" i="12"/>
  <c r="Y1674" i="12"/>
  <c r="Y1693" i="12"/>
  <c r="Y1709" i="12"/>
  <c r="Y1720" i="12"/>
  <c r="Y1730" i="12"/>
  <c r="Y1741" i="12"/>
  <c r="Y1752" i="12"/>
  <c r="Y1762" i="12"/>
  <c r="Y1773" i="12"/>
  <c r="Y1784" i="12"/>
  <c r="Y1794" i="12"/>
  <c r="Y1805" i="12"/>
  <c r="Y1816" i="12"/>
  <c r="Y1826" i="12"/>
  <c r="Y1848" i="12"/>
  <c r="Y1858" i="12"/>
  <c r="Y1869" i="12"/>
  <c r="Y1880" i="12"/>
  <c r="Y1890" i="12"/>
  <c r="Y1901" i="12"/>
  <c r="Y1912" i="12"/>
  <c r="Y1922" i="12"/>
  <c r="Y1933" i="12"/>
  <c r="Y1944" i="12"/>
  <c r="Y1954" i="12"/>
  <c r="Y1965" i="12"/>
  <c r="Y1986" i="12"/>
  <c r="Y1997" i="12"/>
  <c r="Y2008" i="12"/>
  <c r="Y1361" i="12"/>
  <c r="Y1433" i="12"/>
  <c r="Y1484" i="12"/>
  <c r="Y1526" i="12"/>
  <c r="Y1569" i="12"/>
  <c r="Y1590" i="12"/>
  <c r="Y1633" i="12"/>
  <c r="Y1676" i="12"/>
  <c r="Y1710" i="12"/>
  <c r="Y1721" i="12"/>
  <c r="Y1742" i="12"/>
  <c r="Y1774" i="12"/>
  <c r="Y1796" i="12"/>
  <c r="Y1806" i="12"/>
  <c r="Y1828" i="12"/>
  <c r="Y1849" i="12"/>
  <c r="Y1870" i="12"/>
  <c r="Y1892" i="12"/>
  <c r="Y1913" i="12"/>
  <c r="Y1945" i="12"/>
  <c r="Y1966" i="12"/>
  <c r="Y1998" i="12"/>
  <c r="Y1530" i="12"/>
  <c r="Y1637" i="12"/>
  <c r="Y1712" i="12"/>
  <c r="Y1754" i="12"/>
  <c r="Y1797" i="12"/>
  <c r="Y1829" i="12"/>
  <c r="Y1872" i="12"/>
  <c r="Y1914" i="12"/>
  <c r="Y1946" i="12"/>
  <c r="Y1989" i="12"/>
  <c r="Y1837" i="12"/>
  <c r="Y1976" i="12"/>
  <c r="Y1401" i="12"/>
  <c r="Y1462" i="12"/>
  <c r="Y1505" i="12"/>
  <c r="Y1548" i="12"/>
  <c r="Y1612" i="12"/>
  <c r="Y1654" i="12"/>
  <c r="Y1694" i="12"/>
  <c r="Y1732" i="12"/>
  <c r="Y1753" i="12"/>
  <c r="Y1785" i="12"/>
  <c r="Y1817" i="12"/>
  <c r="Y1838" i="12"/>
  <c r="Y1860" i="12"/>
  <c r="Y1881" i="12"/>
  <c r="Y1902" i="12"/>
  <c r="Y1934" i="12"/>
  <c r="Y1956" i="12"/>
  <c r="Y1988" i="12"/>
  <c r="Y2009" i="12"/>
  <c r="Y1594" i="12"/>
  <c r="Y1697" i="12"/>
  <c r="Y1733" i="12"/>
  <c r="Y1765" i="12"/>
  <c r="Y1808" i="12"/>
  <c r="Y1850" i="12"/>
  <c r="Y1893" i="12"/>
  <c r="Y1936" i="12"/>
  <c r="Y1968" i="12"/>
  <c r="Y1764" i="12"/>
  <c r="Y1924" i="12"/>
  <c r="Y1977" i="12"/>
  <c r="Y1573" i="12"/>
  <c r="Y1680" i="12"/>
  <c r="Y1744" i="12"/>
  <c r="Y1786" i="12"/>
  <c r="Y1818" i="12"/>
  <c r="Y1861" i="12"/>
  <c r="Y1904" i="12"/>
  <c r="Y1957" i="12"/>
  <c r="Y2000" i="12"/>
  <c r="Y1369" i="12"/>
  <c r="Y1406" i="12"/>
  <c r="Y1438" i="12"/>
  <c r="Y1466" i="12"/>
  <c r="Y1488" i="12"/>
  <c r="Y1509" i="12"/>
  <c r="Y1552" i="12"/>
  <c r="Y1616" i="12"/>
  <c r="Y1658" i="12"/>
  <c r="Y1722" i="12"/>
  <c r="Y1776" i="12"/>
  <c r="Y1840" i="12"/>
  <c r="Y1882" i="12"/>
  <c r="Y1925" i="12"/>
  <c r="Y1978" i="12"/>
  <c r="Y1377" i="12"/>
  <c r="Y1409" i="12"/>
  <c r="Y1441" i="12"/>
  <c r="Y1468" i="12"/>
  <c r="Y1489" i="12"/>
  <c r="Y1510" i="12"/>
  <c r="Y1532" i="12"/>
  <c r="Y1553" i="12"/>
  <c r="Y1574" i="12"/>
  <c r="Y1596" i="12"/>
  <c r="Y1617" i="12"/>
  <c r="Y1638" i="12"/>
  <c r="Y1660" i="12"/>
  <c r="Y1681" i="12"/>
  <c r="Y1698" i="12"/>
  <c r="Y1713" i="12"/>
  <c r="Y1724" i="12"/>
  <c r="Y1734" i="12"/>
  <c r="Y1745" i="12"/>
  <c r="Y1756" i="12"/>
  <c r="Y1766" i="12"/>
  <c r="Y1777" i="12"/>
  <c r="Y1788" i="12"/>
  <c r="Y1798" i="12"/>
  <c r="Y1809" i="12"/>
  <c r="Y1820" i="12"/>
  <c r="Y1830" i="12"/>
  <c r="Y1841" i="12"/>
  <c r="Y1852" i="12"/>
  <c r="Y1862" i="12"/>
  <c r="Y1873" i="12"/>
  <c r="Y1884" i="12"/>
  <c r="Y1894" i="12"/>
  <c r="Y1905" i="12"/>
  <c r="Y1916" i="12"/>
  <c r="Y1926" i="12"/>
  <c r="Y1937" i="12"/>
  <c r="Y1948" i="12"/>
  <c r="Y1958" i="12"/>
  <c r="Y1969" i="12"/>
  <c r="Y1980" i="12"/>
  <c r="Y1990" i="12"/>
  <c r="Y2001" i="12"/>
  <c r="Y1321" i="12"/>
  <c r="Y1382" i="12"/>
  <c r="Y1414" i="12"/>
  <c r="Y1446" i="12"/>
  <c r="Y1472" i="12"/>
  <c r="Y1493" i="12"/>
  <c r="Y1514" i="12"/>
  <c r="Y1536" i="12"/>
  <c r="Y1557" i="12"/>
  <c r="Y1578" i="12"/>
  <c r="Y1600" i="12"/>
  <c r="Y1621" i="12"/>
  <c r="Y1642" i="12"/>
  <c r="Y1664" i="12"/>
  <c r="Y1684" i="12"/>
  <c r="Y1701" i="12"/>
  <c r="Y1714" i="12"/>
  <c r="Y1725" i="12"/>
  <c r="Y1736" i="12"/>
  <c r="Y1746" i="12"/>
  <c r="Y1757" i="12"/>
  <c r="Y1768" i="12"/>
  <c r="Y1778" i="12"/>
  <c r="Y1789" i="12"/>
  <c r="Y1810" i="12"/>
  <c r="Y1821" i="12"/>
  <c r="Y1832" i="12"/>
  <c r="Y1842" i="12"/>
  <c r="Y1853" i="12"/>
  <c r="Y1864" i="12"/>
  <c r="Y1874" i="12"/>
  <c r="Y1885" i="12"/>
  <c r="Y1896" i="12"/>
  <c r="Y1906" i="12"/>
  <c r="Y1917" i="12"/>
  <c r="Y1928" i="12"/>
  <c r="Y1949" i="12"/>
  <c r="Y1960" i="12"/>
  <c r="Y1981" i="12"/>
  <c r="Y1992" i="12"/>
  <c r="Y1329" i="12"/>
  <c r="Y1417" i="12"/>
  <c r="Y1473" i="12"/>
  <c r="Y1494" i="12"/>
  <c r="Y1537" i="12"/>
  <c r="Y1580" i="12"/>
  <c r="Y1622" i="12"/>
  <c r="Y1665" i="12"/>
  <c r="Y1702" i="12"/>
  <c r="Y1726" i="12"/>
  <c r="Y1748" i="12"/>
  <c r="Y1769" i="12"/>
  <c r="Y1790" i="12"/>
  <c r="Y1812" i="12"/>
  <c r="Y1833" i="12"/>
  <c r="Y1854" i="12"/>
  <c r="Y1876" i="12"/>
  <c r="Y1897" i="12"/>
  <c r="Y1929" i="12"/>
  <c r="Y1950" i="12"/>
  <c r="Y1982" i="12"/>
  <c r="Y1520" i="12"/>
  <c r="Y1626" i="12"/>
  <c r="Y1705" i="12"/>
  <c r="Y1728" i="12"/>
  <c r="Y1770" i="12"/>
  <c r="Y1813" i="12"/>
  <c r="Y1834" i="12"/>
  <c r="Y1877" i="12"/>
  <c r="Y1909" i="12"/>
  <c r="Y1941" i="12"/>
  <c r="Y1984" i="12"/>
  <c r="F65" i="12"/>
  <c r="Y25" i="12"/>
  <c r="Y33" i="12"/>
  <c r="Y41" i="12"/>
  <c r="Y49" i="12"/>
  <c r="Y57" i="12"/>
  <c r="Y65" i="12"/>
  <c r="Y73" i="12"/>
  <c r="Y81" i="12"/>
  <c r="Y89" i="12"/>
  <c r="Y97" i="12"/>
  <c r="Y105" i="12"/>
  <c r="Y113" i="12"/>
  <c r="Y121" i="12"/>
  <c r="Y129" i="12"/>
  <c r="Y137" i="12"/>
  <c r="Y145" i="12"/>
  <c r="Y153" i="12"/>
  <c r="Y161" i="12"/>
  <c r="Y169" i="12"/>
  <c r="Y177" i="12"/>
  <c r="Y185" i="12"/>
  <c r="Y193" i="12"/>
  <c r="Y201" i="12"/>
  <c r="Y209" i="12"/>
  <c r="Y217" i="12"/>
  <c r="Y225" i="12"/>
  <c r="Y233" i="12"/>
  <c r="Y241" i="12"/>
  <c r="Y249" i="12"/>
  <c r="Y257" i="12"/>
  <c r="Y265" i="12"/>
  <c r="Y273" i="12"/>
  <c r="Y281" i="12"/>
  <c r="Y289" i="12"/>
  <c r="Y297" i="12"/>
  <c r="Y305" i="12"/>
  <c r="Y313" i="12"/>
  <c r="Y321" i="12"/>
  <c r="Y329" i="12"/>
  <c r="Y337" i="12"/>
  <c r="Y345" i="12"/>
  <c r="Y353" i="12"/>
  <c r="Y361" i="12"/>
  <c r="Y369" i="12"/>
  <c r="Y377" i="12"/>
  <c r="Y385" i="12"/>
  <c r="Y393" i="12"/>
  <c r="Y401" i="12"/>
  <c r="Y409" i="12"/>
  <c r="Y417" i="12"/>
  <c r="Y425" i="12"/>
  <c r="Y433" i="12"/>
  <c r="Y441" i="12"/>
  <c r="Y449" i="12"/>
  <c r="Y457" i="12"/>
  <c r="Y465" i="12"/>
  <c r="Y473" i="12"/>
  <c r="Y481" i="12"/>
  <c r="Y489" i="12"/>
  <c r="Y497" i="12"/>
  <c r="Y505" i="12"/>
  <c r="Y513" i="12"/>
  <c r="Y521" i="12"/>
  <c r="Y529" i="12"/>
  <c r="Y537" i="12"/>
  <c r="Y545" i="12"/>
  <c r="Y553" i="12"/>
  <c r="Y561" i="12"/>
  <c r="Y26" i="12"/>
  <c r="Y34" i="12"/>
  <c r="Y42" i="12"/>
  <c r="Y50" i="12"/>
  <c r="Y58" i="12"/>
  <c r="Y66" i="12"/>
  <c r="Y74" i="12"/>
  <c r="Y82" i="12"/>
  <c r="Y90" i="12"/>
  <c r="Y98" i="12"/>
  <c r="Y106" i="12"/>
  <c r="Y114" i="12"/>
  <c r="Y122" i="12"/>
  <c r="Y130" i="12"/>
  <c r="Y138" i="12"/>
  <c r="Y146" i="12"/>
  <c r="Y154" i="12"/>
  <c r="Y162" i="12"/>
  <c r="Y170" i="12"/>
  <c r="Y178" i="12"/>
  <c r="Y186" i="12"/>
  <c r="Y194" i="12"/>
  <c r="Y202" i="12"/>
  <c r="Y210" i="12"/>
  <c r="Y218" i="12"/>
  <c r="Y226" i="12"/>
  <c r="Y234" i="12"/>
  <c r="Y242" i="12"/>
  <c r="Y250" i="12"/>
  <c r="Y258" i="12"/>
  <c r="Y266" i="12"/>
  <c r="Y274" i="12"/>
  <c r="Y282" i="12"/>
  <c r="Y290" i="12"/>
  <c r="Y298" i="12"/>
  <c r="Y306" i="12"/>
  <c r="Y314" i="12"/>
  <c r="Y322" i="12"/>
  <c r="Y330" i="12"/>
  <c r="Y338" i="12"/>
  <c r="Y346" i="12"/>
  <c r="Y354" i="12"/>
  <c r="Y362" i="12"/>
  <c r="Y370" i="12"/>
  <c r="Y378" i="12"/>
  <c r="Y386" i="12"/>
  <c r="Y394" i="12"/>
  <c r="Y402" i="12"/>
  <c r="Y410" i="12"/>
  <c r="Y418" i="12"/>
  <c r="Y426" i="12"/>
  <c r="Y434" i="12"/>
  <c r="Y442" i="12"/>
  <c r="Y450" i="12"/>
  <c r="Y458" i="12"/>
  <c r="Y466" i="12"/>
  <c r="Y474" i="12"/>
  <c r="Y482" i="12"/>
  <c r="Y490" i="12"/>
  <c r="Y498" i="12"/>
  <c r="Y506" i="12"/>
  <c r="Y514" i="12"/>
  <c r="Y522" i="12"/>
  <c r="Y530" i="12"/>
  <c r="Y538" i="12"/>
  <c r="Y546" i="12"/>
  <c r="Y554" i="12"/>
  <c r="Y562" i="12"/>
  <c r="Y570" i="12"/>
  <c r="Y578" i="12"/>
  <c r="Y586" i="12"/>
  <c r="Y594" i="12"/>
  <c r="Y602" i="12"/>
  <c r="Y610" i="12"/>
  <c r="Y27" i="12"/>
  <c r="Y35" i="12"/>
  <c r="Y43" i="12"/>
  <c r="Y51" i="12"/>
  <c r="Y59" i="12"/>
  <c r="Y67" i="12"/>
  <c r="Y75" i="12"/>
  <c r="Y83" i="12"/>
  <c r="Y91" i="12"/>
  <c r="Y99" i="12"/>
  <c r="Y107" i="12"/>
  <c r="Y115" i="12"/>
  <c r="Y123" i="12"/>
  <c r="Y131" i="12"/>
  <c r="Y139" i="12"/>
  <c r="Y147" i="12"/>
  <c r="Y155" i="12"/>
  <c r="Y163" i="12"/>
  <c r="Y171" i="12"/>
  <c r="Y179" i="12"/>
  <c r="Y187" i="12"/>
  <c r="Y195" i="12"/>
  <c r="Y203" i="12"/>
  <c r="Y211" i="12"/>
  <c r="Y219" i="12"/>
  <c r="Y227" i="12"/>
  <c r="Y235" i="12"/>
  <c r="Y243" i="12"/>
  <c r="Y251" i="12"/>
  <c r="Y259" i="12"/>
  <c r="Y267" i="12"/>
  <c r="Y275" i="12"/>
  <c r="Y283" i="12"/>
  <c r="Y291" i="12"/>
  <c r="Y299" i="12"/>
  <c r="Y307" i="12"/>
  <c r="Y315" i="12"/>
  <c r="Y323" i="12"/>
  <c r="Y331" i="12"/>
  <c r="Y339" i="12"/>
  <c r="Y347" i="12"/>
  <c r="Y355" i="12"/>
  <c r="Y363" i="12"/>
  <c r="Y371" i="12"/>
  <c r="Y379" i="12"/>
  <c r="Y387" i="12"/>
  <c r="Y395" i="12"/>
  <c r="Y403" i="12"/>
  <c r="Y411" i="12"/>
  <c r="Y419" i="12"/>
  <c r="Y427" i="12"/>
  <c r="Y435" i="12"/>
  <c r="Y443" i="12"/>
  <c r="Y451" i="12"/>
  <c r="Y459" i="12"/>
  <c r="Y467" i="12"/>
  <c r="Y475" i="12"/>
  <c r="Y483" i="12"/>
  <c r="Y491" i="12"/>
  <c r="Y499" i="12"/>
  <c r="Y507" i="12"/>
  <c r="Y515" i="12"/>
  <c r="Y523" i="12"/>
  <c r="Y531" i="12"/>
  <c r="Y539" i="12"/>
  <c r="Y547" i="12"/>
  <c r="Y555" i="12"/>
  <c r="Y563" i="12"/>
  <c r="Y571" i="12"/>
  <c r="Y579" i="12"/>
  <c r="Y587" i="12"/>
  <c r="Y28" i="12"/>
  <c r="Y36" i="12"/>
  <c r="Y44" i="12"/>
  <c r="Y52" i="12"/>
  <c r="Y60" i="12"/>
  <c r="Y68" i="12"/>
  <c r="Y76" i="12"/>
  <c r="Y84" i="12"/>
  <c r="Y92" i="12"/>
  <c r="Y100" i="12"/>
  <c r="Y108" i="12"/>
  <c r="Y116" i="12"/>
  <c r="Y124" i="12"/>
  <c r="Y132" i="12"/>
  <c r="Y140" i="12"/>
  <c r="Y148" i="12"/>
  <c r="Y156" i="12"/>
  <c r="Y164" i="12"/>
  <c r="Y172" i="12"/>
  <c r="Y180" i="12"/>
  <c r="Y188" i="12"/>
  <c r="Y196" i="12"/>
  <c r="Y204" i="12"/>
  <c r="Y212" i="12"/>
  <c r="Y220" i="12"/>
  <c r="Y228" i="12"/>
  <c r="Y236" i="12"/>
  <c r="Y244" i="12"/>
  <c r="Y252" i="12"/>
  <c r="Y260" i="12"/>
  <c r="Y268" i="12"/>
  <c r="Y276" i="12"/>
  <c r="Y284" i="12"/>
  <c r="Y292" i="12"/>
  <c r="Y300" i="12"/>
  <c r="Y308" i="12"/>
  <c r="Y316" i="12"/>
  <c r="Y324" i="12"/>
  <c r="Y332" i="12"/>
  <c r="Y340" i="12"/>
  <c r="Y348" i="12"/>
  <c r="Y356" i="12"/>
  <c r="Y364" i="12"/>
  <c r="Y372" i="12"/>
  <c r="Y380" i="12"/>
  <c r="Y388" i="12"/>
  <c r="Y396" i="12"/>
  <c r="Y404" i="12"/>
  <c r="Y412" i="12"/>
  <c r="Y420" i="12"/>
  <c r="Y428" i="12"/>
  <c r="Y436" i="12"/>
  <c r="Y444" i="12"/>
  <c r="Y452" i="12"/>
  <c r="Y460" i="12"/>
  <c r="Y468" i="12"/>
  <c r="Y476" i="12"/>
  <c r="Y484" i="12"/>
  <c r="Y492" i="12"/>
  <c r="Y500" i="12"/>
  <c r="Y508" i="12"/>
  <c r="Y516" i="12"/>
  <c r="Y524" i="12"/>
  <c r="Y532" i="12"/>
  <c r="Y540" i="12"/>
  <c r="Y548" i="12"/>
  <c r="Y556" i="12"/>
  <c r="Y564" i="12"/>
  <c r="Y572" i="12"/>
  <c r="Y580" i="12"/>
  <c r="Y588" i="12"/>
  <c r="Y596" i="12"/>
  <c r="Y604" i="12"/>
  <c r="Y612" i="12"/>
  <c r="Y620" i="12"/>
  <c r="Y628" i="12"/>
  <c r="Y636" i="12"/>
  <c r="Y644" i="12"/>
  <c r="Y652" i="12"/>
  <c r="Y660" i="12"/>
  <c r="Y668" i="12"/>
  <c r="Y676" i="12"/>
  <c r="Y684" i="12"/>
  <c r="Y692" i="12"/>
  <c r="Y29" i="12"/>
  <c r="Y37" i="12"/>
  <c r="Y45" i="12"/>
  <c r="Y53" i="12"/>
  <c r="Y61" i="12"/>
  <c r="Y69" i="12"/>
  <c r="Y77" i="12"/>
  <c r="Y85" i="12"/>
  <c r="Y93" i="12"/>
  <c r="Y101" i="12"/>
  <c r="Y109" i="12"/>
  <c r="Y117" i="12"/>
  <c r="Y125" i="12"/>
  <c r="Y133" i="12"/>
  <c r="Y141" i="12"/>
  <c r="Y149" i="12"/>
  <c r="Y157" i="12"/>
  <c r="Y165" i="12"/>
  <c r="Y173" i="12"/>
  <c r="Y181" i="12"/>
  <c r="Y189" i="12"/>
  <c r="Y197" i="12"/>
  <c r="Y205" i="12"/>
  <c r="Y213" i="12"/>
  <c r="Y221" i="12"/>
  <c r="Y229" i="12"/>
  <c r="Y237" i="12"/>
  <c r="Y245" i="12"/>
  <c r="Y253" i="12"/>
  <c r="Y261" i="12"/>
  <c r="Y269" i="12"/>
  <c r="Y277" i="12"/>
  <c r="Y285" i="12"/>
  <c r="Y293" i="12"/>
  <c r="Y301" i="12"/>
  <c r="Y30" i="12"/>
  <c r="Y38" i="12"/>
  <c r="Y46" i="12"/>
  <c r="Y54" i="12"/>
  <c r="Y62" i="12"/>
  <c r="Y70" i="12"/>
  <c r="Y78" i="12"/>
  <c r="Y86" i="12"/>
  <c r="Y94" i="12"/>
  <c r="Y102" i="12"/>
  <c r="Y110" i="12"/>
  <c r="Y118" i="12"/>
  <c r="Y126" i="12"/>
  <c r="Y134" i="12"/>
  <c r="Y142" i="12"/>
  <c r="Y150" i="12"/>
  <c r="Y158" i="12"/>
  <c r="Y166" i="12"/>
  <c r="Y174" i="12"/>
  <c r="Y182" i="12"/>
  <c r="Y190" i="12"/>
  <c r="Y198" i="12"/>
  <c r="Y206" i="12"/>
  <c r="Y214" i="12"/>
  <c r="Y222" i="12"/>
  <c r="Y230" i="12"/>
  <c r="Y238" i="12"/>
  <c r="Y246" i="12"/>
  <c r="Y254" i="12"/>
  <c r="Y262" i="12"/>
  <c r="Y270" i="12"/>
  <c r="Y278" i="12"/>
  <c r="Y286" i="12"/>
  <c r="Y294" i="12"/>
  <c r="Y302" i="12"/>
  <c r="Y310" i="12"/>
  <c r="Y318" i="12"/>
  <c r="Y326" i="12"/>
  <c r="Y334" i="12"/>
  <c r="Y342" i="12"/>
  <c r="Y350" i="12"/>
  <c r="Y358" i="12"/>
  <c r="Y366" i="12"/>
  <c r="Y374" i="12"/>
  <c r="Y382" i="12"/>
  <c r="Y390" i="12"/>
  <c r="Y398" i="12"/>
  <c r="Y406" i="12"/>
  <c r="Y414" i="12"/>
  <c r="Y422" i="12"/>
  <c r="Y430" i="12"/>
  <c r="Y438" i="12"/>
  <c r="Y446" i="12"/>
  <c r="Y454" i="12"/>
  <c r="Y462" i="12"/>
  <c r="Y470" i="12"/>
  <c r="Y478" i="12"/>
  <c r="Y486" i="12"/>
  <c r="Y494" i="12"/>
  <c r="Y502" i="12"/>
  <c r="Y510" i="12"/>
  <c r="Y518" i="12"/>
  <c r="Y526" i="12"/>
  <c r="Y534" i="12"/>
  <c r="Y542" i="12"/>
  <c r="Y550" i="12"/>
  <c r="Y558" i="12"/>
  <c r="Y566" i="12"/>
  <c r="Y574" i="12"/>
  <c r="Y582" i="12"/>
  <c r="Y590" i="12"/>
  <c r="Y598" i="12"/>
  <c r="Y606" i="12"/>
  <c r="Y31" i="12"/>
  <c r="Y39" i="12"/>
  <c r="Y47" i="12"/>
  <c r="Y55" i="12"/>
  <c r="Y63" i="12"/>
  <c r="Y71" i="12"/>
  <c r="Y79" i="12"/>
  <c r="Y87" i="12"/>
  <c r="Y95" i="12"/>
  <c r="Y103" i="12"/>
  <c r="Y111" i="12"/>
  <c r="Y119" i="12"/>
  <c r="Y127" i="12"/>
  <c r="Y135" i="12"/>
  <c r="Y143" i="12"/>
  <c r="Y151" i="12"/>
  <c r="Y159" i="12"/>
  <c r="Y167" i="12"/>
  <c r="Y175" i="12"/>
  <c r="Y183" i="12"/>
  <c r="Y191" i="12"/>
  <c r="Y199" i="12"/>
  <c r="Y207" i="12"/>
  <c r="Y215" i="12"/>
  <c r="Y223" i="12"/>
  <c r="Y231" i="12"/>
  <c r="Y239" i="12"/>
  <c r="Y247" i="12"/>
  <c r="Y255" i="12"/>
  <c r="Y263" i="12"/>
  <c r="Y271" i="12"/>
  <c r="Y279" i="12"/>
  <c r="Y287" i="12"/>
  <c r="Y295" i="12"/>
  <c r="Y303" i="12"/>
  <c r="Y311" i="12"/>
  <c r="Y319" i="12"/>
  <c r="Y327" i="12"/>
  <c r="Y335" i="12"/>
  <c r="Y343" i="12"/>
  <c r="Y351" i="12"/>
  <c r="Y359" i="12"/>
  <c r="Y367" i="12"/>
  <c r="Y375" i="12"/>
  <c r="Y383" i="12"/>
  <c r="Y391" i="12"/>
  <c r="Y399" i="12"/>
  <c r="Y407" i="12"/>
  <c r="Y415" i="12"/>
  <c r="Y423" i="12"/>
  <c r="Y431" i="12"/>
  <c r="Y439" i="12"/>
  <c r="Y447" i="12"/>
  <c r="Y455" i="12"/>
  <c r="Y463" i="12"/>
  <c r="Y471" i="12"/>
  <c r="Y479" i="12"/>
  <c r="Y487" i="12"/>
  <c r="Y495" i="12"/>
  <c r="Y503" i="12"/>
  <c r="Y511" i="12"/>
  <c r="Y519" i="12"/>
  <c r="Y527" i="12"/>
  <c r="Y535" i="12"/>
  <c r="Y543" i="12"/>
  <c r="Y551" i="12"/>
  <c r="Y559" i="12"/>
  <c r="Y567" i="12"/>
  <c r="Y575" i="12"/>
  <c r="Y583" i="12"/>
  <c r="Y591" i="12"/>
  <c r="Y599" i="12"/>
  <c r="Y607" i="12"/>
  <c r="Y32" i="12"/>
  <c r="Y40" i="12"/>
  <c r="Y48" i="12"/>
  <c r="Y56" i="12"/>
  <c r="Y64" i="12"/>
  <c r="Y72" i="12"/>
  <c r="Y80" i="12"/>
  <c r="Y88" i="12"/>
  <c r="Y96" i="12"/>
  <c r="Y104" i="12"/>
  <c r="Y112" i="12"/>
  <c r="Y120" i="12"/>
  <c r="Y128" i="12"/>
  <c r="Y136" i="12"/>
  <c r="Y144" i="12"/>
  <c r="Y152" i="12"/>
  <c r="Y160" i="12"/>
  <c r="Y168" i="12"/>
  <c r="Y176" i="12"/>
  <c r="Y184" i="12"/>
  <c r="Y192" i="12"/>
  <c r="Y200" i="12"/>
  <c r="Y208" i="12"/>
  <c r="Y216" i="12"/>
  <c r="Y224" i="12"/>
  <c r="Y232" i="12"/>
  <c r="Y240" i="12"/>
  <c r="Y248" i="12"/>
  <c r="Y256" i="12"/>
  <c r="Y264" i="12"/>
  <c r="Y272" i="12"/>
  <c r="Y280" i="12"/>
  <c r="Y288" i="12"/>
  <c r="Y296" i="12"/>
  <c r="Y304" i="12"/>
  <c r="Y312" i="12"/>
  <c r="Y320" i="12"/>
  <c r="Y328" i="12"/>
  <c r="Y336" i="12"/>
  <c r="Y344" i="12"/>
  <c r="Y352" i="12"/>
  <c r="Y360" i="12"/>
  <c r="Y368" i="12"/>
  <c r="Y376" i="12"/>
  <c r="Y384" i="12"/>
  <c r="Y392" i="12"/>
  <c r="Y400" i="12"/>
  <c r="Y408" i="12"/>
  <c r="Y416" i="12"/>
  <c r="Y424" i="12"/>
  <c r="Y432" i="12"/>
  <c r="Y440" i="12"/>
  <c r="Y448" i="12"/>
  <c r="Y456" i="12"/>
  <c r="Y464" i="12"/>
  <c r="Y472" i="12"/>
  <c r="Y480" i="12"/>
  <c r="Y488" i="12"/>
  <c r="Y496" i="12"/>
  <c r="Y504" i="12"/>
  <c r="Y512" i="12"/>
  <c r="Y520" i="12"/>
  <c r="Y528" i="12"/>
  <c r="Y536" i="12"/>
  <c r="Y544" i="12"/>
  <c r="Y552" i="12"/>
  <c r="Y560" i="12"/>
  <c r="Y568" i="12"/>
  <c r="Y576" i="12"/>
  <c r="Y584" i="12"/>
  <c r="Y592" i="12"/>
  <c r="Y600" i="12"/>
  <c r="Y608" i="12"/>
  <c r="Y616" i="12"/>
  <c r="Y624" i="12"/>
  <c r="Y632" i="12"/>
  <c r="Y640" i="12"/>
  <c r="Y648" i="12"/>
  <c r="Y656" i="12"/>
  <c r="Y664" i="12"/>
  <c r="Y672" i="12"/>
  <c r="Y680" i="12"/>
  <c r="Y688" i="12"/>
  <c r="Y696" i="12"/>
  <c r="Y704" i="12"/>
  <c r="Y309" i="12"/>
  <c r="Y373" i="12"/>
  <c r="Y437" i="12"/>
  <c r="Y501" i="12"/>
  <c r="Y565" i="12"/>
  <c r="Y595" i="12"/>
  <c r="Y614" i="12"/>
  <c r="Y625" i="12"/>
  <c r="Y635" i="12"/>
  <c r="Y646" i="12"/>
  <c r="Y657" i="12"/>
  <c r="Y667" i="12"/>
  <c r="Y678" i="12"/>
  <c r="Y689" i="12"/>
  <c r="Y699" i="12"/>
  <c r="Y708" i="12"/>
  <c r="Y716" i="12"/>
  <c r="Y724" i="12"/>
  <c r="Y732" i="12"/>
  <c r="Y740" i="12"/>
  <c r="Y748" i="12"/>
  <c r="Y756" i="12"/>
  <c r="Y764" i="12"/>
  <c r="Y772" i="12"/>
  <c r="Y780" i="12"/>
  <c r="Y788" i="12"/>
  <c r="Y796" i="12"/>
  <c r="Y804" i="12"/>
  <c r="Y812" i="12"/>
  <c r="Y820" i="12"/>
  <c r="Y828" i="12"/>
  <c r="Y836" i="12"/>
  <c r="Y844" i="12"/>
  <c r="Y852" i="12"/>
  <c r="Y860" i="12"/>
  <c r="Y868" i="12"/>
  <c r="Y876" i="12"/>
  <c r="Y884" i="12"/>
  <c r="Y892" i="12"/>
  <c r="Y900" i="12"/>
  <c r="Y908" i="12"/>
  <c r="Y916" i="12"/>
  <c r="Y924" i="12"/>
  <c r="Y932" i="12"/>
  <c r="Y940" i="12"/>
  <c r="Y948" i="12"/>
  <c r="Y956" i="12"/>
  <c r="Y964" i="12"/>
  <c r="Y972" i="12"/>
  <c r="Y980" i="12"/>
  <c r="Y988" i="12"/>
  <c r="Y996" i="12"/>
  <c r="Y1004" i="12"/>
  <c r="Y11" i="12"/>
  <c r="Y19" i="12"/>
  <c r="Y781" i="12"/>
  <c r="Y805" i="12"/>
  <c r="Y821" i="12"/>
  <c r="Y829" i="12"/>
  <c r="Y845" i="12"/>
  <c r="Y861" i="12"/>
  <c r="Y869" i="12"/>
  <c r="Y885" i="12"/>
  <c r="Y901" i="12"/>
  <c r="Y909" i="12"/>
  <c r="Y925" i="12"/>
  <c r="Y933" i="12"/>
  <c r="Y949" i="12"/>
  <c r="Y965" i="12"/>
  <c r="Y973" i="12"/>
  <c r="Y989" i="12"/>
  <c r="Y997" i="12"/>
  <c r="Y910" i="12"/>
  <c r="Y966" i="12"/>
  <c r="Y21" i="12"/>
  <c r="Y317" i="12"/>
  <c r="Y381" i="12"/>
  <c r="Y445" i="12"/>
  <c r="Y509" i="12"/>
  <c r="Y569" i="12"/>
  <c r="Y597" i="12"/>
  <c r="Y615" i="12"/>
  <c r="Y626" i="12"/>
  <c r="Y637" i="12"/>
  <c r="Y647" i="12"/>
  <c r="Y658" i="12"/>
  <c r="Y669" i="12"/>
  <c r="Y679" i="12"/>
  <c r="Y690" i="12"/>
  <c r="Y700" i="12"/>
  <c r="Y709" i="12"/>
  <c r="Y717" i="12"/>
  <c r="Y725" i="12"/>
  <c r="Y733" i="12"/>
  <c r="Y741" i="12"/>
  <c r="Y749" i="12"/>
  <c r="Y757" i="12"/>
  <c r="Y765" i="12"/>
  <c r="Y773" i="12"/>
  <c r="Y789" i="12"/>
  <c r="Y797" i="12"/>
  <c r="Y813" i="12"/>
  <c r="Y837" i="12"/>
  <c r="Y853" i="12"/>
  <c r="Y877" i="12"/>
  <c r="Y893" i="12"/>
  <c r="Y917" i="12"/>
  <c r="Y941" i="12"/>
  <c r="Y957" i="12"/>
  <c r="Y981" i="12"/>
  <c r="Y1005" i="12"/>
  <c r="Y942" i="12"/>
  <c r="Y1006" i="12"/>
  <c r="Y325" i="12"/>
  <c r="Y389" i="12"/>
  <c r="Y453" i="12"/>
  <c r="Y517" i="12"/>
  <c r="Y573" i="12"/>
  <c r="Y601" i="12"/>
  <c r="Y617" i="12"/>
  <c r="Y627" i="12"/>
  <c r="Y638" i="12"/>
  <c r="Y649" i="12"/>
  <c r="Y659" i="12"/>
  <c r="Y670" i="12"/>
  <c r="Y681" i="12"/>
  <c r="Y691" i="12"/>
  <c r="Y701" i="12"/>
  <c r="Y710" i="12"/>
  <c r="Y718" i="12"/>
  <c r="Y726" i="12"/>
  <c r="Y734" i="12"/>
  <c r="Y742" i="12"/>
  <c r="Y750" i="12"/>
  <c r="Y758" i="12"/>
  <c r="Y766" i="12"/>
  <c r="Y774" i="12"/>
  <c r="Y782" i="12"/>
  <c r="Y790" i="12"/>
  <c r="Y798" i="12"/>
  <c r="Y806" i="12"/>
  <c r="Y814" i="12"/>
  <c r="Y822" i="12"/>
  <c r="Y830" i="12"/>
  <c r="Y838" i="12"/>
  <c r="Y846" i="12"/>
  <c r="Y854" i="12"/>
  <c r="Y862" i="12"/>
  <c r="Y870" i="12"/>
  <c r="Y878" i="12"/>
  <c r="Y886" i="12"/>
  <c r="Y918" i="12"/>
  <c r="Y974" i="12"/>
  <c r="Y333" i="12"/>
  <c r="Y397" i="12"/>
  <c r="Y461" i="12"/>
  <c r="Y525" i="12"/>
  <c r="Y577" i="12"/>
  <c r="Y603" i="12"/>
  <c r="Y618" i="12"/>
  <c r="Y629" i="12"/>
  <c r="Y639" i="12"/>
  <c r="Y650" i="12"/>
  <c r="Y661" i="12"/>
  <c r="Y671" i="12"/>
  <c r="Y682" i="12"/>
  <c r="Y693" i="12"/>
  <c r="Y702" i="12"/>
  <c r="Y711" i="12"/>
  <c r="Y719" i="12"/>
  <c r="Y727" i="12"/>
  <c r="Y735" i="12"/>
  <c r="Y743" i="12"/>
  <c r="Y751" i="12"/>
  <c r="Y759" i="12"/>
  <c r="Y767" i="12"/>
  <c r="Y775" i="12"/>
  <c r="Y783" i="12"/>
  <c r="Y791" i="12"/>
  <c r="Y799" i="12"/>
  <c r="Y807" i="12"/>
  <c r="Y815" i="12"/>
  <c r="Y823" i="12"/>
  <c r="Y831" i="12"/>
  <c r="Y839" i="12"/>
  <c r="Y847" i="12"/>
  <c r="Y855" i="12"/>
  <c r="Y863" i="12"/>
  <c r="Y871" i="12"/>
  <c r="Y879" i="12"/>
  <c r="Y887" i="12"/>
  <c r="Y895" i="12"/>
  <c r="Y903" i="12"/>
  <c r="Y911" i="12"/>
  <c r="Y919" i="12"/>
  <c r="Y927" i="12"/>
  <c r="Y935" i="12"/>
  <c r="Y943" i="12"/>
  <c r="Y951" i="12"/>
  <c r="Y959" i="12"/>
  <c r="Y967" i="12"/>
  <c r="Y975" i="12"/>
  <c r="Y983" i="12"/>
  <c r="Y991" i="12"/>
  <c r="Y999" i="12"/>
  <c r="Y1007" i="12"/>
  <c r="Y14" i="12"/>
  <c r="Y22" i="12"/>
  <c r="Y968" i="12"/>
  <c r="Y984" i="12"/>
  <c r="Y1000" i="12"/>
  <c r="Y15" i="12"/>
  <c r="Y8" i="12"/>
  <c r="Y24" i="12"/>
  <c r="Y623" i="12"/>
  <c r="Y677" i="12"/>
  <c r="Y715" i="12"/>
  <c r="Y739" i="12"/>
  <c r="Y763" i="12"/>
  <c r="Y795" i="12"/>
  <c r="Y827" i="12"/>
  <c r="Y851" i="12"/>
  <c r="Y883" i="12"/>
  <c r="Y915" i="12"/>
  <c r="Y955" i="12"/>
  <c r="Y987" i="12"/>
  <c r="Y18" i="12"/>
  <c r="Y894" i="12"/>
  <c r="Y950" i="12"/>
  <c r="Y998" i="12"/>
  <c r="Y341" i="12"/>
  <c r="Y405" i="12"/>
  <c r="Y469" i="12"/>
  <c r="Y533" i="12"/>
  <c r="Y581" i="12"/>
  <c r="Y605" i="12"/>
  <c r="Y619" i="12"/>
  <c r="Y630" i="12"/>
  <c r="Y641" i="12"/>
  <c r="Y651" i="12"/>
  <c r="Y662" i="12"/>
  <c r="Y673" i="12"/>
  <c r="Y683" i="12"/>
  <c r="Y694" i="12"/>
  <c r="Y703" i="12"/>
  <c r="Y712" i="12"/>
  <c r="Y720" i="12"/>
  <c r="Y728" i="12"/>
  <c r="Y736" i="12"/>
  <c r="Y744" i="12"/>
  <c r="Y752" i="12"/>
  <c r="Y760" i="12"/>
  <c r="Y768" i="12"/>
  <c r="Y776" i="12"/>
  <c r="Y784" i="12"/>
  <c r="Y792" i="12"/>
  <c r="Y800" i="12"/>
  <c r="Y808" i="12"/>
  <c r="Y816" i="12"/>
  <c r="Y824" i="12"/>
  <c r="Y832" i="12"/>
  <c r="Y840" i="12"/>
  <c r="Y848" i="12"/>
  <c r="Y856" i="12"/>
  <c r="Y864" i="12"/>
  <c r="Y872" i="12"/>
  <c r="Y880" i="12"/>
  <c r="Y888" i="12"/>
  <c r="Y896" i="12"/>
  <c r="Y904" i="12"/>
  <c r="Y912" i="12"/>
  <c r="Y920" i="12"/>
  <c r="Y928" i="12"/>
  <c r="Y936" i="12"/>
  <c r="Y944" i="12"/>
  <c r="Y952" i="12"/>
  <c r="Y960" i="12"/>
  <c r="Y976" i="12"/>
  <c r="Y992" i="12"/>
  <c r="Y7" i="12"/>
  <c r="Y23" i="12"/>
  <c r="Y593" i="12"/>
  <c r="Y698" i="12"/>
  <c r="Y731" i="12"/>
  <c r="Y771" i="12"/>
  <c r="Y819" i="12"/>
  <c r="Y859" i="12"/>
  <c r="Y899" i="12"/>
  <c r="Y939" i="12"/>
  <c r="Y979" i="12"/>
  <c r="Y10" i="12"/>
  <c r="Y902" i="12"/>
  <c r="Y958" i="12"/>
  <c r="Y13" i="12"/>
  <c r="Y349" i="12"/>
  <c r="Y413" i="12"/>
  <c r="Y477" i="12"/>
  <c r="Y541" i="12"/>
  <c r="Y585" i="12"/>
  <c r="Y609" i="12"/>
  <c r="Y621" i="12"/>
  <c r="Y631" i="12"/>
  <c r="Y642" i="12"/>
  <c r="Y653" i="12"/>
  <c r="Y663" i="12"/>
  <c r="Y674" i="12"/>
  <c r="Y685" i="12"/>
  <c r="Y695" i="12"/>
  <c r="Y705" i="12"/>
  <c r="Y713" i="12"/>
  <c r="Y721" i="12"/>
  <c r="Y729" i="12"/>
  <c r="Y737" i="12"/>
  <c r="Y745" i="12"/>
  <c r="Y753" i="12"/>
  <c r="Y761" i="12"/>
  <c r="Y769" i="12"/>
  <c r="Y777" i="12"/>
  <c r="Y785" i="12"/>
  <c r="Y793" i="12"/>
  <c r="Y801" i="12"/>
  <c r="Y809" i="12"/>
  <c r="Y817" i="12"/>
  <c r="Y825" i="12"/>
  <c r="Y833" i="12"/>
  <c r="Y841" i="12"/>
  <c r="Y849" i="12"/>
  <c r="Y857" i="12"/>
  <c r="Y865" i="12"/>
  <c r="Y873" i="12"/>
  <c r="Y881" i="12"/>
  <c r="Y889" i="12"/>
  <c r="Y897" i="12"/>
  <c r="Y905" i="12"/>
  <c r="Y913" i="12"/>
  <c r="Y921" i="12"/>
  <c r="Y929" i="12"/>
  <c r="Y937" i="12"/>
  <c r="Y945" i="12"/>
  <c r="Y953" i="12"/>
  <c r="Y961" i="12"/>
  <c r="Y969" i="12"/>
  <c r="Y977" i="12"/>
  <c r="Y985" i="12"/>
  <c r="Y993" i="12"/>
  <c r="Y1001" i="12"/>
  <c r="Y16" i="12"/>
  <c r="Y645" i="12"/>
  <c r="Y707" i="12"/>
  <c r="Y747" i="12"/>
  <c r="Y779" i="12"/>
  <c r="Y811" i="12"/>
  <c r="Y843" i="12"/>
  <c r="Y875" i="12"/>
  <c r="Y907" i="12"/>
  <c r="Y931" i="12"/>
  <c r="Y963" i="12"/>
  <c r="Y995" i="12"/>
  <c r="Y12" i="12"/>
  <c r="Y934" i="12"/>
  <c r="Y990" i="12"/>
  <c r="Y357" i="12"/>
  <c r="Y421" i="12"/>
  <c r="Y485" i="12"/>
  <c r="Y549" i="12"/>
  <c r="Y589" i="12"/>
  <c r="Y611" i="12"/>
  <c r="Y622" i="12"/>
  <c r="Y633" i="12"/>
  <c r="Y643" i="12"/>
  <c r="Y654" i="12"/>
  <c r="Y665" i="12"/>
  <c r="Y675" i="12"/>
  <c r="Y686" i="12"/>
  <c r="Y697" i="12"/>
  <c r="Y706" i="12"/>
  <c r="Y714" i="12"/>
  <c r="Y722" i="12"/>
  <c r="Y730" i="12"/>
  <c r="Y738" i="12"/>
  <c r="Y746" i="12"/>
  <c r="Y754" i="12"/>
  <c r="Y762" i="12"/>
  <c r="Y770" i="12"/>
  <c r="Y778" i="12"/>
  <c r="Y786" i="12"/>
  <c r="Y794" i="12"/>
  <c r="Y802" i="12"/>
  <c r="Y810" i="12"/>
  <c r="Y818" i="12"/>
  <c r="Y826" i="12"/>
  <c r="Y834" i="12"/>
  <c r="Y842" i="12"/>
  <c r="Y850" i="12"/>
  <c r="Y858" i="12"/>
  <c r="Y866" i="12"/>
  <c r="Y874" i="12"/>
  <c r="Y882" i="12"/>
  <c r="Y890" i="12"/>
  <c r="Y898" i="12"/>
  <c r="Y906" i="12"/>
  <c r="Y914" i="12"/>
  <c r="Y922" i="12"/>
  <c r="Y930" i="12"/>
  <c r="Y938" i="12"/>
  <c r="Y946" i="12"/>
  <c r="Y954" i="12"/>
  <c r="Y962" i="12"/>
  <c r="Y970" i="12"/>
  <c r="Y978" i="12"/>
  <c r="Y986" i="12"/>
  <c r="Y994" i="12"/>
  <c r="Y1002" i="12"/>
  <c r="Y9" i="12"/>
  <c r="Y17" i="12"/>
  <c r="Y6" i="12"/>
  <c r="Y365" i="12"/>
  <c r="Y429" i="12"/>
  <c r="Y493" i="12"/>
  <c r="Y557" i="12"/>
  <c r="Y613" i="12"/>
  <c r="Y634" i="12"/>
  <c r="Y655" i="12"/>
  <c r="Y666" i="12"/>
  <c r="Y687" i="12"/>
  <c r="Y723" i="12"/>
  <c r="Y755" i="12"/>
  <c r="Y787" i="12"/>
  <c r="Y803" i="12"/>
  <c r="Y835" i="12"/>
  <c r="Y867" i="12"/>
  <c r="Y891" i="12"/>
  <c r="Y923" i="12"/>
  <c r="Y947" i="12"/>
  <c r="Y971" i="12"/>
  <c r="Y1003" i="12"/>
  <c r="Y20" i="12"/>
  <c r="Y926" i="12"/>
  <c r="Y982" i="12"/>
  <c r="E5" i="12"/>
  <c r="E6" i="12"/>
  <c r="E7" i="12"/>
  <c r="E4" i="12"/>
  <c r="H11" i="11"/>
  <c r="I10" i="11"/>
  <c r="J11" i="11" s="1"/>
  <c r="I9" i="11"/>
  <c r="J10" i="11" s="1"/>
  <c r="E27" i="11"/>
  <c r="D32" i="11" s="1"/>
  <c r="E26" i="11"/>
  <c r="D31" i="11" s="1"/>
  <c r="J9" i="11"/>
  <c r="L25" i="2"/>
  <c r="D54" i="2"/>
  <c r="E54" i="2" s="1"/>
  <c r="F54" i="2"/>
  <c r="I54" i="2"/>
  <c r="D55" i="2"/>
  <c r="E55" i="2" s="1"/>
  <c r="F55" i="2"/>
  <c r="I55" i="2"/>
  <c r="D56" i="2"/>
  <c r="E56" i="2" s="1"/>
  <c r="F56" i="2"/>
  <c r="I56" i="2"/>
  <c r="D57" i="2"/>
  <c r="E57" i="2" s="1"/>
  <c r="F57" i="2"/>
  <c r="I57" i="2"/>
  <c r="D58" i="2"/>
  <c r="E58" i="2" s="1"/>
  <c r="F58" i="2"/>
  <c r="I58" i="2"/>
  <c r="D59" i="2"/>
  <c r="E59" i="2" s="1"/>
  <c r="F59" i="2"/>
  <c r="I59" i="2"/>
  <c r="D60" i="2"/>
  <c r="E60" i="2" s="1"/>
  <c r="F60" i="2"/>
  <c r="I60" i="2"/>
  <c r="D61" i="2"/>
  <c r="E61" i="2" s="1"/>
  <c r="F61" i="2"/>
  <c r="I61" i="2"/>
  <c r="D62" i="2"/>
  <c r="E62" i="2" s="1"/>
  <c r="F62" i="2"/>
  <c r="I62" i="2"/>
  <c r="D63" i="2"/>
  <c r="E63" i="2" s="1"/>
  <c r="F63" i="2"/>
  <c r="I63" i="2"/>
  <c r="D64" i="2"/>
  <c r="E64" i="2" s="1"/>
  <c r="F64" i="2"/>
  <c r="I64" i="2"/>
  <c r="D65" i="2"/>
  <c r="E65" i="2" s="1"/>
  <c r="F65" i="2"/>
  <c r="I65" i="2"/>
  <c r="D66" i="2"/>
  <c r="E66" i="2" s="1"/>
  <c r="F66" i="2"/>
  <c r="I66" i="2"/>
  <c r="D67" i="2"/>
  <c r="E67" i="2" s="1"/>
  <c r="F67" i="2"/>
  <c r="I67" i="2"/>
  <c r="D68" i="2"/>
  <c r="E68" i="2" s="1"/>
  <c r="F68" i="2"/>
  <c r="I68" i="2"/>
  <c r="D69" i="2"/>
  <c r="E69" i="2" s="1"/>
  <c r="F69" i="2"/>
  <c r="I69" i="2"/>
  <c r="D70" i="2"/>
  <c r="E70" i="2" s="1"/>
  <c r="F70" i="2"/>
  <c r="I70" i="2"/>
  <c r="D71" i="2"/>
  <c r="E71" i="2" s="1"/>
  <c r="F71" i="2"/>
  <c r="I71" i="2"/>
  <c r="D72" i="2"/>
  <c r="E72" i="2" s="1"/>
  <c r="F72" i="2"/>
  <c r="I72" i="2"/>
  <c r="D73" i="2"/>
  <c r="E73" i="2" s="1"/>
  <c r="F73" i="2"/>
  <c r="I73" i="2"/>
  <c r="D74" i="2"/>
  <c r="E74" i="2" s="1"/>
  <c r="F74" i="2"/>
  <c r="I74" i="2"/>
  <c r="D75" i="2"/>
  <c r="E75" i="2" s="1"/>
  <c r="F75" i="2"/>
  <c r="I75" i="2"/>
  <c r="D76" i="2"/>
  <c r="E76" i="2" s="1"/>
  <c r="F76" i="2"/>
  <c r="I76" i="2"/>
  <c r="D77" i="2"/>
  <c r="E77" i="2" s="1"/>
  <c r="F77" i="2"/>
  <c r="I77" i="2"/>
  <c r="D78" i="2"/>
  <c r="E78" i="2" s="1"/>
  <c r="F78" i="2"/>
  <c r="I78" i="2"/>
  <c r="D79" i="2"/>
  <c r="E79" i="2" s="1"/>
  <c r="F79" i="2"/>
  <c r="I79" i="2"/>
  <c r="D80" i="2"/>
  <c r="E80" i="2" s="1"/>
  <c r="F80" i="2"/>
  <c r="I80" i="2"/>
  <c r="D81" i="2"/>
  <c r="E81" i="2" s="1"/>
  <c r="F81" i="2"/>
  <c r="I81" i="2"/>
  <c r="D82" i="2"/>
  <c r="E82" i="2" s="1"/>
  <c r="F82" i="2"/>
  <c r="I82" i="2"/>
  <c r="D83" i="2"/>
  <c r="E83" i="2" s="1"/>
  <c r="F83" i="2"/>
  <c r="I83" i="2"/>
  <c r="D84" i="2"/>
  <c r="E84" i="2" s="1"/>
  <c r="F84" i="2"/>
  <c r="I84" i="2"/>
  <c r="D85" i="2"/>
  <c r="E85" i="2" s="1"/>
  <c r="F85" i="2"/>
  <c r="I85" i="2"/>
  <c r="D86" i="2"/>
  <c r="E86" i="2" s="1"/>
  <c r="F86" i="2"/>
  <c r="I86" i="2"/>
  <c r="D87" i="2"/>
  <c r="E87" i="2" s="1"/>
  <c r="F87" i="2"/>
  <c r="I87" i="2"/>
  <c r="D88" i="2"/>
  <c r="E88" i="2" s="1"/>
  <c r="F88" i="2"/>
  <c r="I88" i="2"/>
  <c r="D89" i="2"/>
  <c r="E89" i="2" s="1"/>
  <c r="F89" i="2"/>
  <c r="I89" i="2"/>
  <c r="D90" i="2"/>
  <c r="E90" i="2" s="1"/>
  <c r="F90" i="2"/>
  <c r="I90" i="2"/>
  <c r="D91" i="2"/>
  <c r="E91" i="2" s="1"/>
  <c r="F91" i="2"/>
  <c r="I91" i="2"/>
  <c r="D92" i="2"/>
  <c r="E92" i="2" s="1"/>
  <c r="F92" i="2"/>
  <c r="I92" i="2"/>
  <c r="D93" i="2"/>
  <c r="E93" i="2" s="1"/>
  <c r="F93" i="2"/>
  <c r="I93" i="2"/>
  <c r="D94" i="2"/>
  <c r="E94" i="2" s="1"/>
  <c r="F94" i="2"/>
  <c r="I94" i="2"/>
  <c r="D95" i="2"/>
  <c r="E95" i="2" s="1"/>
  <c r="F95" i="2"/>
  <c r="I95" i="2"/>
  <c r="D96" i="2"/>
  <c r="E96" i="2" s="1"/>
  <c r="F96" i="2"/>
  <c r="I96" i="2"/>
  <c r="D97" i="2"/>
  <c r="E97" i="2" s="1"/>
  <c r="F97" i="2"/>
  <c r="I97" i="2"/>
  <c r="D98" i="2"/>
  <c r="E98" i="2" s="1"/>
  <c r="F98" i="2"/>
  <c r="I98" i="2"/>
  <c r="D99" i="2"/>
  <c r="E99" i="2" s="1"/>
  <c r="F99" i="2"/>
  <c r="I99" i="2"/>
  <c r="D100" i="2"/>
  <c r="E100" i="2" s="1"/>
  <c r="F100" i="2"/>
  <c r="I100" i="2"/>
  <c r="D101" i="2"/>
  <c r="E101" i="2" s="1"/>
  <c r="F101" i="2"/>
  <c r="I101" i="2"/>
  <c r="D102" i="2"/>
  <c r="E102" i="2" s="1"/>
  <c r="F102" i="2"/>
  <c r="I102" i="2"/>
  <c r="D103" i="2"/>
  <c r="E103" i="2" s="1"/>
  <c r="F103" i="2"/>
  <c r="I103" i="2"/>
  <c r="D104" i="2"/>
  <c r="E104" i="2" s="1"/>
  <c r="F104" i="2"/>
  <c r="I104" i="2"/>
  <c r="D105" i="2"/>
  <c r="E105" i="2" s="1"/>
  <c r="F105" i="2"/>
  <c r="I105" i="2"/>
  <c r="D106" i="2"/>
  <c r="E106" i="2" s="1"/>
  <c r="F106" i="2"/>
  <c r="I106" i="2"/>
  <c r="D107" i="2"/>
  <c r="E107" i="2" s="1"/>
  <c r="F107" i="2"/>
  <c r="I107" i="2"/>
  <c r="D108" i="2"/>
  <c r="E108" i="2" s="1"/>
  <c r="F108" i="2"/>
  <c r="I108" i="2"/>
  <c r="D109" i="2"/>
  <c r="E109" i="2" s="1"/>
  <c r="F109" i="2"/>
  <c r="I109" i="2"/>
  <c r="D110" i="2"/>
  <c r="E110" i="2" s="1"/>
  <c r="F110" i="2"/>
  <c r="I110" i="2"/>
  <c r="D111" i="2"/>
  <c r="E111" i="2" s="1"/>
  <c r="F111" i="2"/>
  <c r="I111" i="2"/>
  <c r="D112" i="2"/>
  <c r="E112" i="2" s="1"/>
  <c r="F112" i="2"/>
  <c r="I112" i="2"/>
  <c r="D113" i="2"/>
  <c r="E113" i="2" s="1"/>
  <c r="F113" i="2"/>
  <c r="I113" i="2"/>
  <c r="D114" i="2"/>
  <c r="E114" i="2" s="1"/>
  <c r="F114" i="2"/>
  <c r="I114" i="2"/>
  <c r="D115" i="2"/>
  <c r="E115" i="2" s="1"/>
  <c r="F115" i="2"/>
  <c r="I115" i="2"/>
  <c r="D116" i="2"/>
  <c r="E116" i="2" s="1"/>
  <c r="F116" i="2"/>
  <c r="I116" i="2"/>
  <c r="D117" i="2"/>
  <c r="E117" i="2" s="1"/>
  <c r="F117" i="2"/>
  <c r="I117" i="2"/>
  <c r="D118" i="2"/>
  <c r="E118" i="2" s="1"/>
  <c r="F118" i="2"/>
  <c r="I118" i="2"/>
  <c r="D119" i="2"/>
  <c r="E119" i="2" s="1"/>
  <c r="F119" i="2"/>
  <c r="I119" i="2"/>
  <c r="D120" i="2"/>
  <c r="E120" i="2" s="1"/>
  <c r="F120" i="2"/>
  <c r="I120" i="2"/>
  <c r="D121" i="2"/>
  <c r="E121" i="2" s="1"/>
  <c r="F121" i="2"/>
  <c r="I121" i="2"/>
  <c r="D122" i="2"/>
  <c r="E122" i="2" s="1"/>
  <c r="F122" i="2"/>
  <c r="I122" i="2"/>
  <c r="D123" i="2"/>
  <c r="E123" i="2" s="1"/>
  <c r="F123" i="2"/>
  <c r="I123" i="2"/>
  <c r="D124" i="2"/>
  <c r="E124" i="2" s="1"/>
  <c r="F124" i="2"/>
  <c r="I124" i="2"/>
  <c r="D125" i="2"/>
  <c r="E125" i="2" s="1"/>
  <c r="F125" i="2"/>
  <c r="I125" i="2"/>
  <c r="D126" i="2"/>
  <c r="E126" i="2" s="1"/>
  <c r="F126" i="2"/>
  <c r="I126" i="2"/>
  <c r="D127" i="2"/>
  <c r="E127" i="2" s="1"/>
  <c r="F127" i="2"/>
  <c r="I127" i="2"/>
  <c r="D128" i="2"/>
  <c r="E128" i="2" s="1"/>
  <c r="F128" i="2"/>
  <c r="I128" i="2"/>
  <c r="D129" i="2"/>
  <c r="E129" i="2" s="1"/>
  <c r="F129" i="2"/>
  <c r="I129" i="2"/>
  <c r="D130" i="2"/>
  <c r="E130" i="2" s="1"/>
  <c r="F130" i="2"/>
  <c r="I130" i="2"/>
  <c r="D131" i="2"/>
  <c r="E131" i="2" s="1"/>
  <c r="F131" i="2"/>
  <c r="I131" i="2"/>
  <c r="D132" i="2"/>
  <c r="E132" i="2" s="1"/>
  <c r="F132" i="2"/>
  <c r="I132" i="2"/>
  <c r="D133" i="2"/>
  <c r="E133" i="2" s="1"/>
  <c r="F133" i="2"/>
  <c r="I133" i="2"/>
  <c r="D134" i="2"/>
  <c r="E134" i="2" s="1"/>
  <c r="F134" i="2"/>
  <c r="I134" i="2"/>
  <c r="D135" i="2"/>
  <c r="E135" i="2" s="1"/>
  <c r="F135" i="2"/>
  <c r="I135" i="2"/>
  <c r="D136" i="2"/>
  <c r="E136" i="2" s="1"/>
  <c r="F136" i="2"/>
  <c r="I136" i="2"/>
  <c r="D137" i="2"/>
  <c r="E137" i="2" s="1"/>
  <c r="F137" i="2"/>
  <c r="I137" i="2"/>
  <c r="D138" i="2"/>
  <c r="E138" i="2" s="1"/>
  <c r="F138" i="2"/>
  <c r="I138" i="2"/>
  <c r="D139" i="2"/>
  <c r="E139" i="2" s="1"/>
  <c r="F139" i="2"/>
  <c r="I139" i="2"/>
  <c r="D140" i="2"/>
  <c r="E140" i="2" s="1"/>
  <c r="F140" i="2"/>
  <c r="I140" i="2"/>
  <c r="D141" i="2"/>
  <c r="E141" i="2" s="1"/>
  <c r="F141" i="2"/>
  <c r="I141" i="2"/>
  <c r="D142" i="2"/>
  <c r="E142" i="2" s="1"/>
  <c r="F142" i="2"/>
  <c r="I142" i="2"/>
  <c r="D143" i="2"/>
  <c r="E143" i="2" s="1"/>
  <c r="F143" i="2"/>
  <c r="I143" i="2"/>
  <c r="D144" i="2"/>
  <c r="E144" i="2" s="1"/>
  <c r="F144" i="2"/>
  <c r="I144" i="2"/>
  <c r="D145" i="2"/>
  <c r="E145" i="2" s="1"/>
  <c r="F145" i="2"/>
  <c r="I145" i="2"/>
  <c r="D146" i="2"/>
  <c r="E146" i="2" s="1"/>
  <c r="F146" i="2"/>
  <c r="I146" i="2"/>
  <c r="D147" i="2"/>
  <c r="E147" i="2" s="1"/>
  <c r="F147" i="2"/>
  <c r="I147" i="2"/>
  <c r="D148" i="2"/>
  <c r="E148" i="2" s="1"/>
  <c r="F148" i="2"/>
  <c r="I148" i="2"/>
  <c r="D149" i="2"/>
  <c r="E149" i="2" s="1"/>
  <c r="F149" i="2"/>
  <c r="I149" i="2"/>
  <c r="D150" i="2"/>
  <c r="E150" i="2" s="1"/>
  <c r="F150" i="2"/>
  <c r="I150" i="2"/>
  <c r="D151" i="2"/>
  <c r="E151" i="2" s="1"/>
  <c r="F151" i="2"/>
  <c r="I151" i="2"/>
  <c r="D152" i="2"/>
  <c r="E152" i="2" s="1"/>
  <c r="F152" i="2"/>
  <c r="I152" i="2"/>
  <c r="D153" i="2"/>
  <c r="E153" i="2" s="1"/>
  <c r="F153" i="2"/>
  <c r="I153" i="2"/>
  <c r="D154" i="2"/>
  <c r="E154" i="2" s="1"/>
  <c r="F154" i="2"/>
  <c r="I154" i="2"/>
  <c r="D155" i="2"/>
  <c r="E155" i="2" s="1"/>
  <c r="F155" i="2"/>
  <c r="I155" i="2"/>
  <c r="D156" i="2"/>
  <c r="E156" i="2" s="1"/>
  <c r="F156" i="2"/>
  <c r="I156" i="2"/>
  <c r="D157" i="2"/>
  <c r="E157" i="2" s="1"/>
  <c r="F157" i="2"/>
  <c r="I157" i="2"/>
  <c r="D158" i="2"/>
  <c r="E158" i="2" s="1"/>
  <c r="F158" i="2"/>
  <c r="I158" i="2"/>
  <c r="D159" i="2"/>
  <c r="E159" i="2" s="1"/>
  <c r="F159" i="2"/>
  <c r="I159" i="2"/>
  <c r="D160" i="2"/>
  <c r="E160" i="2" s="1"/>
  <c r="F160" i="2"/>
  <c r="I160" i="2"/>
  <c r="D161" i="2"/>
  <c r="E161" i="2" s="1"/>
  <c r="F161" i="2"/>
  <c r="I161" i="2"/>
  <c r="D162" i="2"/>
  <c r="E162" i="2" s="1"/>
  <c r="F162" i="2"/>
  <c r="I162" i="2"/>
  <c r="D163" i="2"/>
  <c r="E163" i="2" s="1"/>
  <c r="F163" i="2"/>
  <c r="I163" i="2"/>
  <c r="D164" i="2"/>
  <c r="E164" i="2" s="1"/>
  <c r="F164" i="2"/>
  <c r="I164" i="2"/>
  <c r="D165" i="2"/>
  <c r="E165" i="2" s="1"/>
  <c r="F165" i="2"/>
  <c r="I165" i="2"/>
  <c r="D166" i="2"/>
  <c r="E166" i="2" s="1"/>
  <c r="F166" i="2"/>
  <c r="I166" i="2"/>
  <c r="D167" i="2"/>
  <c r="E167" i="2" s="1"/>
  <c r="F167" i="2"/>
  <c r="I167" i="2"/>
  <c r="D168" i="2"/>
  <c r="E168" i="2" s="1"/>
  <c r="F168" i="2"/>
  <c r="I168" i="2"/>
  <c r="D169" i="2"/>
  <c r="E169" i="2" s="1"/>
  <c r="F169" i="2"/>
  <c r="I169" i="2"/>
  <c r="D170" i="2"/>
  <c r="E170" i="2" s="1"/>
  <c r="F170" i="2"/>
  <c r="I170" i="2"/>
  <c r="D171" i="2"/>
  <c r="E171" i="2" s="1"/>
  <c r="F171" i="2"/>
  <c r="I171" i="2"/>
  <c r="D172" i="2"/>
  <c r="E172" i="2" s="1"/>
  <c r="F172" i="2"/>
  <c r="I172" i="2"/>
  <c r="D173" i="2"/>
  <c r="E173" i="2" s="1"/>
  <c r="F173" i="2"/>
  <c r="I173" i="2"/>
  <c r="D174" i="2"/>
  <c r="E174" i="2" s="1"/>
  <c r="F174" i="2"/>
  <c r="I174" i="2"/>
  <c r="D175" i="2"/>
  <c r="E175" i="2" s="1"/>
  <c r="F175" i="2"/>
  <c r="I175" i="2"/>
  <c r="D176" i="2"/>
  <c r="E176" i="2" s="1"/>
  <c r="F176" i="2"/>
  <c r="I176" i="2"/>
  <c r="D177" i="2"/>
  <c r="E177" i="2" s="1"/>
  <c r="F177" i="2"/>
  <c r="I177" i="2"/>
  <c r="D178" i="2"/>
  <c r="E178" i="2" s="1"/>
  <c r="F178" i="2"/>
  <c r="I178" i="2"/>
  <c r="D179" i="2"/>
  <c r="E179" i="2" s="1"/>
  <c r="F179" i="2"/>
  <c r="I179" i="2"/>
  <c r="D180" i="2"/>
  <c r="E180" i="2" s="1"/>
  <c r="F180" i="2"/>
  <c r="I180" i="2"/>
  <c r="D181" i="2"/>
  <c r="E181" i="2" s="1"/>
  <c r="F181" i="2"/>
  <c r="I181" i="2"/>
  <c r="D182" i="2"/>
  <c r="E182" i="2" s="1"/>
  <c r="F182" i="2"/>
  <c r="I182" i="2"/>
  <c r="D183" i="2"/>
  <c r="E183" i="2" s="1"/>
  <c r="F183" i="2"/>
  <c r="I183" i="2"/>
  <c r="D184" i="2"/>
  <c r="E184" i="2" s="1"/>
  <c r="F184" i="2"/>
  <c r="I184" i="2"/>
  <c r="D185" i="2"/>
  <c r="E185" i="2" s="1"/>
  <c r="F185" i="2"/>
  <c r="I185" i="2"/>
  <c r="D186" i="2"/>
  <c r="E186" i="2" s="1"/>
  <c r="F186" i="2"/>
  <c r="I186" i="2"/>
  <c r="D187" i="2"/>
  <c r="E187" i="2" s="1"/>
  <c r="F187" i="2"/>
  <c r="I187" i="2"/>
  <c r="D188" i="2"/>
  <c r="E188" i="2" s="1"/>
  <c r="F188" i="2"/>
  <c r="I188" i="2"/>
  <c r="D189" i="2"/>
  <c r="E189" i="2" s="1"/>
  <c r="F189" i="2"/>
  <c r="I189" i="2"/>
  <c r="D190" i="2"/>
  <c r="E190" i="2" s="1"/>
  <c r="F190" i="2"/>
  <c r="I190" i="2"/>
  <c r="D191" i="2"/>
  <c r="E191" i="2" s="1"/>
  <c r="F191" i="2"/>
  <c r="I191" i="2"/>
  <c r="D192" i="2"/>
  <c r="E192" i="2" s="1"/>
  <c r="F192" i="2"/>
  <c r="I192" i="2"/>
  <c r="D193" i="2"/>
  <c r="E193" i="2" s="1"/>
  <c r="F193" i="2"/>
  <c r="I193" i="2"/>
  <c r="D194" i="2"/>
  <c r="E194" i="2" s="1"/>
  <c r="F194" i="2"/>
  <c r="I194" i="2"/>
  <c r="D195" i="2"/>
  <c r="E195" i="2" s="1"/>
  <c r="F195" i="2"/>
  <c r="I195" i="2"/>
  <c r="D196" i="2"/>
  <c r="E196" i="2" s="1"/>
  <c r="F196" i="2"/>
  <c r="I196" i="2"/>
  <c r="D197" i="2"/>
  <c r="E197" i="2" s="1"/>
  <c r="F197" i="2"/>
  <c r="I197" i="2"/>
  <c r="D198" i="2"/>
  <c r="E198" i="2" s="1"/>
  <c r="F198" i="2"/>
  <c r="I198" i="2"/>
  <c r="D199" i="2"/>
  <c r="E199" i="2" s="1"/>
  <c r="F199" i="2"/>
  <c r="I199" i="2"/>
  <c r="D200" i="2"/>
  <c r="E200" i="2" s="1"/>
  <c r="F200" i="2"/>
  <c r="I200" i="2"/>
  <c r="D201" i="2"/>
  <c r="E201" i="2" s="1"/>
  <c r="F201" i="2"/>
  <c r="I201" i="2"/>
  <c r="D202" i="2"/>
  <c r="E202" i="2" s="1"/>
  <c r="F202" i="2"/>
  <c r="I202" i="2"/>
  <c r="D203" i="2"/>
  <c r="E203" i="2" s="1"/>
  <c r="F203" i="2"/>
  <c r="I203" i="2"/>
  <c r="D204" i="2"/>
  <c r="E204" i="2" s="1"/>
  <c r="F204" i="2"/>
  <c r="I204" i="2"/>
  <c r="D205" i="2"/>
  <c r="E205" i="2" s="1"/>
  <c r="F205" i="2"/>
  <c r="I205" i="2"/>
  <c r="D206" i="2"/>
  <c r="E206" i="2" s="1"/>
  <c r="F206" i="2"/>
  <c r="I206" i="2"/>
  <c r="D207" i="2"/>
  <c r="E207" i="2" s="1"/>
  <c r="F207" i="2"/>
  <c r="I207" i="2"/>
  <c r="D208" i="2"/>
  <c r="E208" i="2" s="1"/>
  <c r="F208" i="2"/>
  <c r="I208" i="2"/>
  <c r="D209" i="2"/>
  <c r="E209" i="2" s="1"/>
  <c r="F209" i="2"/>
  <c r="I209" i="2"/>
  <c r="D210" i="2"/>
  <c r="E210" i="2" s="1"/>
  <c r="F210" i="2"/>
  <c r="I210" i="2"/>
  <c r="D211" i="2"/>
  <c r="E211" i="2" s="1"/>
  <c r="F211" i="2"/>
  <c r="I211" i="2"/>
  <c r="D212" i="2"/>
  <c r="E212" i="2" s="1"/>
  <c r="F212" i="2"/>
  <c r="I212" i="2"/>
  <c r="D213" i="2"/>
  <c r="E213" i="2" s="1"/>
  <c r="F213" i="2"/>
  <c r="I213" i="2"/>
  <c r="D214" i="2"/>
  <c r="E214" i="2" s="1"/>
  <c r="F214" i="2"/>
  <c r="I214" i="2"/>
  <c r="D215" i="2"/>
  <c r="E215" i="2" s="1"/>
  <c r="F215" i="2"/>
  <c r="I215" i="2"/>
  <c r="D216" i="2"/>
  <c r="E216" i="2" s="1"/>
  <c r="F216" i="2"/>
  <c r="I216" i="2"/>
  <c r="D217" i="2"/>
  <c r="E217" i="2" s="1"/>
  <c r="F217" i="2"/>
  <c r="I217" i="2"/>
  <c r="D218" i="2"/>
  <c r="E218" i="2" s="1"/>
  <c r="F218" i="2"/>
  <c r="I218" i="2"/>
  <c r="D219" i="2"/>
  <c r="E219" i="2" s="1"/>
  <c r="F219" i="2"/>
  <c r="I219" i="2"/>
  <c r="D220" i="2"/>
  <c r="E220" i="2" s="1"/>
  <c r="F220" i="2"/>
  <c r="I220" i="2"/>
  <c r="D221" i="2"/>
  <c r="E221" i="2" s="1"/>
  <c r="F221" i="2"/>
  <c r="I221" i="2"/>
  <c r="D222" i="2"/>
  <c r="E222" i="2" s="1"/>
  <c r="F222" i="2"/>
  <c r="I222" i="2"/>
  <c r="D223" i="2"/>
  <c r="E223" i="2" s="1"/>
  <c r="F223" i="2"/>
  <c r="I223" i="2"/>
  <c r="D224" i="2"/>
  <c r="E224" i="2" s="1"/>
  <c r="F224" i="2"/>
  <c r="I224" i="2"/>
  <c r="D225" i="2"/>
  <c r="E225" i="2" s="1"/>
  <c r="F225" i="2"/>
  <c r="I225" i="2"/>
  <c r="D226" i="2"/>
  <c r="E226" i="2" s="1"/>
  <c r="F226" i="2"/>
  <c r="I226" i="2"/>
  <c r="D227" i="2"/>
  <c r="E227" i="2" s="1"/>
  <c r="F227" i="2"/>
  <c r="I227" i="2"/>
  <c r="D228" i="2"/>
  <c r="E228" i="2" s="1"/>
  <c r="F228" i="2"/>
  <c r="I228" i="2"/>
  <c r="D229" i="2"/>
  <c r="E229" i="2" s="1"/>
  <c r="F229" i="2"/>
  <c r="I229" i="2"/>
  <c r="D230" i="2"/>
  <c r="E230" i="2" s="1"/>
  <c r="F230" i="2"/>
  <c r="I230" i="2"/>
  <c r="D231" i="2"/>
  <c r="E231" i="2" s="1"/>
  <c r="F231" i="2"/>
  <c r="I231" i="2"/>
  <c r="D232" i="2"/>
  <c r="E232" i="2" s="1"/>
  <c r="F232" i="2"/>
  <c r="I232" i="2"/>
  <c r="D233" i="2"/>
  <c r="E233" i="2" s="1"/>
  <c r="F233" i="2"/>
  <c r="I233" i="2"/>
  <c r="D234" i="2"/>
  <c r="E234" i="2" s="1"/>
  <c r="F234" i="2"/>
  <c r="I234" i="2"/>
  <c r="D235" i="2"/>
  <c r="E235" i="2" s="1"/>
  <c r="F235" i="2"/>
  <c r="I235" i="2"/>
  <c r="D236" i="2"/>
  <c r="E236" i="2" s="1"/>
  <c r="F236" i="2"/>
  <c r="I236" i="2"/>
  <c r="D237" i="2"/>
  <c r="E237" i="2" s="1"/>
  <c r="F237" i="2"/>
  <c r="I237" i="2"/>
  <c r="D238" i="2"/>
  <c r="E238" i="2" s="1"/>
  <c r="F238" i="2"/>
  <c r="I238" i="2"/>
  <c r="D239" i="2"/>
  <c r="E239" i="2" s="1"/>
  <c r="F239" i="2"/>
  <c r="I239" i="2"/>
  <c r="D240" i="2"/>
  <c r="E240" i="2" s="1"/>
  <c r="F240" i="2"/>
  <c r="I240" i="2"/>
  <c r="D241" i="2"/>
  <c r="E241" i="2" s="1"/>
  <c r="F241" i="2"/>
  <c r="I241" i="2"/>
  <c r="D242" i="2"/>
  <c r="E242" i="2" s="1"/>
  <c r="F242" i="2"/>
  <c r="I242" i="2"/>
  <c r="D243" i="2"/>
  <c r="E243" i="2" s="1"/>
  <c r="F243" i="2"/>
  <c r="I243" i="2"/>
  <c r="D244" i="2"/>
  <c r="E244" i="2" s="1"/>
  <c r="F244" i="2"/>
  <c r="I244" i="2"/>
  <c r="D33" i="2"/>
  <c r="E33" i="2" s="1"/>
  <c r="F33" i="2"/>
  <c r="I33" i="2"/>
  <c r="D34" i="2"/>
  <c r="E34" i="2" s="1"/>
  <c r="F34" i="2"/>
  <c r="I34" i="2"/>
  <c r="D35" i="2"/>
  <c r="E35" i="2" s="1"/>
  <c r="F35" i="2"/>
  <c r="I35" i="2"/>
  <c r="D36" i="2"/>
  <c r="E36" i="2" s="1"/>
  <c r="F36" i="2"/>
  <c r="I36" i="2"/>
  <c r="D37" i="2"/>
  <c r="E37" i="2" s="1"/>
  <c r="F37" i="2"/>
  <c r="I37" i="2"/>
  <c r="D38" i="2"/>
  <c r="E38" i="2" s="1"/>
  <c r="F38" i="2"/>
  <c r="I38" i="2"/>
  <c r="D39" i="2"/>
  <c r="E39" i="2" s="1"/>
  <c r="F39" i="2"/>
  <c r="I39" i="2"/>
  <c r="D40" i="2"/>
  <c r="E40" i="2" s="1"/>
  <c r="F40" i="2"/>
  <c r="I40" i="2"/>
  <c r="D41" i="2"/>
  <c r="E41" i="2" s="1"/>
  <c r="F41" i="2"/>
  <c r="I41" i="2"/>
  <c r="D42" i="2"/>
  <c r="E42" i="2" s="1"/>
  <c r="F42" i="2"/>
  <c r="I42" i="2"/>
  <c r="D43" i="2"/>
  <c r="E43" i="2" s="1"/>
  <c r="F43" i="2"/>
  <c r="I43" i="2"/>
  <c r="D44" i="2"/>
  <c r="E44" i="2" s="1"/>
  <c r="F44" i="2"/>
  <c r="I44" i="2"/>
  <c r="D45" i="2"/>
  <c r="E45" i="2" s="1"/>
  <c r="F45" i="2"/>
  <c r="I45" i="2"/>
  <c r="D46" i="2"/>
  <c r="E46" i="2" s="1"/>
  <c r="F46" i="2"/>
  <c r="I46" i="2"/>
  <c r="D47" i="2"/>
  <c r="E47" i="2" s="1"/>
  <c r="F47" i="2"/>
  <c r="I47" i="2"/>
  <c r="D48" i="2"/>
  <c r="E48" i="2" s="1"/>
  <c r="F48" i="2"/>
  <c r="I48" i="2"/>
  <c r="D49" i="2"/>
  <c r="E49" i="2" s="1"/>
  <c r="F49" i="2"/>
  <c r="I49" i="2"/>
  <c r="D50" i="2"/>
  <c r="E50" i="2" s="1"/>
  <c r="F50" i="2"/>
  <c r="I50" i="2"/>
  <c r="D51" i="2"/>
  <c r="E51" i="2" s="1"/>
  <c r="F51" i="2"/>
  <c r="I51" i="2"/>
  <c r="D52" i="2"/>
  <c r="E52" i="2" s="1"/>
  <c r="F52" i="2"/>
  <c r="I52" i="2"/>
  <c r="D53" i="2"/>
  <c r="E53" i="2" s="1"/>
  <c r="F53" i="2"/>
  <c r="I53" i="2"/>
  <c r="I24" i="2"/>
  <c r="I25" i="2"/>
  <c r="I26" i="2"/>
  <c r="I27" i="2"/>
  <c r="I28" i="2"/>
  <c r="I29" i="2"/>
  <c r="I30" i="2"/>
  <c r="I31" i="2"/>
  <c r="I32" i="2"/>
  <c r="I23" i="2"/>
  <c r="F24" i="2"/>
  <c r="G24" i="2" s="1"/>
  <c r="F25" i="2"/>
  <c r="F26" i="2"/>
  <c r="F27" i="2"/>
  <c r="F28" i="2"/>
  <c r="F29" i="2"/>
  <c r="F30" i="2"/>
  <c r="F31" i="2"/>
  <c r="F32" i="2"/>
  <c r="F23" i="2"/>
  <c r="G23" i="2" s="1"/>
  <c r="H23" i="2" s="1"/>
  <c r="J23" i="2" s="1"/>
  <c r="D24" i="2"/>
  <c r="E24" i="2" s="1"/>
  <c r="H24" i="2" s="1"/>
  <c r="J24" i="2" s="1"/>
  <c r="D25" i="2"/>
  <c r="E25" i="2" s="1"/>
  <c r="D26" i="2"/>
  <c r="E26" i="2" s="1"/>
  <c r="D27" i="2"/>
  <c r="E27" i="2" s="1"/>
  <c r="D28" i="2"/>
  <c r="E28" i="2" s="1"/>
  <c r="D29" i="2"/>
  <c r="E29" i="2" s="1"/>
  <c r="D30" i="2"/>
  <c r="E30" i="2" s="1"/>
  <c r="D31" i="2"/>
  <c r="E31" i="2" s="1"/>
  <c r="D32" i="2"/>
  <c r="E32" i="2" s="1"/>
  <c r="D23" i="2"/>
  <c r="E23" i="2" s="1"/>
  <c r="B24" i="2"/>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E22" i="4"/>
  <c r="E31" i="4" s="1"/>
  <c r="E21" i="4"/>
  <c r="F10" i="4" s="1"/>
  <c r="E20" i="4"/>
  <c r="F56" i="4" s="1"/>
  <c r="E19" i="4"/>
  <c r="D10" i="4" s="1"/>
  <c r="C35" i="4"/>
  <c r="L28" i="4" s="1"/>
  <c r="S58" i="4"/>
  <c r="E8" i="1"/>
  <c r="D9" i="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D53" i="1" s="1"/>
  <c r="D54" i="1" s="1"/>
  <c r="D55" i="1" s="1"/>
  <c r="D56" i="1" s="1"/>
  <c r="D57" i="1" s="1"/>
  <c r="D58" i="1" s="1"/>
  <c r="D59" i="1" s="1"/>
  <c r="D60" i="1" s="1"/>
  <c r="D61" i="1" s="1"/>
  <c r="D62" i="1" s="1"/>
  <c r="D63" i="1" s="1"/>
  <c r="D64" i="1" s="1"/>
  <c r="D65" i="1" s="1"/>
  <c r="D66" i="1" s="1"/>
  <c r="D67" i="1" s="1"/>
  <c r="D68" i="1" s="1"/>
  <c r="D69" i="1" s="1"/>
  <c r="D70" i="1" s="1"/>
  <c r="D71" i="1" s="1"/>
  <c r="D72" i="1" s="1"/>
  <c r="D73" i="1" s="1"/>
  <c r="D74" i="1" s="1"/>
  <c r="D75" i="1" s="1"/>
  <c r="D76" i="1" s="1"/>
  <c r="D77" i="1" s="1"/>
  <c r="D78" i="1" s="1"/>
  <c r="D79" i="1" s="1"/>
  <c r="D80" i="1" s="1"/>
  <c r="D81" i="1" s="1"/>
  <c r="D82" i="1" s="1"/>
  <c r="D83" i="1" s="1"/>
  <c r="D84" i="1" s="1"/>
  <c r="D85" i="1" s="1"/>
  <c r="D86" i="1" s="1"/>
  <c r="D87" i="1" s="1"/>
  <c r="D88" i="1" s="1"/>
  <c r="D89" i="1" s="1"/>
  <c r="D90" i="1" s="1"/>
  <c r="D91" i="1" s="1"/>
  <c r="D92" i="1" s="1"/>
  <c r="D93" i="1" s="1"/>
  <c r="D94" i="1" s="1"/>
  <c r="D95" i="1" s="1"/>
  <c r="D96" i="1" s="1"/>
  <c r="D97" i="1" s="1"/>
  <c r="D98" i="1" s="1"/>
  <c r="D99" i="1" s="1"/>
  <c r="D100" i="1" s="1"/>
  <c r="D101" i="1" s="1"/>
  <c r="D102" i="1" s="1"/>
  <c r="D103" i="1" s="1"/>
  <c r="D104" i="1" s="1"/>
  <c r="D105" i="1" s="1"/>
  <c r="D106" i="1" s="1"/>
  <c r="D107" i="1" s="1"/>
  <c r="D108" i="1" s="1"/>
  <c r="D109" i="1" s="1"/>
  <c r="D110" i="1" s="1"/>
  <c r="D111" i="1" s="1"/>
  <c r="D112" i="1" s="1"/>
  <c r="D113" i="1" s="1"/>
  <c r="D114" i="1" s="1"/>
  <c r="D115" i="1" s="1"/>
  <c r="D116" i="1" s="1"/>
  <c r="D117" i="1" s="1"/>
  <c r="D118" i="1" s="1"/>
  <c r="D119" i="1" s="1"/>
  <c r="D120" i="1" s="1"/>
  <c r="D121" i="1" s="1"/>
  <c r="D122" i="1" s="1"/>
  <c r="D123" i="1" s="1"/>
  <c r="D124" i="1" s="1"/>
  <c r="D125" i="1" s="1"/>
  <c r="D126" i="1" s="1"/>
  <c r="D127" i="1" s="1"/>
  <c r="D128" i="1" s="1"/>
  <c r="D129" i="1" s="1"/>
  <c r="D130" i="1" s="1"/>
  <c r="D131" i="1" s="1"/>
  <c r="D132" i="1" s="1"/>
  <c r="D133" i="1" s="1"/>
  <c r="D134" i="1" s="1"/>
  <c r="D135" i="1" s="1"/>
  <c r="D136" i="1" s="1"/>
  <c r="D137" i="1" s="1"/>
  <c r="D138" i="1" s="1"/>
  <c r="D139" i="1" s="1"/>
  <c r="D140" i="1" s="1"/>
  <c r="D141" i="1" s="1"/>
  <c r="D142" i="1" s="1"/>
  <c r="D143" i="1" s="1"/>
  <c r="D144" i="1" s="1"/>
  <c r="D145" i="1" s="1"/>
  <c r="D146" i="1" s="1"/>
  <c r="D147" i="1" s="1"/>
  <c r="D148" i="1" s="1"/>
  <c r="D149" i="1" s="1"/>
  <c r="D150" i="1" s="1"/>
  <c r="D151" i="1" s="1"/>
  <c r="D152" i="1" s="1"/>
  <c r="D153" i="1" s="1"/>
  <c r="D154" i="1" s="1"/>
  <c r="D155" i="1" s="1"/>
  <c r="D156" i="1" s="1"/>
  <c r="D157" i="1" s="1"/>
  <c r="D158" i="1" s="1"/>
  <c r="D159" i="1" s="1"/>
  <c r="D160" i="1" s="1"/>
  <c r="D161" i="1" s="1"/>
  <c r="D162" i="1" s="1"/>
  <c r="D163" i="1" s="1"/>
  <c r="D164" i="1" s="1"/>
  <c r="D165" i="1" s="1"/>
  <c r="D166" i="1" s="1"/>
  <c r="D167" i="1" s="1"/>
  <c r="D168" i="1" s="1"/>
  <c r="D169" i="1" s="1"/>
  <c r="D170" i="1" s="1"/>
  <c r="D171" i="1" s="1"/>
  <c r="D172" i="1" s="1"/>
  <c r="D173" i="1" s="1"/>
  <c r="D174" i="1" s="1"/>
  <c r="D175" i="1" s="1"/>
  <c r="D176" i="1" s="1"/>
  <c r="D177" i="1" s="1"/>
  <c r="D178" i="1" s="1"/>
  <c r="D179" i="1" s="1"/>
  <c r="D180" i="1" s="1"/>
  <c r="D181" i="1" s="1"/>
  <c r="D182" i="1" s="1"/>
  <c r="D183" i="1" s="1"/>
  <c r="D184" i="1" s="1"/>
  <c r="D185" i="1" s="1"/>
  <c r="D186" i="1" s="1"/>
  <c r="D187" i="1" s="1"/>
  <c r="D188" i="1" s="1"/>
  <c r="D189" i="1" s="1"/>
  <c r="D190" i="1" s="1"/>
  <c r="D191" i="1" s="1"/>
  <c r="D192" i="1" s="1"/>
  <c r="D193" i="1" s="1"/>
  <c r="D194" i="1" s="1"/>
  <c r="D195" i="1" s="1"/>
  <c r="D196" i="1" s="1"/>
  <c r="D197" i="1" s="1"/>
  <c r="D198" i="1" s="1"/>
  <c r="D199" i="1" s="1"/>
  <c r="D200" i="1" s="1"/>
  <c r="D201" i="1" s="1"/>
  <c r="D202" i="1" s="1"/>
  <c r="D203" i="1" s="1"/>
  <c r="D204" i="1" s="1"/>
  <c r="D205" i="1" s="1"/>
  <c r="D206" i="1" s="1"/>
  <c r="D207" i="1" s="1"/>
  <c r="D208" i="1" s="1"/>
  <c r="D209" i="1" s="1"/>
  <c r="D210" i="1" s="1"/>
  <c r="D211" i="1" s="1"/>
  <c r="D212" i="1" s="1"/>
  <c r="D213" i="1" s="1"/>
  <c r="D214" i="1" s="1"/>
  <c r="D215" i="1" s="1"/>
  <c r="D216" i="1" s="1"/>
  <c r="D217" i="1" s="1"/>
  <c r="D218" i="1" s="1"/>
  <c r="D219" i="1" s="1"/>
  <c r="D220" i="1" s="1"/>
  <c r="D221" i="1" s="1"/>
  <c r="D222" i="1" s="1"/>
  <c r="D223" i="1" s="1"/>
  <c r="D224" i="1" s="1"/>
  <c r="D225" i="1" s="1"/>
  <c r="D226" i="1" s="1"/>
  <c r="D227" i="1" s="1"/>
  <c r="D228" i="1" s="1"/>
  <c r="D229" i="1" s="1"/>
  <c r="D230" i="1" s="1"/>
  <c r="D231" i="1" s="1"/>
  <c r="D232" i="1" s="1"/>
  <c r="D233" i="1" s="1"/>
  <c r="D234" i="1" s="1"/>
  <c r="D235" i="1" s="1"/>
  <c r="D236" i="1" s="1"/>
  <c r="D237" i="1" s="1"/>
  <c r="D238" i="1" s="1"/>
  <c r="D239" i="1" s="1"/>
  <c r="D240" i="1" s="1"/>
  <c r="D241" i="1" s="1"/>
  <c r="D242" i="1" s="1"/>
  <c r="D243" i="1" s="1"/>
  <c r="D244" i="1" s="1"/>
  <c r="D245" i="1" s="1"/>
  <c r="D246" i="1" s="1"/>
  <c r="D247" i="1" s="1"/>
  <c r="D248" i="1" s="1"/>
  <c r="D249" i="1" s="1"/>
  <c r="D250" i="1" s="1"/>
  <c r="D251" i="1" s="1"/>
  <c r="D252" i="1" s="1"/>
  <c r="D253" i="1" s="1"/>
  <c r="D254" i="1" s="1"/>
  <c r="D255" i="1" s="1"/>
  <c r="D256" i="1" s="1"/>
  <c r="D257" i="1" s="1"/>
  <c r="D258" i="1" s="1"/>
  <c r="D259" i="1" s="1"/>
  <c r="D260" i="1" s="1"/>
  <c r="D261" i="1" s="1"/>
  <c r="D262" i="1" s="1"/>
  <c r="D263" i="1" s="1"/>
  <c r="D264" i="1" s="1"/>
  <c r="D265" i="1" s="1"/>
  <c r="D266" i="1" s="1"/>
  <c r="D267" i="1" s="1"/>
  <c r="D268" i="1" s="1"/>
  <c r="D269" i="1" s="1"/>
  <c r="D270" i="1" s="1"/>
  <c r="D271" i="1" s="1"/>
  <c r="D272" i="1" s="1"/>
  <c r="D273" i="1" s="1"/>
  <c r="D274" i="1" s="1"/>
  <c r="D275" i="1" s="1"/>
  <c r="D276" i="1" s="1"/>
  <c r="D277" i="1" s="1"/>
  <c r="D278" i="1" s="1"/>
  <c r="D279" i="1" s="1"/>
  <c r="D280" i="1" s="1"/>
  <c r="D281" i="1" s="1"/>
  <c r="D282" i="1" s="1"/>
  <c r="D283" i="1" s="1"/>
  <c r="D284" i="1" s="1"/>
  <c r="D285" i="1" s="1"/>
  <c r="D286" i="1" s="1"/>
  <c r="D287" i="1" s="1"/>
  <c r="D288" i="1" s="1"/>
  <c r="D289" i="1" s="1"/>
  <c r="D290" i="1" s="1"/>
  <c r="D291" i="1" s="1"/>
  <c r="D292" i="1" s="1"/>
  <c r="D293" i="1" s="1"/>
  <c r="D294" i="1" s="1"/>
  <c r="D295" i="1" s="1"/>
  <c r="D296" i="1" s="1"/>
  <c r="D297" i="1" s="1"/>
  <c r="D298" i="1" s="1"/>
  <c r="D299" i="1" s="1"/>
  <c r="D300" i="1" s="1"/>
  <c r="D301" i="1" s="1"/>
  <c r="D302" i="1" s="1"/>
  <c r="D303" i="1" s="1"/>
  <c r="D304" i="1" s="1"/>
  <c r="D305" i="1" s="1"/>
  <c r="D306" i="1" s="1"/>
  <c r="D307" i="1" s="1"/>
  <c r="D308" i="1" s="1"/>
  <c r="D309" i="1" s="1"/>
  <c r="D310" i="1" s="1"/>
  <c r="D311" i="1" s="1"/>
  <c r="D312" i="1" s="1"/>
  <c r="D313" i="1" s="1"/>
  <c r="D314" i="1" s="1"/>
  <c r="D315" i="1" s="1"/>
  <c r="D316" i="1" s="1"/>
  <c r="D317" i="1" s="1"/>
  <c r="D318" i="1" s="1"/>
  <c r="D319" i="1" s="1"/>
  <c r="D320" i="1" s="1"/>
  <c r="D321" i="1" s="1"/>
  <c r="D322" i="1" s="1"/>
  <c r="D323" i="1" s="1"/>
  <c r="D324" i="1" s="1"/>
  <c r="D325" i="1" s="1"/>
  <c r="D326" i="1" s="1"/>
  <c r="D327" i="1" s="1"/>
  <c r="D328" i="1" s="1"/>
  <c r="D329" i="1" s="1"/>
  <c r="D330" i="1" s="1"/>
  <c r="D331" i="1" s="1"/>
  <c r="D332" i="1" s="1"/>
  <c r="D333" i="1" s="1"/>
  <c r="D334" i="1" s="1"/>
  <c r="D335" i="1" s="1"/>
  <c r="D336" i="1" s="1"/>
  <c r="D337" i="1" s="1"/>
  <c r="D338" i="1" s="1"/>
  <c r="D339" i="1" s="1"/>
  <c r="D340" i="1" s="1"/>
  <c r="D341" i="1" s="1"/>
  <c r="D342" i="1" s="1"/>
  <c r="D343" i="1" s="1"/>
  <c r="D344" i="1" s="1"/>
  <c r="D345" i="1" s="1"/>
  <c r="D346" i="1" s="1"/>
  <c r="D347" i="1" s="1"/>
  <c r="D348" i="1" s="1"/>
  <c r="D349" i="1" s="1"/>
  <c r="D350" i="1" s="1"/>
  <c r="D351" i="1" s="1"/>
  <c r="D352" i="1" s="1"/>
  <c r="D353" i="1" s="1"/>
  <c r="D354" i="1" s="1"/>
  <c r="D355" i="1" s="1"/>
  <c r="D356" i="1" s="1"/>
  <c r="D357" i="1" s="1"/>
  <c r="D358" i="1" s="1"/>
  <c r="D359" i="1" s="1"/>
  <c r="D360" i="1" s="1"/>
  <c r="D361" i="1" s="1"/>
  <c r="D362" i="1" s="1"/>
  <c r="D363" i="1" s="1"/>
  <c r="D364" i="1" s="1"/>
  <c r="D365" i="1" s="1"/>
  <c r="D366" i="1" s="1"/>
  <c r="D367" i="1" s="1"/>
  <c r="D368" i="1" s="1"/>
  <c r="E368" i="1" s="1"/>
  <c r="H31" i="4" l="1"/>
  <c r="C59" i="4" s="1"/>
  <c r="E42" i="11"/>
  <c r="E43" i="11" s="1"/>
  <c r="C47" i="11" s="1"/>
  <c r="I11" i="11"/>
  <c r="J12" i="11" s="1"/>
  <c r="H12" i="11"/>
  <c r="D34" i="11"/>
  <c r="E44" i="11" s="1"/>
  <c r="E45" i="11" s="1"/>
  <c r="K9" i="11"/>
  <c r="K10" i="11" s="1"/>
  <c r="K11" i="11" s="1"/>
  <c r="K12" i="11" s="1"/>
  <c r="K25" i="2"/>
  <c r="L26" i="2" s="1"/>
  <c r="S59" i="4"/>
  <c r="S60" i="4" s="1"/>
  <c r="S61" i="4" s="1"/>
  <c r="S62" i="4" s="1"/>
  <c r="S63" i="4" s="1"/>
  <c r="S64" i="4" s="1"/>
  <c r="S65" i="4" s="1"/>
  <c r="S66" i="4" s="1"/>
  <c r="S67" i="4" s="1"/>
  <c r="S68" i="4" s="1"/>
  <c r="S69" i="4" s="1"/>
  <c r="S70" i="4" s="1"/>
  <c r="S71" i="4" s="1"/>
  <c r="S72" i="4" s="1"/>
  <c r="S73" i="4" s="1"/>
  <c r="S74" i="4" s="1"/>
  <c r="S75" i="4" s="1"/>
  <c r="S76" i="4" s="1"/>
  <c r="S77" i="4" s="1"/>
  <c r="S78" i="4" s="1"/>
  <c r="S79" i="4" s="1"/>
  <c r="S80" i="4" s="1"/>
  <c r="S81" i="4" s="1"/>
  <c r="S82" i="4" s="1"/>
  <c r="S83" i="4" s="1"/>
  <c r="S84" i="4" s="1"/>
  <c r="S85" i="4" s="1"/>
  <c r="S86" i="4" s="1"/>
  <c r="S87" i="4" s="1"/>
  <c r="S88" i="4" s="1"/>
  <c r="S89" i="4" s="1"/>
  <c r="S90" i="4" s="1"/>
  <c r="S91" i="4" s="1"/>
  <c r="S92" i="4" s="1"/>
  <c r="S93" i="4" s="1"/>
  <c r="S94" i="4" s="1"/>
  <c r="S95" i="4" s="1"/>
  <c r="S96" i="4" s="1"/>
  <c r="S97" i="4" s="1"/>
  <c r="S98" i="4" s="1"/>
  <c r="S99" i="4" s="1"/>
  <c r="S100" i="4" s="1"/>
  <c r="S101" i="4" s="1"/>
  <c r="S102" i="4" s="1"/>
  <c r="S103" i="4" s="1"/>
  <c r="S104" i="4" s="1"/>
  <c r="S105" i="4" s="1"/>
  <c r="S106" i="4" s="1"/>
  <c r="S107" i="4" s="1"/>
  <c r="S108" i="4" s="1"/>
  <c r="S109" i="4" s="1"/>
  <c r="S110" i="4" s="1"/>
  <c r="S111" i="4" s="1"/>
  <c r="S112" i="4" s="1"/>
  <c r="S113" i="4" s="1"/>
  <c r="S114" i="4" s="1"/>
  <c r="S115" i="4" s="1"/>
  <c r="S116" i="4" s="1"/>
  <c r="S117" i="4" s="1"/>
  <c r="S118" i="4" s="1"/>
  <c r="S119" i="4" s="1"/>
  <c r="S120" i="4" s="1"/>
  <c r="S121" i="4" s="1"/>
  <c r="S122" i="4" s="1"/>
  <c r="S123" i="4" s="1"/>
  <c r="S124" i="4" s="1"/>
  <c r="S125" i="4" s="1"/>
  <c r="S126" i="4" s="1"/>
  <c r="S127" i="4" s="1"/>
  <c r="S128" i="4" s="1"/>
  <c r="S129" i="4" s="1"/>
  <c r="S130" i="4" s="1"/>
  <c r="S131" i="4" s="1"/>
  <c r="S132" i="4" s="1"/>
  <c r="S133" i="4" s="1"/>
  <c r="S134" i="4" s="1"/>
  <c r="S135" i="4" s="1"/>
  <c r="S136" i="4" s="1"/>
  <c r="S137" i="4" s="1"/>
  <c r="S138" i="4" s="1"/>
  <c r="S139" i="4" s="1"/>
  <c r="S140" i="4" s="1"/>
  <c r="S141" i="4" s="1"/>
  <c r="S142" i="4" s="1"/>
  <c r="S143" i="4" s="1"/>
  <c r="S144" i="4" s="1"/>
  <c r="S145" i="4" s="1"/>
  <c r="S146" i="4" s="1"/>
  <c r="S147" i="4" s="1"/>
  <c r="S148" i="4" s="1"/>
  <c r="S149" i="4" s="1"/>
  <c r="S150" i="4" s="1"/>
  <c r="S151" i="4" s="1"/>
  <c r="S152" i="4" s="1"/>
  <c r="S153" i="4" s="1"/>
  <c r="S154" i="4" s="1"/>
  <c r="S155" i="4" s="1"/>
  <c r="S156" i="4" s="1"/>
  <c r="S157" i="4" s="1"/>
  <c r="S158" i="4" s="1"/>
  <c r="S159" i="4" s="1"/>
  <c r="S160" i="4" s="1"/>
  <c r="S161" i="4" s="1"/>
  <c r="S162" i="4" s="1"/>
  <c r="S163" i="4" s="1"/>
  <c r="S164" i="4" s="1"/>
  <c r="S165" i="4" s="1"/>
  <c r="S166" i="4" s="1"/>
  <c r="S167" i="4" s="1"/>
  <c r="S168" i="4" s="1"/>
  <c r="S169" i="4" s="1"/>
  <c r="S170" i="4" s="1"/>
  <c r="S171" i="4" s="1"/>
  <c r="S172" i="4" s="1"/>
  <c r="S173" i="4" s="1"/>
  <c r="S174" i="4" s="1"/>
  <c r="S175" i="4" s="1"/>
  <c r="S176" i="4" s="1"/>
  <c r="S177" i="4" s="1"/>
  <c r="S178" i="4" s="1"/>
  <c r="S179" i="4" s="1"/>
  <c r="S180" i="4" s="1"/>
  <c r="S181" i="4" s="1"/>
  <c r="S182" i="4" s="1"/>
  <c r="S183" i="4" s="1"/>
  <c r="S184" i="4" s="1"/>
  <c r="S185" i="4" s="1"/>
  <c r="S186" i="4" s="1"/>
  <c r="S187" i="4" s="1"/>
  <c r="S188" i="4" s="1"/>
  <c r="S189" i="4" s="1"/>
  <c r="S190" i="4" s="1"/>
  <c r="S191" i="4" s="1"/>
  <c r="S192" i="4" s="1"/>
  <c r="S193" i="4" s="1"/>
  <c r="S194" i="4" s="1"/>
  <c r="S195" i="4" s="1"/>
  <c r="S196" i="4" s="1"/>
  <c r="S197" i="4" s="1"/>
  <c r="S198" i="4" s="1"/>
  <c r="S199" i="4" s="1"/>
  <c r="S200" i="4" s="1"/>
  <c r="S201" i="4" s="1"/>
  <c r="S202" i="4" s="1"/>
  <c r="S203" i="4" s="1"/>
  <c r="S204" i="4" s="1"/>
  <c r="S205" i="4" s="1"/>
  <c r="S206" i="4" s="1"/>
  <c r="S207" i="4" s="1"/>
  <c r="S208" i="4" s="1"/>
  <c r="S209" i="4" s="1"/>
  <c r="S210" i="4" s="1"/>
  <c r="S211" i="4" s="1"/>
  <c r="S212" i="4" s="1"/>
  <c r="S213" i="4" s="1"/>
  <c r="S214" i="4" s="1"/>
  <c r="S215" i="4" s="1"/>
  <c r="S216" i="4" s="1"/>
  <c r="S217" i="4" s="1"/>
  <c r="S218" i="4" s="1"/>
  <c r="S219" i="4" s="1"/>
  <c r="S220" i="4" s="1"/>
  <c r="S221" i="4" s="1"/>
  <c r="S222" i="4" s="1"/>
  <c r="S223" i="4" s="1"/>
  <c r="S224" i="4" s="1"/>
  <c r="S225" i="4" s="1"/>
  <c r="S226" i="4" s="1"/>
  <c r="S227" i="4" s="1"/>
  <c r="S228" i="4" s="1"/>
  <c r="S229" i="4" s="1"/>
  <c r="S230" i="4" s="1"/>
  <c r="S231" i="4" s="1"/>
  <c r="S232" i="4" s="1"/>
  <c r="S233" i="4" s="1"/>
  <c r="S234" i="4" s="1"/>
  <c r="S235" i="4" s="1"/>
  <c r="S236" i="4" s="1"/>
  <c r="S237" i="4" s="1"/>
  <c r="S238" i="4" s="1"/>
  <c r="S239" i="4" s="1"/>
  <c r="S240" i="4" s="1"/>
  <c r="S241" i="4" s="1"/>
  <c r="S242" i="4" s="1"/>
  <c r="S243" i="4" s="1"/>
  <c r="S244" i="4" s="1"/>
  <c r="S245" i="4" s="1"/>
  <c r="S246" i="4" s="1"/>
  <c r="S247" i="4" s="1"/>
  <c r="S248" i="4" s="1"/>
  <c r="S249" i="4" s="1"/>
  <c r="S250" i="4" s="1"/>
  <c r="S251" i="4" s="1"/>
  <c r="S252" i="4" s="1"/>
  <c r="S253" i="4" s="1"/>
  <c r="S254" i="4" s="1"/>
  <c r="S255" i="4" s="1"/>
  <c r="S256" i="4" s="1"/>
  <c r="S257" i="4" s="1"/>
  <c r="S258" i="4" s="1"/>
  <c r="S259" i="4" s="1"/>
  <c r="S260" i="4" s="1"/>
  <c r="S261" i="4" s="1"/>
  <c r="S262" i="4" s="1"/>
  <c r="S263" i="4" s="1"/>
  <c r="S264" i="4" s="1"/>
  <c r="S265" i="4" s="1"/>
  <c r="S266" i="4" s="1"/>
  <c r="S267" i="4" s="1"/>
  <c r="S268" i="4" s="1"/>
  <c r="S269" i="4" s="1"/>
  <c r="S270" i="4" s="1"/>
  <c r="S271" i="4" s="1"/>
  <c r="S272" i="4" s="1"/>
  <c r="S273" i="4" s="1"/>
  <c r="S274" i="4" s="1"/>
  <c r="S275" i="4" s="1"/>
  <c r="S276" i="4" s="1"/>
  <c r="S277" i="4" s="1"/>
  <c r="S278" i="4" s="1"/>
  <c r="S279" i="4" s="1"/>
  <c r="S280" i="4" s="1"/>
  <c r="S281" i="4" s="1"/>
  <c r="S282" i="4" s="1"/>
  <c r="S283" i="4" s="1"/>
  <c r="S284" i="4" s="1"/>
  <c r="S285" i="4" s="1"/>
  <c r="S286" i="4" s="1"/>
  <c r="S287" i="4" s="1"/>
  <c r="S288" i="4" s="1"/>
  <c r="S289" i="4" s="1"/>
  <c r="S290" i="4" s="1"/>
  <c r="S291" i="4" s="1"/>
  <c r="S292" i="4" s="1"/>
  <c r="S293" i="4" s="1"/>
  <c r="S294" i="4" s="1"/>
  <c r="S295" i="4" s="1"/>
  <c r="S296" i="4" s="1"/>
  <c r="S297" i="4" s="1"/>
  <c r="S298" i="4" s="1"/>
  <c r="S299" i="4" s="1"/>
  <c r="S300" i="4" s="1"/>
  <c r="S301" i="4" s="1"/>
  <c r="S302" i="4" s="1"/>
  <c r="S303" i="4" s="1"/>
  <c r="S304" i="4" s="1"/>
  <c r="S305" i="4" s="1"/>
  <c r="S306" i="4" s="1"/>
  <c r="S307" i="4" s="1"/>
  <c r="S308" i="4" s="1"/>
  <c r="S309" i="4" s="1"/>
  <c r="S310" i="4" s="1"/>
  <c r="S311" i="4" s="1"/>
  <c r="S312" i="4" s="1"/>
  <c r="S313" i="4" s="1"/>
  <c r="S314" i="4" s="1"/>
  <c r="S315" i="4" s="1"/>
  <c r="S316" i="4" s="1"/>
  <c r="S317" i="4" s="1"/>
  <c r="S318" i="4" s="1"/>
  <c r="S319" i="4" s="1"/>
  <c r="S320" i="4" s="1"/>
  <c r="S321" i="4" s="1"/>
  <c r="S322" i="4" s="1"/>
  <c r="S323" i="4" s="1"/>
  <c r="S324" i="4" s="1"/>
  <c r="S325" i="4" s="1"/>
  <c r="S326" i="4" s="1"/>
  <c r="S327" i="4" s="1"/>
  <c r="S328" i="4" s="1"/>
  <c r="S329" i="4" s="1"/>
  <c r="S330" i="4" s="1"/>
  <c r="S331" i="4" s="1"/>
  <c r="S332" i="4" s="1"/>
  <c r="S333" i="4" s="1"/>
  <c r="S334" i="4" s="1"/>
  <c r="S335" i="4" s="1"/>
  <c r="S336" i="4" s="1"/>
  <c r="S337" i="4" s="1"/>
  <c r="S338" i="4" s="1"/>
  <c r="S339" i="4" s="1"/>
  <c r="S340" i="4" s="1"/>
  <c r="S341" i="4" s="1"/>
  <c r="S342" i="4" s="1"/>
  <c r="S343" i="4" s="1"/>
  <c r="S344" i="4" s="1"/>
  <c r="S345" i="4" s="1"/>
  <c r="S346" i="4" s="1"/>
  <c r="S347" i="4" s="1"/>
  <c r="S348" i="4" s="1"/>
  <c r="S349" i="4" s="1"/>
  <c r="S350" i="4" s="1"/>
  <c r="S351" i="4" s="1"/>
  <c r="S352" i="4" s="1"/>
  <c r="S353" i="4" s="1"/>
  <c r="S354" i="4" s="1"/>
  <c r="S355" i="4" s="1"/>
  <c r="S356" i="4" s="1"/>
  <c r="S357" i="4" s="1"/>
  <c r="S358" i="4" s="1"/>
  <c r="S359" i="4" s="1"/>
  <c r="S360" i="4" s="1"/>
  <c r="S361" i="4" s="1"/>
  <c r="S362" i="4" s="1"/>
  <c r="S363" i="4" s="1"/>
  <c r="S364" i="4" s="1"/>
  <c r="S365" i="4" s="1"/>
  <c r="S366" i="4" s="1"/>
  <c r="S367" i="4" s="1"/>
  <c r="S368" i="4" s="1"/>
  <c r="S369" i="4" s="1"/>
  <c r="S370" i="4" s="1"/>
  <c r="S371" i="4" s="1"/>
  <c r="S372" i="4" s="1"/>
  <c r="S373" i="4" s="1"/>
  <c r="S374" i="4" s="1"/>
  <c r="S375" i="4" s="1"/>
  <c r="S376" i="4" s="1"/>
  <c r="S377" i="4" s="1"/>
  <c r="S378" i="4" s="1"/>
  <c r="S379" i="4" s="1"/>
  <c r="S380" i="4" s="1"/>
  <c r="S381" i="4" s="1"/>
  <c r="S382" i="4" s="1"/>
  <c r="S383" i="4" s="1"/>
  <c r="S384" i="4" s="1"/>
  <c r="S385" i="4" s="1"/>
  <c r="S386" i="4" s="1"/>
  <c r="S387" i="4" s="1"/>
  <c r="S388" i="4" s="1"/>
  <c r="S389" i="4" s="1"/>
  <c r="S390" i="4" s="1"/>
  <c r="S391" i="4" s="1"/>
  <c r="S392" i="4" s="1"/>
  <c r="S393" i="4" s="1"/>
  <c r="S394" i="4" s="1"/>
  <c r="S395" i="4" s="1"/>
  <c r="S396" i="4" s="1"/>
  <c r="S397" i="4" s="1"/>
  <c r="S398" i="4" s="1"/>
  <c r="S399" i="4" s="1"/>
  <c r="S400" i="4" s="1"/>
  <c r="S401" i="4" s="1"/>
  <c r="S402" i="4" s="1"/>
  <c r="S403" i="4" s="1"/>
  <c r="S404" i="4" s="1"/>
  <c r="S405" i="4" s="1"/>
  <c r="S406" i="4" s="1"/>
  <c r="S407" i="4" s="1"/>
  <c r="S408" i="4" s="1"/>
  <c r="S409" i="4" s="1"/>
  <c r="S410" i="4" s="1"/>
  <c r="S411" i="4" s="1"/>
  <c r="S412" i="4" s="1"/>
  <c r="S413" i="4" s="1"/>
  <c r="S414" i="4" s="1"/>
  <c r="S415" i="4" s="1"/>
  <c r="S416" i="4" s="1"/>
  <c r="S417" i="4" s="1"/>
  <c r="S418" i="4" s="1"/>
  <c r="S419" i="4" s="1"/>
  <c r="S420" i="4" s="1"/>
  <c r="S421" i="4" s="1"/>
  <c r="S422" i="4" s="1"/>
  <c r="S423" i="4" s="1"/>
  <c r="S424" i="4" s="1"/>
  <c r="S425" i="4" s="1"/>
  <c r="S426" i="4" s="1"/>
  <c r="S427" i="4" s="1"/>
  <c r="S428" i="4" s="1"/>
  <c r="S429" i="4" s="1"/>
  <c r="S430" i="4" s="1"/>
  <c r="S431" i="4" s="1"/>
  <c r="S432" i="4" s="1"/>
  <c r="S433" i="4" s="1"/>
  <c r="S434" i="4" s="1"/>
  <c r="S435" i="4" s="1"/>
  <c r="S436" i="4" s="1"/>
  <c r="S437" i="4" s="1"/>
  <c r="S438" i="4" s="1"/>
  <c r="S439" i="4" s="1"/>
  <c r="S440" i="4" s="1"/>
  <c r="S441" i="4" s="1"/>
  <c r="S442" i="4" s="1"/>
  <c r="S443" i="4" s="1"/>
  <c r="S444" i="4" s="1"/>
  <c r="S445" i="4" s="1"/>
  <c r="S446" i="4" s="1"/>
  <c r="S447" i="4" s="1"/>
  <c r="S448" i="4" s="1"/>
  <c r="S449" i="4" s="1"/>
  <c r="S450" i="4" s="1"/>
  <c r="S451" i="4" s="1"/>
  <c r="S452" i="4" s="1"/>
  <c r="S453" i="4" s="1"/>
  <c r="S454" i="4" s="1"/>
  <c r="S455" i="4" s="1"/>
  <c r="S456" i="4" s="1"/>
  <c r="S457" i="4" s="1"/>
  <c r="S458" i="4" s="1"/>
  <c r="S459" i="4" s="1"/>
  <c r="S460" i="4" s="1"/>
  <c r="S461" i="4" s="1"/>
  <c r="S462" i="4" s="1"/>
  <c r="S463" i="4" s="1"/>
  <c r="S464" i="4" s="1"/>
  <c r="S465" i="4" s="1"/>
  <c r="S466" i="4" s="1"/>
  <c r="S467" i="4" s="1"/>
  <c r="S468" i="4" s="1"/>
  <c r="S469" i="4" s="1"/>
  <c r="S470" i="4" s="1"/>
  <c r="S471" i="4" s="1"/>
  <c r="S472" i="4" s="1"/>
  <c r="S473" i="4" s="1"/>
  <c r="S474" i="4" s="1"/>
  <c r="S475" i="4" s="1"/>
  <c r="S476" i="4" s="1"/>
  <c r="S477" i="4" s="1"/>
  <c r="S478" i="4" s="1"/>
  <c r="S479" i="4" s="1"/>
  <c r="S480" i="4" s="1"/>
  <c r="S481" i="4" s="1"/>
  <c r="S482" i="4" s="1"/>
  <c r="S483" i="4" s="1"/>
  <c r="S484" i="4" s="1"/>
  <c r="S485" i="4" s="1"/>
  <c r="S486" i="4" s="1"/>
  <c r="S487" i="4" s="1"/>
  <c r="S488" i="4" s="1"/>
  <c r="S489" i="4" s="1"/>
  <c r="S490" i="4" s="1"/>
  <c r="S491" i="4" s="1"/>
  <c r="S492" i="4" s="1"/>
  <c r="S493" i="4" s="1"/>
  <c r="S494" i="4" s="1"/>
  <c r="S495" i="4" s="1"/>
  <c r="S496" i="4" s="1"/>
  <c r="S497" i="4" s="1"/>
  <c r="S498" i="4" s="1"/>
  <c r="S499" i="4" s="1"/>
  <c r="S500" i="4" s="1"/>
  <c r="S501" i="4" s="1"/>
  <c r="S502" i="4" s="1"/>
  <c r="S503" i="4" s="1"/>
  <c r="S504" i="4" s="1"/>
  <c r="S505" i="4" s="1"/>
  <c r="S506" i="4" s="1"/>
  <c r="S507" i="4" s="1"/>
  <c r="S508" i="4" s="1"/>
  <c r="S509" i="4" s="1"/>
  <c r="S510" i="4" s="1"/>
  <c r="S511" i="4" s="1"/>
  <c r="S512" i="4" s="1"/>
  <c r="S513" i="4" s="1"/>
  <c r="S514" i="4" s="1"/>
  <c r="S515" i="4" s="1"/>
  <c r="S516" i="4" s="1"/>
  <c r="S517" i="4" s="1"/>
  <c r="S518" i="4" s="1"/>
  <c r="S519" i="4" s="1"/>
  <c r="S520" i="4" s="1"/>
  <c r="S521" i="4" s="1"/>
  <c r="S522" i="4" s="1"/>
  <c r="S523" i="4" s="1"/>
  <c r="S524" i="4" s="1"/>
  <c r="S525" i="4" s="1"/>
  <c r="S526" i="4" s="1"/>
  <c r="S527" i="4" s="1"/>
  <c r="S528" i="4" s="1"/>
  <c r="S529" i="4" s="1"/>
  <c r="S530" i="4" s="1"/>
  <c r="S531" i="4" s="1"/>
  <c r="S532" i="4" s="1"/>
  <c r="S533" i="4" s="1"/>
  <c r="S534" i="4" s="1"/>
  <c r="S535" i="4" s="1"/>
  <c r="S536" i="4" s="1"/>
  <c r="S537" i="4" s="1"/>
  <c r="S538" i="4" s="1"/>
  <c r="S539" i="4" s="1"/>
  <c r="S540" i="4" s="1"/>
  <c r="S541" i="4" s="1"/>
  <c r="S542" i="4" s="1"/>
  <c r="S543" i="4" s="1"/>
  <c r="S544" i="4" s="1"/>
  <c r="S545" i="4" s="1"/>
  <c r="S546" i="4" s="1"/>
  <c r="S547" i="4" s="1"/>
  <c r="S548" i="4" s="1"/>
  <c r="S549" i="4" s="1"/>
  <c r="S550" i="4" s="1"/>
  <c r="S551" i="4" s="1"/>
  <c r="S552" i="4" s="1"/>
  <c r="S553" i="4" s="1"/>
  <c r="S554" i="4" s="1"/>
  <c r="S555" i="4" s="1"/>
  <c r="S556" i="4" s="1"/>
  <c r="S557" i="4" s="1"/>
  <c r="S558" i="4" s="1"/>
  <c r="S559" i="4" s="1"/>
  <c r="S560" i="4" s="1"/>
  <c r="S561" i="4" s="1"/>
  <c r="S562" i="4" s="1"/>
  <c r="S563" i="4" s="1"/>
  <c r="S564" i="4" s="1"/>
  <c r="S565" i="4" s="1"/>
  <c r="S566" i="4" s="1"/>
  <c r="S567" i="4" s="1"/>
  <c r="S568" i="4" s="1"/>
  <c r="S569" i="4" s="1"/>
  <c r="S570" i="4" s="1"/>
  <c r="S571" i="4" s="1"/>
  <c r="S572" i="4" s="1"/>
  <c r="S573" i="4" s="1"/>
  <c r="S574" i="4" s="1"/>
  <c r="S575" i="4" s="1"/>
  <c r="S576" i="4" s="1"/>
  <c r="S577" i="4" s="1"/>
  <c r="S578" i="4" s="1"/>
  <c r="S579" i="4" s="1"/>
  <c r="S580" i="4" s="1"/>
  <c r="S581" i="4" s="1"/>
  <c r="S582" i="4" s="1"/>
  <c r="S583" i="4" s="1"/>
  <c r="S584" i="4" s="1"/>
  <c r="S585" i="4" s="1"/>
  <c r="S586" i="4" s="1"/>
  <c r="S587" i="4" s="1"/>
  <c r="S588" i="4" s="1"/>
  <c r="S589" i="4" s="1"/>
  <c r="S590" i="4" s="1"/>
  <c r="S591" i="4" s="1"/>
  <c r="S592" i="4" s="1"/>
  <c r="S593" i="4" s="1"/>
  <c r="S594" i="4" s="1"/>
  <c r="S595" i="4" s="1"/>
  <c r="S596" i="4" s="1"/>
  <c r="S597" i="4" s="1"/>
  <c r="S598" i="4" s="1"/>
  <c r="S599" i="4" s="1"/>
  <c r="S600" i="4" s="1"/>
  <c r="S601" i="4" s="1"/>
  <c r="S602" i="4" s="1"/>
  <c r="S603" i="4" s="1"/>
  <c r="S604" i="4" s="1"/>
  <c r="S605" i="4" s="1"/>
  <c r="S606" i="4" s="1"/>
  <c r="S607" i="4" s="1"/>
  <c r="S608" i="4" s="1"/>
  <c r="S609" i="4" s="1"/>
  <c r="S610" i="4" s="1"/>
  <c r="S611" i="4" s="1"/>
  <c r="S612" i="4" s="1"/>
  <c r="S613" i="4" s="1"/>
  <c r="S614" i="4" s="1"/>
  <c r="S615" i="4" s="1"/>
  <c r="S616" i="4" s="1"/>
  <c r="S617" i="4" s="1"/>
  <c r="S618" i="4" s="1"/>
  <c r="S619" i="4" s="1"/>
  <c r="S620" i="4" s="1"/>
  <c r="S621" i="4" s="1"/>
  <c r="S622" i="4" s="1"/>
  <c r="S623" i="4" s="1"/>
  <c r="S624" i="4" s="1"/>
  <c r="S625" i="4" s="1"/>
  <c r="S626" i="4" s="1"/>
  <c r="S627" i="4" s="1"/>
  <c r="S628" i="4" s="1"/>
  <c r="S629" i="4" s="1"/>
  <c r="S630" i="4" s="1"/>
  <c r="S631" i="4" s="1"/>
  <c r="S632" i="4" s="1"/>
  <c r="S633" i="4" s="1"/>
  <c r="S634" i="4" s="1"/>
  <c r="S635" i="4" s="1"/>
  <c r="S636" i="4" s="1"/>
  <c r="S637" i="4" s="1"/>
  <c r="S638" i="4" s="1"/>
  <c r="S639" i="4" s="1"/>
  <c r="S640" i="4" s="1"/>
  <c r="S641" i="4" s="1"/>
  <c r="S642" i="4" s="1"/>
  <c r="S643" i="4" s="1"/>
  <c r="S644" i="4" s="1"/>
  <c r="S645" i="4" s="1"/>
  <c r="S646" i="4" s="1"/>
  <c r="S647" i="4" s="1"/>
  <c r="S648" i="4" s="1"/>
  <c r="S649" i="4" s="1"/>
  <c r="S650" i="4" s="1"/>
  <c r="S651" i="4" s="1"/>
  <c r="S652" i="4" s="1"/>
  <c r="S653" i="4" s="1"/>
  <c r="S654" i="4" s="1"/>
  <c r="S655" i="4" s="1"/>
  <c r="S656" i="4" s="1"/>
  <c r="S657" i="4" s="1"/>
  <c r="S658" i="4" s="1"/>
  <c r="S659" i="4" s="1"/>
  <c r="S660" i="4" s="1"/>
  <c r="S661" i="4" s="1"/>
  <c r="S662" i="4" s="1"/>
  <c r="S663" i="4" s="1"/>
  <c r="S664" i="4" s="1"/>
  <c r="S665" i="4" s="1"/>
  <c r="S666" i="4" s="1"/>
  <c r="S667" i="4" s="1"/>
  <c r="S668" i="4" s="1"/>
  <c r="S669" i="4" s="1"/>
  <c r="S670" i="4" s="1"/>
  <c r="S671" i="4" s="1"/>
  <c r="S672" i="4" s="1"/>
  <c r="S673" i="4" s="1"/>
  <c r="S674" i="4" s="1"/>
  <c r="S675" i="4" s="1"/>
  <c r="S676" i="4" s="1"/>
  <c r="S677" i="4" s="1"/>
  <c r="S678" i="4" s="1"/>
  <c r="S679" i="4" s="1"/>
  <c r="S680" i="4" s="1"/>
  <c r="S681" i="4" s="1"/>
  <c r="S682" i="4" s="1"/>
  <c r="S683" i="4" s="1"/>
  <c r="S684" i="4" s="1"/>
  <c r="S685" i="4" s="1"/>
  <c r="S686" i="4" s="1"/>
  <c r="S687" i="4" s="1"/>
  <c r="S688" i="4" s="1"/>
  <c r="S689" i="4" s="1"/>
  <c r="S690" i="4" s="1"/>
  <c r="S691" i="4" s="1"/>
  <c r="S692" i="4" s="1"/>
  <c r="S693" i="4" s="1"/>
  <c r="S694" i="4" s="1"/>
  <c r="S695" i="4" s="1"/>
  <c r="S696" i="4" s="1"/>
  <c r="S697" i="4" s="1"/>
  <c r="S698" i="4" s="1"/>
  <c r="S699" i="4" s="1"/>
  <c r="S700" i="4" s="1"/>
  <c r="S701" i="4" s="1"/>
  <c r="S702" i="4" s="1"/>
  <c r="S703" i="4" s="1"/>
  <c r="S704" i="4" s="1"/>
  <c r="S705" i="4" s="1"/>
  <c r="S706" i="4" s="1"/>
  <c r="S707" i="4" s="1"/>
  <c r="S708" i="4" s="1"/>
  <c r="S709" i="4" s="1"/>
  <c r="S710" i="4" s="1"/>
  <c r="S711" i="4" s="1"/>
  <c r="S712" i="4" s="1"/>
  <c r="S713" i="4" s="1"/>
  <c r="S714" i="4" s="1"/>
  <c r="S715" i="4" s="1"/>
  <c r="S716" i="4" s="1"/>
  <c r="S717" i="4" s="1"/>
  <c r="S718" i="4" s="1"/>
  <c r="S719" i="4" s="1"/>
  <c r="S720" i="4" s="1"/>
  <c r="S721" i="4" s="1"/>
  <c r="S722" i="4" s="1"/>
  <c r="S723" i="4" s="1"/>
  <c r="S724" i="4" s="1"/>
  <c r="S725" i="4" s="1"/>
  <c r="S726" i="4" s="1"/>
  <c r="S727" i="4" s="1"/>
  <c r="S728" i="4" s="1"/>
  <c r="S729" i="4" s="1"/>
  <c r="S730" i="4" s="1"/>
  <c r="S731" i="4" s="1"/>
  <c r="S732" i="4" s="1"/>
  <c r="S733" i="4" s="1"/>
  <c r="S734" i="4" s="1"/>
  <c r="S735" i="4" s="1"/>
  <c r="S736" i="4" s="1"/>
  <c r="S737" i="4" s="1"/>
  <c r="S738" i="4" s="1"/>
  <c r="S739" i="4" s="1"/>
  <c r="S740" i="4" s="1"/>
  <c r="S741" i="4" s="1"/>
  <c r="S742" i="4" s="1"/>
  <c r="S743" i="4" s="1"/>
  <c r="S744" i="4" s="1"/>
  <c r="S745" i="4" s="1"/>
  <c r="S746" i="4" s="1"/>
  <c r="S747" i="4" s="1"/>
  <c r="S748" i="4" s="1"/>
  <c r="S749" i="4" s="1"/>
  <c r="S750" i="4" s="1"/>
  <c r="S751" i="4" s="1"/>
  <c r="S752" i="4" s="1"/>
  <c r="S753" i="4" s="1"/>
  <c r="S754" i="4" s="1"/>
  <c r="S755" i="4" s="1"/>
  <c r="S756" i="4" s="1"/>
  <c r="S757" i="4" s="1"/>
  <c r="S758" i="4" s="1"/>
  <c r="S759" i="4" s="1"/>
  <c r="S760" i="4" s="1"/>
  <c r="S761" i="4" s="1"/>
  <c r="S762" i="4" s="1"/>
  <c r="S763" i="4" s="1"/>
  <c r="S764" i="4" s="1"/>
  <c r="S765" i="4" s="1"/>
  <c r="S766" i="4" s="1"/>
  <c r="S767" i="4" s="1"/>
  <c r="S768" i="4" s="1"/>
  <c r="S769" i="4" s="1"/>
  <c r="S770" i="4" s="1"/>
  <c r="S771" i="4" s="1"/>
  <c r="S772" i="4" s="1"/>
  <c r="S773" i="4" s="1"/>
  <c r="S774" i="4" s="1"/>
  <c r="S775" i="4" s="1"/>
  <c r="S776" i="4" s="1"/>
  <c r="S777" i="4" s="1"/>
  <c r="S778" i="4" s="1"/>
  <c r="S779" i="4" s="1"/>
  <c r="S780" i="4" s="1"/>
  <c r="S781" i="4" s="1"/>
  <c r="S782" i="4" s="1"/>
  <c r="S783" i="4" s="1"/>
  <c r="S784" i="4" s="1"/>
  <c r="S785" i="4" s="1"/>
  <c r="S786" i="4" s="1"/>
  <c r="S787" i="4" s="1"/>
  <c r="S788" i="4" s="1"/>
  <c r="S789" i="4" s="1"/>
  <c r="S790" i="4" s="1"/>
  <c r="S791" i="4" s="1"/>
  <c r="S792" i="4" s="1"/>
  <c r="S793" i="4" s="1"/>
  <c r="S794" i="4" s="1"/>
  <c r="S795" i="4" s="1"/>
  <c r="S796" i="4" s="1"/>
  <c r="S797" i="4" s="1"/>
  <c r="S798" i="4" s="1"/>
  <c r="S799" i="4" s="1"/>
  <c r="S800" i="4" s="1"/>
  <c r="S801" i="4" s="1"/>
  <c r="S802" i="4" s="1"/>
  <c r="S803" i="4" s="1"/>
  <c r="S804" i="4" s="1"/>
  <c r="S805" i="4" s="1"/>
  <c r="S806" i="4" s="1"/>
  <c r="S807" i="4" s="1"/>
  <c r="S808" i="4" s="1"/>
  <c r="S809" i="4" s="1"/>
  <c r="S810" i="4" s="1"/>
  <c r="S811" i="4" s="1"/>
  <c r="S812" i="4" s="1"/>
  <c r="S813" i="4" s="1"/>
  <c r="S814" i="4" s="1"/>
  <c r="S815" i="4" s="1"/>
  <c r="S816" i="4" s="1"/>
  <c r="S817" i="4" s="1"/>
  <c r="S818" i="4" s="1"/>
  <c r="S819" i="4" s="1"/>
  <c r="S820" i="4" s="1"/>
  <c r="S821" i="4" s="1"/>
  <c r="S822" i="4" s="1"/>
  <c r="S823" i="4" s="1"/>
  <c r="S824" i="4" s="1"/>
  <c r="S825" i="4" s="1"/>
  <c r="S826" i="4" s="1"/>
  <c r="S827" i="4" s="1"/>
  <c r="S828" i="4" s="1"/>
  <c r="S829" i="4" s="1"/>
  <c r="S830" i="4" s="1"/>
  <c r="S831" i="4" s="1"/>
  <c r="S832" i="4" s="1"/>
  <c r="S833" i="4" s="1"/>
  <c r="S834" i="4" s="1"/>
  <c r="S835" i="4" s="1"/>
  <c r="S836" i="4" s="1"/>
  <c r="S837" i="4" s="1"/>
  <c r="S838" i="4" s="1"/>
  <c r="S839" i="4" s="1"/>
  <c r="S840" i="4" s="1"/>
  <c r="S841" i="4" s="1"/>
  <c r="S842" i="4" s="1"/>
  <c r="S843" i="4" s="1"/>
  <c r="S844" i="4" s="1"/>
  <c r="S845" i="4" s="1"/>
  <c r="S846" i="4" s="1"/>
  <c r="S847" i="4" s="1"/>
  <c r="S848" i="4" s="1"/>
  <c r="S849" i="4" s="1"/>
  <c r="S850" i="4" s="1"/>
  <c r="S851" i="4" s="1"/>
  <c r="S852" i="4" s="1"/>
  <c r="S853" i="4" s="1"/>
  <c r="S854" i="4" s="1"/>
  <c r="S855" i="4" s="1"/>
  <c r="S856" i="4" s="1"/>
  <c r="S857" i="4" s="1"/>
  <c r="S858" i="4" s="1"/>
  <c r="S859" i="4" s="1"/>
  <c r="S860" i="4" s="1"/>
  <c r="S861" i="4" s="1"/>
  <c r="S862" i="4" s="1"/>
  <c r="S863" i="4" s="1"/>
  <c r="S864" i="4" s="1"/>
  <c r="S865" i="4" s="1"/>
  <c r="S866" i="4" s="1"/>
  <c r="S867" i="4" s="1"/>
  <c r="S868" i="4" s="1"/>
  <c r="S869" i="4" s="1"/>
  <c r="S870" i="4" s="1"/>
  <c r="S871" i="4" s="1"/>
  <c r="S872" i="4" s="1"/>
  <c r="S873" i="4" s="1"/>
  <c r="S874" i="4" s="1"/>
  <c r="S875" i="4" s="1"/>
  <c r="S876" i="4" s="1"/>
  <c r="S877" i="4" s="1"/>
  <c r="S878" i="4" s="1"/>
  <c r="S879" i="4" s="1"/>
  <c r="S880" i="4" s="1"/>
  <c r="S881" i="4" s="1"/>
  <c r="S882" i="4" s="1"/>
  <c r="S883" i="4" s="1"/>
  <c r="S884" i="4" s="1"/>
  <c r="S885" i="4" s="1"/>
  <c r="S886" i="4" s="1"/>
  <c r="S887" i="4" s="1"/>
  <c r="S888" i="4" s="1"/>
  <c r="S889" i="4" s="1"/>
  <c r="S890" i="4" s="1"/>
  <c r="S891" i="4" s="1"/>
  <c r="S892" i="4" s="1"/>
  <c r="S893" i="4" s="1"/>
  <c r="S894" i="4" s="1"/>
  <c r="S895" i="4" s="1"/>
  <c r="S896" i="4" s="1"/>
  <c r="S897" i="4" s="1"/>
  <c r="S898" i="4" s="1"/>
  <c r="S899" i="4" s="1"/>
  <c r="S900" i="4" s="1"/>
  <c r="S901" i="4" s="1"/>
  <c r="S902" i="4" s="1"/>
  <c r="S903" i="4" s="1"/>
  <c r="S904" i="4" s="1"/>
  <c r="S905" i="4" s="1"/>
  <c r="S906" i="4" s="1"/>
  <c r="S907" i="4" s="1"/>
  <c r="S908" i="4" s="1"/>
  <c r="S909" i="4" s="1"/>
  <c r="S910" i="4" s="1"/>
  <c r="S911" i="4" s="1"/>
  <c r="S912" i="4" s="1"/>
  <c r="S913" i="4" s="1"/>
  <c r="S914" i="4" s="1"/>
  <c r="S915" i="4" s="1"/>
  <c r="S916" i="4" s="1"/>
  <c r="S917" i="4" s="1"/>
  <c r="S918" i="4" s="1"/>
  <c r="S919" i="4" s="1"/>
  <c r="S920" i="4" s="1"/>
  <c r="S921" i="4" s="1"/>
  <c r="S922" i="4" s="1"/>
  <c r="S923" i="4" s="1"/>
  <c r="S924" i="4" s="1"/>
  <c r="S925" i="4" s="1"/>
  <c r="S926" i="4" s="1"/>
  <c r="S927" i="4" s="1"/>
  <c r="S928" i="4" s="1"/>
  <c r="S929" i="4" s="1"/>
  <c r="S930" i="4" s="1"/>
  <c r="S931" i="4" s="1"/>
  <c r="S932" i="4" s="1"/>
  <c r="S933" i="4" s="1"/>
  <c r="S934" i="4" s="1"/>
  <c r="S935" i="4" s="1"/>
  <c r="S936" i="4" s="1"/>
  <c r="S937" i="4" s="1"/>
  <c r="S938" i="4" s="1"/>
  <c r="S939" i="4" s="1"/>
  <c r="S940" i="4" s="1"/>
  <c r="S941" i="4" s="1"/>
  <c r="S942" i="4" s="1"/>
  <c r="S943" i="4" s="1"/>
  <c r="S944" i="4" s="1"/>
  <c r="S945" i="4" s="1"/>
  <c r="S946" i="4" s="1"/>
  <c r="S947" i="4" s="1"/>
  <c r="S948" i="4" s="1"/>
  <c r="S949" i="4" s="1"/>
  <c r="S950" i="4" s="1"/>
  <c r="S951" i="4" s="1"/>
  <c r="S952" i="4" s="1"/>
  <c r="S953" i="4" s="1"/>
  <c r="S954" i="4" s="1"/>
  <c r="S955" i="4" s="1"/>
  <c r="S956" i="4" s="1"/>
  <c r="S957" i="4" s="1"/>
  <c r="S958" i="4" s="1"/>
  <c r="S959" i="4" s="1"/>
  <c r="S960" i="4" s="1"/>
  <c r="S961" i="4" s="1"/>
  <c r="S962" i="4" s="1"/>
  <c r="S963" i="4" s="1"/>
  <c r="S964" i="4" s="1"/>
  <c r="S965" i="4" s="1"/>
  <c r="S966" i="4" s="1"/>
  <c r="S967" i="4" s="1"/>
  <c r="S968" i="4" s="1"/>
  <c r="S969" i="4" s="1"/>
  <c r="S970" i="4" s="1"/>
  <c r="S971" i="4" s="1"/>
  <c r="S972" i="4" s="1"/>
  <c r="S973" i="4" s="1"/>
  <c r="S974" i="4" s="1"/>
  <c r="S975" i="4" s="1"/>
  <c r="S976" i="4" s="1"/>
  <c r="S977" i="4" s="1"/>
  <c r="S978" i="4" s="1"/>
  <c r="S979" i="4" s="1"/>
  <c r="S980" i="4" s="1"/>
  <c r="S981" i="4" s="1"/>
  <c r="S982" i="4" s="1"/>
  <c r="S983" i="4" s="1"/>
  <c r="S984" i="4" s="1"/>
  <c r="S985" i="4" s="1"/>
  <c r="S986" i="4" s="1"/>
  <c r="S987" i="4" s="1"/>
  <c r="S988" i="4" s="1"/>
  <c r="S989" i="4" s="1"/>
  <c r="S990" i="4" s="1"/>
  <c r="S991" i="4" s="1"/>
  <c r="S992" i="4" s="1"/>
  <c r="S993" i="4" s="1"/>
  <c r="S994" i="4" s="1"/>
  <c r="S995" i="4" s="1"/>
  <c r="S996" i="4" s="1"/>
  <c r="S997" i="4" s="1"/>
  <c r="S998" i="4" s="1"/>
  <c r="S999" i="4" s="1"/>
  <c r="S1000" i="4" s="1"/>
  <c r="S1001" i="4" s="1"/>
  <c r="S1002" i="4" s="1"/>
  <c r="S1003" i="4" s="1"/>
  <c r="S1004" i="4" s="1"/>
  <c r="S1005" i="4" s="1"/>
  <c r="S1006" i="4" s="1"/>
  <c r="S1007" i="4" s="1"/>
  <c r="S1008" i="4" s="1"/>
  <c r="S1009" i="4" s="1"/>
  <c r="S1010" i="4" s="1"/>
  <c r="S1011" i="4" s="1"/>
  <c r="S1012" i="4" s="1"/>
  <c r="S1013" i="4" s="1"/>
  <c r="S1014" i="4" s="1"/>
  <c r="S1015" i="4" s="1"/>
  <c r="S1016" i="4" s="1"/>
  <c r="S1017" i="4" s="1"/>
  <c r="S1018" i="4" s="1"/>
  <c r="S1019" i="4" s="1"/>
  <c r="S1020" i="4" s="1"/>
  <c r="S1021" i="4" s="1"/>
  <c r="S1022" i="4" s="1"/>
  <c r="S1023" i="4" s="1"/>
  <c r="S1024" i="4" s="1"/>
  <c r="S1025" i="4" s="1"/>
  <c r="S1026" i="4" s="1"/>
  <c r="S1027" i="4" s="1"/>
  <c r="S1028" i="4" s="1"/>
  <c r="S1029" i="4" s="1"/>
  <c r="S1030" i="4" s="1"/>
  <c r="S1031" i="4" s="1"/>
  <c r="S1032" i="4" s="1"/>
  <c r="S1033" i="4" s="1"/>
  <c r="S1034" i="4" s="1"/>
  <c r="S1035" i="4" s="1"/>
  <c r="S1036" i="4" s="1"/>
  <c r="S1037" i="4" s="1"/>
  <c r="S1038" i="4" s="1"/>
  <c r="S1039" i="4" s="1"/>
  <c r="S1040" i="4" s="1"/>
  <c r="S1041" i="4" s="1"/>
  <c r="S1042" i="4" s="1"/>
  <c r="S1043" i="4" s="1"/>
  <c r="S1044" i="4" s="1"/>
  <c r="S1045" i="4" s="1"/>
  <c r="S1046" i="4" s="1"/>
  <c r="S1047" i="4" s="1"/>
  <c r="S1048" i="4" s="1"/>
  <c r="S1049" i="4" s="1"/>
  <c r="S1050" i="4" s="1"/>
  <c r="S1051" i="4" s="1"/>
  <c r="S1052" i="4" s="1"/>
  <c r="S1053" i="4" s="1"/>
  <c r="S1054" i="4" s="1"/>
  <c r="S1055" i="4" s="1"/>
  <c r="S1056" i="4" s="1"/>
  <c r="S1057" i="4" s="1"/>
  <c r="S1058" i="4" s="1"/>
  <c r="S1059" i="4" s="1"/>
  <c r="S1060" i="4" s="1"/>
  <c r="S1061" i="4" s="1"/>
  <c r="S1062" i="4" s="1"/>
  <c r="S1063" i="4" s="1"/>
  <c r="S1064" i="4" s="1"/>
  <c r="S1065" i="4" s="1"/>
  <c r="S1066" i="4" s="1"/>
  <c r="S1067" i="4" s="1"/>
  <c r="S1068" i="4" s="1"/>
  <c r="S1069" i="4" s="1"/>
  <c r="S1070" i="4" s="1"/>
  <c r="S1071" i="4" s="1"/>
  <c r="S1072" i="4" s="1"/>
  <c r="S1073" i="4" s="1"/>
  <c r="S1074" i="4" s="1"/>
  <c r="S1075" i="4" s="1"/>
  <c r="S1076" i="4" s="1"/>
  <c r="S1077" i="4" s="1"/>
  <c r="S1078" i="4" s="1"/>
  <c r="S1079" i="4" s="1"/>
  <c r="S1080" i="4" s="1"/>
  <c r="S1081" i="4" s="1"/>
  <c r="S1082" i="4" s="1"/>
  <c r="S1083" i="4" s="1"/>
  <c r="S1084" i="4" s="1"/>
  <c r="S1085" i="4" s="1"/>
  <c r="S1086" i="4" s="1"/>
  <c r="S1087" i="4" s="1"/>
  <c r="S1088" i="4" s="1"/>
  <c r="S1089" i="4" s="1"/>
  <c r="S1090" i="4" s="1"/>
  <c r="S1091" i="4" s="1"/>
  <c r="S1092" i="4" s="1"/>
  <c r="S1093" i="4" s="1"/>
  <c r="S1094" i="4" s="1"/>
  <c r="S1095" i="4" s="1"/>
  <c r="S1096" i="4" s="1"/>
  <c r="S1097" i="4" s="1"/>
  <c r="S1098" i="4" s="1"/>
  <c r="S1099" i="4" s="1"/>
  <c r="S1100" i="4" s="1"/>
  <c r="S1101" i="4" s="1"/>
  <c r="S1102" i="4" s="1"/>
  <c r="S1103" i="4" s="1"/>
  <c r="S1104" i="4" s="1"/>
  <c r="S1105" i="4" s="1"/>
  <c r="S1106" i="4" s="1"/>
  <c r="S1107" i="4" s="1"/>
  <c r="S1108" i="4" s="1"/>
  <c r="S1109" i="4" s="1"/>
  <c r="S1110" i="4" s="1"/>
  <c r="S1111" i="4" s="1"/>
  <c r="S1112" i="4" s="1"/>
  <c r="S1113" i="4" s="1"/>
  <c r="S1114" i="4" s="1"/>
  <c r="S1115" i="4" s="1"/>
  <c r="S1116" i="4" s="1"/>
  <c r="S1117" i="4" s="1"/>
  <c r="S1118" i="4" s="1"/>
  <c r="S1119" i="4" s="1"/>
  <c r="S1120" i="4" s="1"/>
  <c r="S1121" i="4" s="1"/>
  <c r="S1122" i="4" s="1"/>
  <c r="S1123" i="4" s="1"/>
  <c r="S1124" i="4" s="1"/>
  <c r="S1125" i="4" s="1"/>
  <c r="S1126" i="4" s="1"/>
  <c r="S1127" i="4" s="1"/>
  <c r="S1128" i="4" s="1"/>
  <c r="S1129" i="4" s="1"/>
  <c r="S1130" i="4" s="1"/>
  <c r="S1131" i="4" s="1"/>
  <c r="S1132" i="4" s="1"/>
  <c r="S1133" i="4" s="1"/>
  <c r="S1134" i="4" s="1"/>
  <c r="S1135" i="4" s="1"/>
  <c r="S1136" i="4" s="1"/>
  <c r="S1137" i="4" s="1"/>
  <c r="S1138" i="4" s="1"/>
  <c r="S1139" i="4" s="1"/>
  <c r="S1140" i="4" s="1"/>
  <c r="S1141" i="4" s="1"/>
  <c r="S1142" i="4" s="1"/>
  <c r="S1143" i="4" s="1"/>
  <c r="S1144" i="4" s="1"/>
  <c r="S1145" i="4" s="1"/>
  <c r="S1146" i="4" s="1"/>
  <c r="S1147" i="4" s="1"/>
  <c r="S1148" i="4" s="1"/>
  <c r="S1149" i="4" s="1"/>
  <c r="S1150" i="4" s="1"/>
  <c r="S1151" i="4" s="1"/>
  <c r="S1152" i="4" s="1"/>
  <c r="S1153" i="4" s="1"/>
  <c r="S1154" i="4" s="1"/>
  <c r="S1155" i="4" s="1"/>
  <c r="S1156" i="4" s="1"/>
  <c r="S1157" i="4" s="1"/>
  <c r="S1158" i="4" s="1"/>
  <c r="S1159" i="4" s="1"/>
  <c r="S1160" i="4" s="1"/>
  <c r="S1161" i="4" s="1"/>
  <c r="S1162" i="4" s="1"/>
  <c r="S1163" i="4" s="1"/>
  <c r="S1164" i="4" s="1"/>
  <c r="S1165" i="4" s="1"/>
  <c r="S1166" i="4" s="1"/>
  <c r="S1167" i="4" s="1"/>
  <c r="S1168" i="4" s="1"/>
  <c r="S1169" i="4" s="1"/>
  <c r="S1170" i="4" s="1"/>
  <c r="S1171" i="4" s="1"/>
  <c r="S1172" i="4" s="1"/>
  <c r="S1173" i="4" s="1"/>
  <c r="S1174" i="4" s="1"/>
  <c r="S1175" i="4" s="1"/>
  <c r="S1176" i="4" s="1"/>
  <c r="S1177" i="4" s="1"/>
  <c r="S1178" i="4" s="1"/>
  <c r="S1179" i="4" s="1"/>
  <c r="S1180" i="4" s="1"/>
  <c r="S1181" i="4" s="1"/>
  <c r="S1182" i="4" s="1"/>
  <c r="S1183" i="4" s="1"/>
  <c r="S1184" i="4" s="1"/>
  <c r="S1185" i="4" s="1"/>
  <c r="S1186" i="4" s="1"/>
  <c r="S1187" i="4" s="1"/>
  <c r="S1188" i="4" s="1"/>
  <c r="S1189" i="4" s="1"/>
  <c r="S1190" i="4" s="1"/>
  <c r="S1191" i="4" s="1"/>
  <c r="S1192" i="4" s="1"/>
  <c r="S1193" i="4" s="1"/>
  <c r="S1194" i="4" s="1"/>
  <c r="S1195" i="4" s="1"/>
  <c r="S1196" i="4" s="1"/>
  <c r="S1197" i="4" s="1"/>
  <c r="S1198" i="4" s="1"/>
  <c r="S1199" i="4" s="1"/>
  <c r="S1200" i="4" s="1"/>
  <c r="S1201" i="4" s="1"/>
  <c r="S1202" i="4" s="1"/>
  <c r="S1203" i="4" s="1"/>
  <c r="S1204" i="4" s="1"/>
  <c r="S1205" i="4" s="1"/>
  <c r="S1206" i="4" s="1"/>
  <c r="S1207" i="4" s="1"/>
  <c r="S1208" i="4" s="1"/>
  <c r="S1209" i="4" s="1"/>
  <c r="S1210" i="4" s="1"/>
  <c r="S1211" i="4" s="1"/>
  <c r="S1212" i="4" s="1"/>
  <c r="S1213" i="4" s="1"/>
  <c r="S1214" i="4" s="1"/>
  <c r="S1215" i="4" s="1"/>
  <c r="S1216" i="4" s="1"/>
  <c r="S1217" i="4" s="1"/>
  <c r="S1218" i="4" s="1"/>
  <c r="S1219" i="4" s="1"/>
  <c r="S1220" i="4" s="1"/>
  <c r="S1221" i="4" s="1"/>
  <c r="S1222" i="4" s="1"/>
  <c r="S1223" i="4" s="1"/>
  <c r="S1224" i="4" s="1"/>
  <c r="S1225" i="4" s="1"/>
  <c r="S1226" i="4" s="1"/>
  <c r="S1227" i="4" s="1"/>
  <c r="S1228" i="4" s="1"/>
  <c r="S1229" i="4" s="1"/>
  <c r="S1230" i="4" s="1"/>
  <c r="S1231" i="4" s="1"/>
  <c r="S1232" i="4" s="1"/>
  <c r="S1233" i="4" s="1"/>
  <c r="S1234" i="4" s="1"/>
  <c r="S1235" i="4" s="1"/>
  <c r="S1236" i="4" s="1"/>
  <c r="S1237" i="4" s="1"/>
  <c r="S1238" i="4" s="1"/>
  <c r="S1239" i="4" s="1"/>
  <c r="S1240" i="4" s="1"/>
  <c r="S1241" i="4" s="1"/>
  <c r="S1242" i="4" s="1"/>
  <c r="S1243" i="4" s="1"/>
  <c r="S1244" i="4" s="1"/>
  <c r="S1245" i="4" s="1"/>
  <c r="S1246" i="4" s="1"/>
  <c r="S1247" i="4" s="1"/>
  <c r="S1248" i="4" s="1"/>
  <c r="S1249" i="4" s="1"/>
  <c r="S1250" i="4" s="1"/>
  <c r="S1251" i="4" s="1"/>
  <c r="S1252" i="4" s="1"/>
  <c r="S1253" i="4" s="1"/>
  <c r="S1254" i="4" s="1"/>
  <c r="S1255" i="4" s="1"/>
  <c r="S1256" i="4" s="1"/>
  <c r="S1257" i="4" s="1"/>
  <c r="S1258" i="4" s="1"/>
  <c r="S1259" i="4" s="1"/>
  <c r="S1260" i="4" s="1"/>
  <c r="S1261" i="4" s="1"/>
  <c r="S1262" i="4" s="1"/>
  <c r="S1263" i="4" s="1"/>
  <c r="S1264" i="4" s="1"/>
  <c r="S1265" i="4" s="1"/>
  <c r="S1266" i="4" s="1"/>
  <c r="S1267" i="4" s="1"/>
  <c r="S1268" i="4" s="1"/>
  <c r="S1269" i="4" s="1"/>
  <c r="S1270" i="4" s="1"/>
  <c r="S1271" i="4" s="1"/>
  <c r="S1272" i="4" s="1"/>
  <c r="S1273" i="4" s="1"/>
  <c r="S1274" i="4" s="1"/>
  <c r="S1275" i="4" s="1"/>
  <c r="S1276" i="4" s="1"/>
  <c r="S1277" i="4" s="1"/>
  <c r="S1278" i="4" s="1"/>
  <c r="S1279" i="4" s="1"/>
  <c r="S1280" i="4" s="1"/>
  <c r="S1281" i="4" s="1"/>
  <c r="S1282" i="4" s="1"/>
  <c r="S1283" i="4" s="1"/>
  <c r="S1284" i="4" s="1"/>
  <c r="S1285" i="4" s="1"/>
  <c r="S1286" i="4" s="1"/>
  <c r="S1287" i="4" s="1"/>
  <c r="S1288" i="4" s="1"/>
  <c r="S1289" i="4" s="1"/>
  <c r="S1290" i="4" s="1"/>
  <c r="S1291" i="4" s="1"/>
  <c r="S1292" i="4" s="1"/>
  <c r="S1293" i="4" s="1"/>
  <c r="S1294" i="4" s="1"/>
  <c r="S1295" i="4" s="1"/>
  <c r="S1296" i="4" s="1"/>
  <c r="S1297" i="4" s="1"/>
  <c r="S1298" i="4" s="1"/>
  <c r="S1299" i="4" s="1"/>
  <c r="S1300" i="4" s="1"/>
  <c r="S1301" i="4" s="1"/>
  <c r="S1302" i="4" s="1"/>
  <c r="S1303" i="4" s="1"/>
  <c r="S1304" i="4" s="1"/>
  <c r="S1305" i="4" s="1"/>
  <c r="S1306" i="4" s="1"/>
  <c r="S1307" i="4" s="1"/>
  <c r="S1308" i="4" s="1"/>
  <c r="S1309" i="4" s="1"/>
  <c r="S1310" i="4" s="1"/>
  <c r="S1311" i="4" s="1"/>
  <c r="S1312" i="4" s="1"/>
  <c r="S1313" i="4" s="1"/>
  <c r="S1314" i="4" s="1"/>
  <c r="S1315" i="4" s="1"/>
  <c r="S1316" i="4" s="1"/>
  <c r="S1317" i="4" s="1"/>
  <c r="S1318" i="4" s="1"/>
  <c r="S1319" i="4" s="1"/>
  <c r="S1320" i="4" s="1"/>
  <c r="S1321" i="4" s="1"/>
  <c r="S1322" i="4" s="1"/>
  <c r="S1323" i="4" s="1"/>
  <c r="S1324" i="4" s="1"/>
  <c r="S1325" i="4" s="1"/>
  <c r="S1326" i="4" s="1"/>
  <c r="S1327" i="4" s="1"/>
  <c r="S1328" i="4" s="1"/>
  <c r="S1329" i="4" s="1"/>
  <c r="S1330" i="4" s="1"/>
  <c r="S1331" i="4" s="1"/>
  <c r="S1332" i="4" s="1"/>
  <c r="S1333" i="4" s="1"/>
  <c r="S1334" i="4" s="1"/>
  <c r="S1335" i="4" s="1"/>
  <c r="S1336" i="4" s="1"/>
  <c r="S1337" i="4" s="1"/>
  <c r="S1338" i="4" s="1"/>
  <c r="S1339" i="4" s="1"/>
  <c r="S1340" i="4" s="1"/>
  <c r="S1341" i="4" s="1"/>
  <c r="S1342" i="4" s="1"/>
  <c r="S1343" i="4" s="1"/>
  <c r="S1344" i="4" s="1"/>
  <c r="S1345" i="4" s="1"/>
  <c r="S1346" i="4" s="1"/>
  <c r="S1347" i="4" s="1"/>
  <c r="S1348" i="4" s="1"/>
  <c r="S1349" i="4" s="1"/>
  <c r="S1350" i="4" s="1"/>
  <c r="S1351" i="4" s="1"/>
  <c r="S1352" i="4" s="1"/>
  <c r="S1353" i="4" s="1"/>
  <c r="S1354" i="4" s="1"/>
  <c r="S1355" i="4" s="1"/>
  <c r="S1356" i="4" s="1"/>
  <c r="S1357" i="4" s="1"/>
  <c r="S1358" i="4" s="1"/>
  <c r="S1359" i="4" s="1"/>
  <c r="S1360" i="4" s="1"/>
  <c r="S1361" i="4" s="1"/>
  <c r="S1362" i="4" s="1"/>
  <c r="S1363" i="4" s="1"/>
  <c r="S1364" i="4" s="1"/>
  <c r="S1365" i="4" s="1"/>
  <c r="S1366" i="4" s="1"/>
  <c r="S1367" i="4" s="1"/>
  <c r="S1368" i="4" s="1"/>
  <c r="S1369" i="4" s="1"/>
  <c r="S1370" i="4" s="1"/>
  <c r="S1371" i="4" s="1"/>
  <c r="S1372" i="4" s="1"/>
  <c r="S1373" i="4" s="1"/>
  <c r="S1374" i="4" s="1"/>
  <c r="S1375" i="4" s="1"/>
  <c r="S1376" i="4" s="1"/>
  <c r="S1377" i="4" s="1"/>
  <c r="S1378" i="4" s="1"/>
  <c r="S1379" i="4" s="1"/>
  <c r="S1380" i="4" s="1"/>
  <c r="S1381" i="4" s="1"/>
  <c r="S1382" i="4" s="1"/>
  <c r="S1383" i="4" s="1"/>
  <c r="S1384" i="4" s="1"/>
  <c r="S1385" i="4" s="1"/>
  <c r="S1386" i="4" s="1"/>
  <c r="S1387" i="4" s="1"/>
  <c r="S1388" i="4" s="1"/>
  <c r="S1389" i="4" s="1"/>
  <c r="S1390" i="4" s="1"/>
  <c r="S1391" i="4" s="1"/>
  <c r="S1392" i="4" s="1"/>
  <c r="S1393" i="4" s="1"/>
  <c r="S1394" i="4" s="1"/>
  <c r="S1395" i="4" s="1"/>
  <c r="S1396" i="4" s="1"/>
  <c r="S1397" i="4" s="1"/>
  <c r="S1398" i="4" s="1"/>
  <c r="S1399" i="4" s="1"/>
  <c r="S1400" i="4" s="1"/>
  <c r="S1401" i="4" s="1"/>
  <c r="S1402" i="4" s="1"/>
  <c r="S1403" i="4" s="1"/>
  <c r="S1404" i="4" s="1"/>
  <c r="S1405" i="4" s="1"/>
  <c r="S1406" i="4" s="1"/>
  <c r="S1407" i="4" s="1"/>
  <c r="S1408" i="4" s="1"/>
  <c r="S1409" i="4" s="1"/>
  <c r="S1410" i="4" s="1"/>
  <c r="S1411" i="4" s="1"/>
  <c r="S1412" i="4" s="1"/>
  <c r="S1413" i="4" s="1"/>
  <c r="S1414" i="4" s="1"/>
  <c r="S1415" i="4" s="1"/>
  <c r="S1416" i="4" s="1"/>
  <c r="S1417" i="4" s="1"/>
  <c r="S1418" i="4" s="1"/>
  <c r="S1419" i="4" s="1"/>
  <c r="S1420" i="4" s="1"/>
  <c r="S1421" i="4" s="1"/>
  <c r="S1422" i="4" s="1"/>
  <c r="S1423" i="4" s="1"/>
  <c r="S1424" i="4" s="1"/>
  <c r="S1425" i="4" s="1"/>
  <c r="S1426" i="4" s="1"/>
  <c r="S1427" i="4" s="1"/>
  <c r="S1428" i="4" s="1"/>
  <c r="S1429" i="4" s="1"/>
  <c r="S1430" i="4" s="1"/>
  <c r="S1431" i="4" s="1"/>
  <c r="S1432" i="4" s="1"/>
  <c r="S1433" i="4" s="1"/>
  <c r="S1434" i="4" s="1"/>
  <c r="S1435" i="4" s="1"/>
  <c r="S1436" i="4" s="1"/>
  <c r="S1437" i="4" s="1"/>
  <c r="S1438" i="4" s="1"/>
  <c r="S1439" i="4" s="1"/>
  <c r="S1440" i="4" s="1"/>
  <c r="S1441" i="4" s="1"/>
  <c r="S1442" i="4" s="1"/>
  <c r="S1443" i="4" s="1"/>
  <c r="S1444" i="4" s="1"/>
  <c r="S1445" i="4" s="1"/>
  <c r="S1446" i="4" s="1"/>
  <c r="S1447" i="4" s="1"/>
  <c r="S1448" i="4" s="1"/>
  <c r="S1449" i="4" s="1"/>
  <c r="S1450" i="4" s="1"/>
  <c r="S1451" i="4" s="1"/>
  <c r="S1452" i="4" s="1"/>
  <c r="S1453" i="4" s="1"/>
  <c r="S1454" i="4" s="1"/>
  <c r="S1455" i="4" s="1"/>
  <c r="S1456" i="4" s="1"/>
  <c r="S1457" i="4" s="1"/>
  <c r="S1458" i="4" s="1"/>
  <c r="S1459" i="4" s="1"/>
  <c r="S1460" i="4" s="1"/>
  <c r="S1461" i="4" s="1"/>
  <c r="S1462" i="4" s="1"/>
  <c r="S1463" i="4" s="1"/>
  <c r="S1464" i="4" s="1"/>
  <c r="S1465" i="4" s="1"/>
  <c r="S1466" i="4" s="1"/>
  <c r="S1467" i="4" s="1"/>
  <c r="S1468" i="4" s="1"/>
  <c r="S1469" i="4" s="1"/>
  <c r="S1470" i="4" s="1"/>
  <c r="S1471" i="4" s="1"/>
  <c r="S1472" i="4" s="1"/>
  <c r="S1473" i="4" s="1"/>
  <c r="S1474" i="4" s="1"/>
  <c r="S1475" i="4" s="1"/>
  <c r="S1476" i="4" s="1"/>
  <c r="S1477" i="4" s="1"/>
  <c r="S1478" i="4" s="1"/>
  <c r="S1479" i="4" s="1"/>
  <c r="S1480" i="4" s="1"/>
  <c r="S1481" i="4" s="1"/>
  <c r="S1482" i="4" s="1"/>
  <c r="S1483" i="4" s="1"/>
  <c r="S1484" i="4" s="1"/>
  <c r="S1485" i="4" s="1"/>
  <c r="S1486" i="4" s="1"/>
  <c r="S1487" i="4" s="1"/>
  <c r="S1488" i="4" s="1"/>
  <c r="S1489" i="4" s="1"/>
  <c r="S1490" i="4" s="1"/>
  <c r="S1491" i="4" s="1"/>
  <c r="S1492" i="4" s="1"/>
  <c r="S1493" i="4" s="1"/>
  <c r="S1494" i="4" s="1"/>
  <c r="S1495" i="4" s="1"/>
  <c r="S1496" i="4" s="1"/>
  <c r="S1497" i="4" s="1"/>
  <c r="S1498" i="4" s="1"/>
  <c r="S1499" i="4" s="1"/>
  <c r="S1500" i="4" s="1"/>
  <c r="S1501" i="4" s="1"/>
  <c r="S1502" i="4" s="1"/>
  <c r="S1503" i="4" s="1"/>
  <c r="S1504" i="4" s="1"/>
  <c r="S1505" i="4" s="1"/>
  <c r="S1506" i="4" s="1"/>
  <c r="S1507" i="4" s="1"/>
  <c r="S1508" i="4" s="1"/>
  <c r="S1509" i="4" s="1"/>
  <c r="S1510" i="4" s="1"/>
  <c r="S1511" i="4" s="1"/>
  <c r="S1512" i="4" s="1"/>
  <c r="S1513" i="4" s="1"/>
  <c r="S1514" i="4" s="1"/>
  <c r="S1515" i="4" s="1"/>
  <c r="S1516" i="4" s="1"/>
  <c r="S1517" i="4" s="1"/>
  <c r="S1518" i="4" s="1"/>
  <c r="S1519" i="4" s="1"/>
  <c r="S1520" i="4" s="1"/>
  <c r="S1521" i="4" s="1"/>
  <c r="S1522" i="4" s="1"/>
  <c r="S1523" i="4" s="1"/>
  <c r="S1524" i="4" s="1"/>
  <c r="S1525" i="4" s="1"/>
  <c r="S1526" i="4" s="1"/>
  <c r="S1527" i="4" s="1"/>
  <c r="S1528" i="4" s="1"/>
  <c r="S1529" i="4" s="1"/>
  <c r="S1530" i="4" s="1"/>
  <c r="S1531" i="4" s="1"/>
  <c r="S1532" i="4" s="1"/>
  <c r="S1533" i="4" s="1"/>
  <c r="S1534" i="4" s="1"/>
  <c r="S1535" i="4" s="1"/>
  <c r="S1536" i="4" s="1"/>
  <c r="S1537" i="4" s="1"/>
  <c r="S1538" i="4" s="1"/>
  <c r="S1539" i="4" s="1"/>
  <c r="S1540" i="4" s="1"/>
  <c r="S1541" i="4" s="1"/>
  <c r="S1542" i="4" s="1"/>
  <c r="S1543" i="4" s="1"/>
  <c r="S1544" i="4" s="1"/>
  <c r="S1545" i="4" s="1"/>
  <c r="S1546" i="4" s="1"/>
  <c r="S1547" i="4" s="1"/>
  <c r="S1548" i="4" s="1"/>
  <c r="S1549" i="4" s="1"/>
  <c r="S1550" i="4" s="1"/>
  <c r="S1551" i="4" s="1"/>
  <c r="S1552" i="4" s="1"/>
  <c r="S1553" i="4" s="1"/>
  <c r="S1554" i="4" s="1"/>
  <c r="S1555" i="4" s="1"/>
  <c r="S1556" i="4" s="1"/>
  <c r="S1557" i="4" s="1"/>
  <c r="S1558" i="4" s="1"/>
  <c r="S1559" i="4" s="1"/>
  <c r="S1560" i="4" s="1"/>
  <c r="S1561" i="4" s="1"/>
  <c r="S1562" i="4" s="1"/>
  <c r="S1563" i="4" s="1"/>
  <c r="S1564" i="4" s="1"/>
  <c r="S1565" i="4" s="1"/>
  <c r="S1566" i="4" s="1"/>
  <c r="S1567" i="4" s="1"/>
  <c r="S1568" i="4" s="1"/>
  <c r="S1569" i="4" s="1"/>
  <c r="S1570" i="4" s="1"/>
  <c r="S1571" i="4" s="1"/>
  <c r="S1572" i="4" s="1"/>
  <c r="S1573" i="4" s="1"/>
  <c r="S1574" i="4" s="1"/>
  <c r="S1575" i="4" s="1"/>
  <c r="S1576" i="4" s="1"/>
  <c r="S1577" i="4" s="1"/>
  <c r="S1578" i="4" s="1"/>
  <c r="S1579" i="4" s="1"/>
  <c r="S1580" i="4" s="1"/>
  <c r="S1581" i="4" s="1"/>
  <c r="S1582" i="4" s="1"/>
  <c r="S1583" i="4" s="1"/>
  <c r="S1584" i="4" s="1"/>
  <c r="S1585" i="4" s="1"/>
  <c r="S1586" i="4" s="1"/>
  <c r="S1587" i="4" s="1"/>
  <c r="S1588" i="4" s="1"/>
  <c r="S1589" i="4" s="1"/>
  <c r="S1590" i="4" s="1"/>
  <c r="S1591" i="4" s="1"/>
  <c r="S1592" i="4" s="1"/>
  <c r="S1593" i="4" s="1"/>
  <c r="S1594" i="4" s="1"/>
  <c r="S1595" i="4" s="1"/>
  <c r="S1596" i="4" s="1"/>
  <c r="S1597" i="4" s="1"/>
  <c r="S1598" i="4" s="1"/>
  <c r="S1599" i="4" s="1"/>
  <c r="S1600" i="4" s="1"/>
  <c r="S1601" i="4" s="1"/>
  <c r="S1602" i="4" s="1"/>
  <c r="S1603" i="4" s="1"/>
  <c r="S1604" i="4" s="1"/>
  <c r="S1605" i="4" s="1"/>
  <c r="S1606" i="4" s="1"/>
  <c r="S1607" i="4" s="1"/>
  <c r="S1608" i="4" s="1"/>
  <c r="S1609" i="4" s="1"/>
  <c r="S1610" i="4" s="1"/>
  <c r="S1611" i="4" s="1"/>
  <c r="S1612" i="4" s="1"/>
  <c r="S1613" i="4" s="1"/>
  <c r="S1614" i="4" s="1"/>
  <c r="S1615" i="4" s="1"/>
  <c r="S1616" i="4" s="1"/>
  <c r="S1617" i="4" s="1"/>
  <c r="S1618" i="4" s="1"/>
  <c r="S1619" i="4" s="1"/>
  <c r="S1620" i="4" s="1"/>
  <c r="S1621" i="4" s="1"/>
  <c r="S1622" i="4" s="1"/>
  <c r="S1623" i="4" s="1"/>
  <c r="S1624" i="4" s="1"/>
  <c r="S1625" i="4" s="1"/>
  <c r="S1626" i="4" s="1"/>
  <c r="S1627" i="4" s="1"/>
  <c r="S1628" i="4" s="1"/>
  <c r="S1629" i="4" s="1"/>
  <c r="S1630" i="4" s="1"/>
  <c r="S1631" i="4" s="1"/>
  <c r="S1632" i="4" s="1"/>
  <c r="S1633" i="4" s="1"/>
  <c r="S1634" i="4" s="1"/>
  <c r="S1635" i="4" s="1"/>
  <c r="S1636" i="4" s="1"/>
  <c r="S1637" i="4" s="1"/>
  <c r="S1638" i="4" s="1"/>
  <c r="S1639" i="4" s="1"/>
  <c r="S1640" i="4" s="1"/>
  <c r="S1641" i="4" s="1"/>
  <c r="S1642" i="4" s="1"/>
  <c r="S1643" i="4" s="1"/>
  <c r="S1644" i="4" s="1"/>
  <c r="S1645" i="4" s="1"/>
  <c r="S1646" i="4" s="1"/>
  <c r="S1647" i="4" s="1"/>
  <c r="S1648" i="4" s="1"/>
  <c r="S1649" i="4" s="1"/>
  <c r="S1650" i="4" s="1"/>
  <c r="S1651" i="4" s="1"/>
  <c r="S1652" i="4" s="1"/>
  <c r="S1653" i="4" s="1"/>
  <c r="S1654" i="4" s="1"/>
  <c r="S1655" i="4" s="1"/>
  <c r="S1656" i="4" s="1"/>
  <c r="S1657" i="4" s="1"/>
  <c r="S1658" i="4" s="1"/>
  <c r="S1659" i="4" s="1"/>
  <c r="S1660" i="4" s="1"/>
  <c r="S1661" i="4" s="1"/>
  <c r="S1662" i="4" s="1"/>
  <c r="S1663" i="4" s="1"/>
  <c r="S1664" i="4" s="1"/>
  <c r="S1665" i="4" s="1"/>
  <c r="S1666" i="4" s="1"/>
  <c r="S1667" i="4" s="1"/>
  <c r="S1668" i="4" s="1"/>
  <c r="S1669" i="4" s="1"/>
  <c r="S1670" i="4" s="1"/>
  <c r="S1671" i="4" s="1"/>
  <c r="S1672" i="4" s="1"/>
  <c r="S1673" i="4" s="1"/>
  <c r="S1674" i="4" s="1"/>
  <c r="S1675" i="4" s="1"/>
  <c r="S1676" i="4" s="1"/>
  <c r="S1677" i="4" s="1"/>
  <c r="S1678" i="4" s="1"/>
  <c r="S1679" i="4" s="1"/>
  <c r="S1680" i="4" s="1"/>
  <c r="S1681" i="4" s="1"/>
  <c r="S1682" i="4" s="1"/>
  <c r="S1683" i="4" s="1"/>
  <c r="S1684" i="4" s="1"/>
  <c r="S1685" i="4" s="1"/>
  <c r="S1686" i="4" s="1"/>
  <c r="S1687" i="4" s="1"/>
  <c r="S1688" i="4" s="1"/>
  <c r="S1689" i="4" s="1"/>
  <c r="S1690" i="4" s="1"/>
  <c r="S1691" i="4" s="1"/>
  <c r="S1692" i="4" s="1"/>
  <c r="S1693" i="4" s="1"/>
  <c r="S1694" i="4" s="1"/>
  <c r="S1695" i="4" s="1"/>
  <c r="S1696" i="4" s="1"/>
  <c r="S1697" i="4" s="1"/>
  <c r="S1698" i="4" s="1"/>
  <c r="S1699" i="4" s="1"/>
  <c r="S1700" i="4" s="1"/>
  <c r="S1701" i="4" s="1"/>
  <c r="S1702" i="4" s="1"/>
  <c r="S1703" i="4" s="1"/>
  <c r="S1704" i="4" s="1"/>
  <c r="S1705" i="4" s="1"/>
  <c r="S1706" i="4" s="1"/>
  <c r="S1707" i="4" s="1"/>
  <c r="S1708" i="4" s="1"/>
  <c r="S1709" i="4" s="1"/>
  <c r="S1710" i="4" s="1"/>
  <c r="S1711" i="4" s="1"/>
  <c r="S1712" i="4" s="1"/>
  <c r="S1713" i="4" s="1"/>
  <c r="S1714" i="4" s="1"/>
  <c r="S1715" i="4" s="1"/>
  <c r="S1716" i="4" s="1"/>
  <c r="S1717" i="4" s="1"/>
  <c r="S1718" i="4" s="1"/>
  <c r="S1719" i="4" s="1"/>
  <c r="S1720" i="4" s="1"/>
  <c r="S1721" i="4" s="1"/>
  <c r="S1722" i="4" s="1"/>
  <c r="S1723" i="4" s="1"/>
  <c r="S1724" i="4" s="1"/>
  <c r="S1725" i="4" s="1"/>
  <c r="S1726" i="4" s="1"/>
  <c r="S1727" i="4" s="1"/>
  <c r="S1728" i="4" s="1"/>
  <c r="S1729" i="4" s="1"/>
  <c r="S1730" i="4" s="1"/>
  <c r="S1731" i="4" s="1"/>
  <c r="S1732" i="4" s="1"/>
  <c r="S1733" i="4" s="1"/>
  <c r="S1734" i="4" s="1"/>
  <c r="S1735" i="4" s="1"/>
  <c r="S1736" i="4" s="1"/>
  <c r="S1737" i="4" s="1"/>
  <c r="S1738" i="4" s="1"/>
  <c r="S1739" i="4" s="1"/>
  <c r="S1740" i="4" s="1"/>
  <c r="S1741" i="4" s="1"/>
  <c r="S1742" i="4" s="1"/>
  <c r="S1743" i="4" s="1"/>
  <c r="S1744" i="4" s="1"/>
  <c r="S1745" i="4" s="1"/>
  <c r="S1746" i="4" s="1"/>
  <c r="S1747" i="4" s="1"/>
  <c r="S1748" i="4" s="1"/>
  <c r="S1749" i="4" s="1"/>
  <c r="S1750" i="4" s="1"/>
  <c r="S1751" i="4" s="1"/>
  <c r="S1752" i="4" s="1"/>
  <c r="S1753" i="4" s="1"/>
  <c r="S1754" i="4" s="1"/>
  <c r="S1755" i="4" s="1"/>
  <c r="S1756" i="4" s="1"/>
  <c r="S1757" i="4" s="1"/>
  <c r="S1758" i="4" s="1"/>
  <c r="S1759" i="4" s="1"/>
  <c r="S1760" i="4" s="1"/>
  <c r="S1761" i="4" s="1"/>
  <c r="S1762" i="4" s="1"/>
  <c r="S1763" i="4" s="1"/>
  <c r="S1764" i="4" s="1"/>
  <c r="S1765" i="4" s="1"/>
  <c r="S1766" i="4" s="1"/>
  <c r="S1767" i="4" s="1"/>
  <c r="S1768" i="4" s="1"/>
  <c r="S1769" i="4" s="1"/>
  <c r="S1770" i="4" s="1"/>
  <c r="S1771" i="4" s="1"/>
  <c r="S1772" i="4" s="1"/>
  <c r="S1773" i="4" s="1"/>
  <c r="S1774" i="4" s="1"/>
  <c r="S1775" i="4" s="1"/>
  <c r="S1776" i="4" s="1"/>
  <c r="S1777" i="4" s="1"/>
  <c r="S1778" i="4" s="1"/>
  <c r="S1779" i="4" s="1"/>
  <c r="S1780" i="4" s="1"/>
  <c r="S1781" i="4" s="1"/>
  <c r="S1782" i="4" s="1"/>
  <c r="S1783" i="4" s="1"/>
  <c r="S1784" i="4" s="1"/>
  <c r="S1785" i="4" s="1"/>
  <c r="S1786" i="4" s="1"/>
  <c r="S1787" i="4" s="1"/>
  <c r="S1788" i="4" s="1"/>
  <c r="S1789" i="4" s="1"/>
  <c r="S1790" i="4" s="1"/>
  <c r="S1791" i="4" s="1"/>
  <c r="S1792" i="4" s="1"/>
  <c r="S1793" i="4" s="1"/>
  <c r="S1794" i="4" s="1"/>
  <c r="S1795" i="4" s="1"/>
  <c r="S1796" i="4" s="1"/>
  <c r="S1797" i="4" s="1"/>
  <c r="S1798" i="4" s="1"/>
  <c r="S1799" i="4" s="1"/>
  <c r="S1800" i="4" s="1"/>
  <c r="S1801" i="4" s="1"/>
  <c r="S1802" i="4" s="1"/>
  <c r="S1803" i="4" s="1"/>
  <c r="S1804" i="4" s="1"/>
  <c r="S1805" i="4" s="1"/>
  <c r="S1806" i="4" s="1"/>
  <c r="S1807" i="4" s="1"/>
  <c r="S1808" i="4" s="1"/>
  <c r="S1809" i="4" s="1"/>
  <c r="S1810" i="4" s="1"/>
  <c r="S1811" i="4" s="1"/>
  <c r="S1812" i="4" s="1"/>
  <c r="S1813" i="4" s="1"/>
  <c r="S1814" i="4" s="1"/>
  <c r="S1815" i="4" s="1"/>
  <c r="S1816" i="4" s="1"/>
  <c r="S1817" i="4" s="1"/>
  <c r="S1818" i="4" s="1"/>
  <c r="S1819" i="4" s="1"/>
  <c r="S1820" i="4" s="1"/>
  <c r="S1821" i="4" s="1"/>
  <c r="S1822" i="4" s="1"/>
  <c r="S1823" i="4" s="1"/>
  <c r="S1824" i="4" s="1"/>
  <c r="S1825" i="4" s="1"/>
  <c r="S1826" i="4" s="1"/>
  <c r="S1827" i="4" s="1"/>
  <c r="S1828" i="4" s="1"/>
  <c r="S1829" i="4" s="1"/>
  <c r="S1830" i="4" s="1"/>
  <c r="S1831" i="4" s="1"/>
  <c r="S1832" i="4" s="1"/>
  <c r="S1833" i="4" s="1"/>
  <c r="S1834" i="4" s="1"/>
  <c r="S1835" i="4" s="1"/>
  <c r="S1836" i="4" s="1"/>
  <c r="S1837" i="4" s="1"/>
  <c r="S1838" i="4" s="1"/>
  <c r="S1839" i="4" s="1"/>
  <c r="S1840" i="4" s="1"/>
  <c r="S1841" i="4" s="1"/>
  <c r="S1842" i="4" s="1"/>
  <c r="S1843" i="4" s="1"/>
  <c r="S1844" i="4" s="1"/>
  <c r="S1845" i="4" s="1"/>
  <c r="S1846" i="4" s="1"/>
  <c r="S1847" i="4" s="1"/>
  <c r="S1848" i="4" s="1"/>
  <c r="S1849" i="4" s="1"/>
  <c r="S1850" i="4" s="1"/>
  <c r="S1851" i="4" s="1"/>
  <c r="S1852" i="4" s="1"/>
  <c r="S1853" i="4" s="1"/>
  <c r="S1854" i="4" s="1"/>
  <c r="S1855" i="4" s="1"/>
  <c r="S1856" i="4" s="1"/>
  <c r="S1857" i="4" s="1"/>
  <c r="S1858" i="4" s="1"/>
  <c r="S1859" i="4" s="1"/>
  <c r="S1860" i="4" s="1"/>
  <c r="S1861" i="4" s="1"/>
  <c r="S1862" i="4" s="1"/>
  <c r="S1863" i="4" s="1"/>
  <c r="S1864" i="4" s="1"/>
  <c r="S1865" i="4" s="1"/>
  <c r="S1866" i="4" s="1"/>
  <c r="S1867" i="4" s="1"/>
  <c r="S1868" i="4" s="1"/>
  <c r="S1869" i="4" s="1"/>
  <c r="S1870" i="4" s="1"/>
  <c r="S1871" i="4" s="1"/>
  <c r="S1872" i="4" s="1"/>
  <c r="S1873" i="4" s="1"/>
  <c r="S1874" i="4" s="1"/>
  <c r="S1875" i="4" s="1"/>
  <c r="S1876" i="4" s="1"/>
  <c r="S1877" i="4" s="1"/>
  <c r="S1878" i="4" s="1"/>
  <c r="S1879" i="4" s="1"/>
  <c r="S1880" i="4" s="1"/>
  <c r="S1881" i="4" s="1"/>
  <c r="S1882" i="4" s="1"/>
  <c r="S1883" i="4" s="1"/>
  <c r="S1884" i="4" s="1"/>
  <c r="S1885" i="4" s="1"/>
  <c r="S1886" i="4" s="1"/>
  <c r="S1887" i="4" s="1"/>
  <c r="S1888" i="4" s="1"/>
  <c r="S1889" i="4" s="1"/>
  <c r="S1890" i="4" s="1"/>
  <c r="S1891" i="4" s="1"/>
  <c r="S1892" i="4" s="1"/>
  <c r="S1893" i="4" s="1"/>
  <c r="S1894" i="4" s="1"/>
  <c r="S1895" i="4" s="1"/>
  <c r="S1896" i="4" s="1"/>
  <c r="S1897" i="4" s="1"/>
  <c r="S1898" i="4" s="1"/>
  <c r="S1899" i="4" s="1"/>
  <c r="S1900" i="4" s="1"/>
  <c r="S1901" i="4" s="1"/>
  <c r="S1902" i="4" s="1"/>
  <c r="S1903" i="4" s="1"/>
  <c r="S1904" i="4" s="1"/>
  <c r="S1905" i="4" s="1"/>
  <c r="S1906" i="4" s="1"/>
  <c r="S1907" i="4" s="1"/>
  <c r="S1908" i="4" s="1"/>
  <c r="S1909" i="4" s="1"/>
  <c r="S1910" i="4" s="1"/>
  <c r="S1911" i="4" s="1"/>
  <c r="S1912" i="4" s="1"/>
  <c r="S1913" i="4" s="1"/>
  <c r="S1914" i="4" s="1"/>
  <c r="S1915" i="4" s="1"/>
  <c r="S1916" i="4" s="1"/>
  <c r="S1917" i="4" s="1"/>
  <c r="S1918" i="4" s="1"/>
  <c r="S1919" i="4" s="1"/>
  <c r="S1920" i="4" s="1"/>
  <c r="S1921" i="4" s="1"/>
  <c r="S1922" i="4" s="1"/>
  <c r="S1923" i="4" s="1"/>
  <c r="S1924" i="4" s="1"/>
  <c r="S1925" i="4" s="1"/>
  <c r="S1926" i="4" s="1"/>
  <c r="S1927" i="4" s="1"/>
  <c r="S1928" i="4" s="1"/>
  <c r="S1929" i="4" s="1"/>
  <c r="S1930" i="4" s="1"/>
  <c r="S1931" i="4" s="1"/>
  <c r="S1932" i="4" s="1"/>
  <c r="S1933" i="4" s="1"/>
  <c r="S1934" i="4" s="1"/>
  <c r="S1935" i="4" s="1"/>
  <c r="S1936" i="4" s="1"/>
  <c r="S1937" i="4" s="1"/>
  <c r="S1938" i="4" s="1"/>
  <c r="S1939" i="4" s="1"/>
  <c r="S1940" i="4" s="1"/>
  <c r="S1941" i="4" s="1"/>
  <c r="S1942" i="4" s="1"/>
  <c r="S1943" i="4" s="1"/>
  <c r="S1944" i="4" s="1"/>
  <c r="S1945" i="4" s="1"/>
  <c r="S1946" i="4" s="1"/>
  <c r="S1947" i="4" s="1"/>
  <c r="S1948" i="4" s="1"/>
  <c r="S1949" i="4" s="1"/>
  <c r="S1950" i="4" s="1"/>
  <c r="S1951" i="4" s="1"/>
  <c r="S1952" i="4" s="1"/>
  <c r="S1953" i="4" s="1"/>
  <c r="S1954" i="4" s="1"/>
  <c r="S1955" i="4" s="1"/>
  <c r="S1956" i="4" s="1"/>
  <c r="S1957" i="4" s="1"/>
  <c r="S1958" i="4" s="1"/>
  <c r="S1959" i="4" s="1"/>
  <c r="S1960" i="4" s="1"/>
  <c r="S1961" i="4" s="1"/>
  <c r="S1962" i="4" s="1"/>
  <c r="S1963" i="4" s="1"/>
  <c r="S1964" i="4" s="1"/>
  <c r="S1965" i="4" s="1"/>
  <c r="S1966" i="4" s="1"/>
  <c r="S1967" i="4" s="1"/>
  <c r="S1968" i="4" s="1"/>
  <c r="S1969" i="4" s="1"/>
  <c r="S1970" i="4" s="1"/>
  <c r="S1971" i="4" s="1"/>
  <c r="S1972" i="4" s="1"/>
  <c r="S1973" i="4" s="1"/>
  <c r="S1974" i="4" s="1"/>
  <c r="S1975" i="4" s="1"/>
  <c r="S1976" i="4" s="1"/>
  <c r="S1977" i="4" s="1"/>
  <c r="S1978" i="4" s="1"/>
  <c r="S1979" i="4" s="1"/>
  <c r="S1980" i="4" s="1"/>
  <c r="S1981" i="4" s="1"/>
  <c r="S1982" i="4" s="1"/>
  <c r="S1983" i="4" s="1"/>
  <c r="S1984" i="4" s="1"/>
  <c r="S1985" i="4" s="1"/>
  <c r="S1986" i="4" s="1"/>
  <c r="S1987" i="4" s="1"/>
  <c r="S1988" i="4" s="1"/>
  <c r="S1989" i="4" s="1"/>
  <c r="S1990" i="4" s="1"/>
  <c r="S1991" i="4" s="1"/>
  <c r="S1992" i="4" s="1"/>
  <c r="S1993" i="4" s="1"/>
  <c r="S1994" i="4" s="1"/>
  <c r="S1995" i="4" s="1"/>
  <c r="S1996" i="4" s="1"/>
  <c r="S1997" i="4" s="1"/>
  <c r="S1998" i="4" s="1"/>
  <c r="S1999" i="4" s="1"/>
  <c r="S2000" i="4" s="1"/>
  <c r="S2001" i="4" s="1"/>
  <c r="S2002" i="4" s="1"/>
  <c r="S2003" i="4" s="1"/>
  <c r="S2004" i="4" s="1"/>
  <c r="S2005" i="4" s="1"/>
  <c r="S2006" i="4" s="1"/>
  <c r="S2007" i="4" s="1"/>
  <c r="S2008" i="4" s="1"/>
  <c r="S2009" i="4" s="1"/>
  <c r="S2010" i="4" s="1"/>
  <c r="S2011" i="4" s="1"/>
  <c r="S2012" i="4" s="1"/>
  <c r="S2013" i="4" s="1"/>
  <c r="S2014" i="4" s="1"/>
  <c r="S2015" i="4" s="1"/>
  <c r="S2016" i="4" s="1"/>
  <c r="S2017" i="4" s="1"/>
  <c r="S2018" i="4" s="1"/>
  <c r="S2019" i="4" s="1"/>
  <c r="S2020" i="4" s="1"/>
  <c r="S2021" i="4" s="1"/>
  <c r="S2022" i="4" s="1"/>
  <c r="S2023" i="4" s="1"/>
  <c r="S2024" i="4" s="1"/>
  <c r="S2025" i="4" s="1"/>
  <c r="S2026" i="4" s="1"/>
  <c r="S2027" i="4" s="1"/>
  <c r="S2028" i="4" s="1"/>
  <c r="S2029" i="4" s="1"/>
  <c r="S2030" i="4" s="1"/>
  <c r="S2031" i="4" s="1"/>
  <c r="S2032" i="4" s="1"/>
  <c r="S2033" i="4" s="1"/>
  <c r="S2034" i="4" s="1"/>
  <c r="S2035" i="4" s="1"/>
  <c r="S2036" i="4" s="1"/>
  <c r="S2037" i="4" s="1"/>
  <c r="S2038" i="4" s="1"/>
  <c r="S2039" i="4" s="1"/>
  <c r="S2040" i="4" s="1"/>
  <c r="S2041" i="4" s="1"/>
  <c r="S2042" i="4" s="1"/>
  <c r="S2043" i="4" s="1"/>
  <c r="S2044" i="4" s="1"/>
  <c r="S2045" i="4" s="1"/>
  <c r="S2046" i="4" s="1"/>
  <c r="S2047" i="4" s="1"/>
  <c r="S2048" i="4" s="1"/>
  <c r="S2049" i="4" s="1"/>
  <c r="S2050" i="4" s="1"/>
  <c r="S2051" i="4" s="1"/>
  <c r="S2052" i="4" s="1"/>
  <c r="S2053" i="4" s="1"/>
  <c r="S2054" i="4" s="1"/>
  <c r="S2055" i="4" s="1"/>
  <c r="S2056" i="4" s="1"/>
  <c r="S2057" i="4" s="1"/>
  <c r="S2058" i="4" s="1"/>
  <c r="S2059" i="4" s="1"/>
  <c r="S2060" i="4" s="1"/>
  <c r="S2061" i="4" s="1"/>
  <c r="S2062" i="4" s="1"/>
  <c r="S2063" i="4" s="1"/>
  <c r="S2064" i="4" s="1"/>
  <c r="S2065" i="4" s="1"/>
  <c r="S2066" i="4" s="1"/>
  <c r="S2067" i="4" s="1"/>
  <c r="S2068" i="4" s="1"/>
  <c r="S2069" i="4" s="1"/>
  <c r="S2070" i="4" s="1"/>
  <c r="S2071" i="4" s="1"/>
  <c r="S2072" i="4" s="1"/>
  <c r="S2073" i="4" s="1"/>
  <c r="S2074" i="4" s="1"/>
  <c r="S2075" i="4" s="1"/>
  <c r="S2076" i="4" s="1"/>
  <c r="S2077" i="4" s="1"/>
  <c r="S2078" i="4" s="1"/>
  <c r="S2079" i="4" s="1"/>
  <c r="S2080" i="4" s="1"/>
  <c r="S2081" i="4" s="1"/>
  <c r="S2082" i="4" s="1"/>
  <c r="S2083" i="4" s="1"/>
  <c r="S2084" i="4" s="1"/>
  <c r="S2085" i="4" s="1"/>
  <c r="S2086" i="4" s="1"/>
  <c r="S2087" i="4" s="1"/>
  <c r="S2088" i="4" s="1"/>
  <c r="S2089" i="4" s="1"/>
  <c r="S2090" i="4" s="1"/>
  <c r="S2091" i="4" s="1"/>
  <c r="S2092" i="4" s="1"/>
  <c r="S2093" i="4" s="1"/>
  <c r="S2094" i="4" s="1"/>
  <c r="S2095" i="4" s="1"/>
  <c r="S2096" i="4" s="1"/>
  <c r="S2097" i="4" s="1"/>
  <c r="S2098" i="4" s="1"/>
  <c r="S2099" i="4" s="1"/>
  <c r="S2100" i="4" s="1"/>
  <c r="S2101" i="4" s="1"/>
  <c r="S2102" i="4" s="1"/>
  <c r="S2103" i="4" s="1"/>
  <c r="S2104" i="4" s="1"/>
  <c r="S2105" i="4" s="1"/>
  <c r="S2106" i="4" s="1"/>
  <c r="S2107" i="4" s="1"/>
  <c r="S2108" i="4" s="1"/>
  <c r="S2109" i="4" s="1"/>
  <c r="S2110" i="4" s="1"/>
  <c r="S2111" i="4" s="1"/>
  <c r="S2112" i="4" s="1"/>
  <c r="S2113" i="4" s="1"/>
  <c r="S2114" i="4" s="1"/>
  <c r="S2115" i="4" s="1"/>
  <c r="S2116" i="4" s="1"/>
  <c r="S2117" i="4" s="1"/>
  <c r="S2118" i="4" s="1"/>
  <c r="L27" i="4"/>
  <c r="G10" i="4"/>
  <c r="E10" i="4"/>
  <c r="F57" i="4"/>
  <c r="F41" i="4"/>
  <c r="F43" i="4"/>
  <c r="F42" i="4"/>
  <c r="F49" i="4"/>
  <c r="F50" i="4"/>
  <c r="F51" i="4"/>
  <c r="F52" i="4"/>
  <c r="F44" i="4"/>
  <c r="F45" i="4"/>
  <c r="F53" i="4"/>
  <c r="F38" i="4"/>
  <c r="F46" i="4"/>
  <c r="F54" i="4"/>
  <c r="F39" i="4"/>
  <c r="F47" i="4"/>
  <c r="F55" i="4"/>
  <c r="F40" i="4"/>
  <c r="F48" i="4"/>
  <c r="E32" i="4"/>
  <c r="H32" i="4" s="1"/>
  <c r="D58" i="4" s="1"/>
  <c r="E33" i="4"/>
  <c r="H33" i="4" s="1"/>
  <c r="C60" i="4"/>
  <c r="E346" i="1"/>
  <c r="E330" i="1"/>
  <c r="E306" i="1"/>
  <c r="E274" i="1"/>
  <c r="E250" i="1"/>
  <c r="E360" i="1"/>
  <c r="E352" i="1"/>
  <c r="E344" i="1"/>
  <c r="E336" i="1"/>
  <c r="E328" i="1"/>
  <c r="E320" i="1"/>
  <c r="E312" i="1"/>
  <c r="E304" i="1"/>
  <c r="E296" i="1"/>
  <c r="E288" i="1"/>
  <c r="E280" i="1"/>
  <c r="E272" i="1"/>
  <c r="E264" i="1"/>
  <c r="E256" i="1"/>
  <c r="E248" i="1"/>
  <c r="E240" i="1"/>
  <c r="E232" i="1"/>
  <c r="E224" i="1"/>
  <c r="E216" i="1"/>
  <c r="E208" i="1"/>
  <c r="E200" i="1"/>
  <c r="E192" i="1"/>
  <c r="E184" i="1"/>
  <c r="E176" i="1"/>
  <c r="E168" i="1"/>
  <c r="E160" i="1"/>
  <c r="E152" i="1"/>
  <c r="E144" i="1"/>
  <c r="E136" i="1"/>
  <c r="E128" i="1"/>
  <c r="E120" i="1"/>
  <c r="E112" i="1"/>
  <c r="E104" i="1"/>
  <c r="E96" i="1"/>
  <c r="E88" i="1"/>
  <c r="E80" i="1"/>
  <c r="E72" i="1"/>
  <c r="E64" i="1"/>
  <c r="E56" i="1"/>
  <c r="E48" i="1"/>
  <c r="E40" i="1"/>
  <c r="E32" i="1"/>
  <c r="E24" i="1"/>
  <c r="E16" i="1"/>
  <c r="E343" i="1"/>
  <c r="E279" i="1"/>
  <c r="E159" i="1"/>
  <c r="E355" i="1"/>
  <c r="E359" i="1"/>
  <c r="E327" i="1"/>
  <c r="E303" i="1"/>
  <c r="E255" i="1"/>
  <c r="E223" i="1"/>
  <c r="E199" i="1"/>
  <c r="E183" i="1"/>
  <c r="E151" i="1"/>
  <c r="E127" i="1"/>
  <c r="E87" i="1"/>
  <c r="E55" i="1"/>
  <c r="E31" i="1"/>
  <c r="E366" i="1"/>
  <c r="E334" i="1"/>
  <c r="E302" i="1"/>
  <c r="E270" i="1"/>
  <c r="E238" i="1"/>
  <c r="E214" i="1"/>
  <c r="E190" i="1"/>
  <c r="E166" i="1"/>
  <c r="E150" i="1"/>
  <c r="E142" i="1"/>
  <c r="E134" i="1"/>
  <c r="E126" i="1"/>
  <c r="E110" i="1"/>
  <c r="E102" i="1"/>
  <c r="E94" i="1"/>
  <c r="E86" i="1"/>
  <c r="E78" i="1"/>
  <c r="E70" i="1"/>
  <c r="E62" i="1"/>
  <c r="E54" i="1"/>
  <c r="E46" i="1"/>
  <c r="E38" i="1"/>
  <c r="E30" i="1"/>
  <c r="E22" i="1"/>
  <c r="E14" i="1"/>
  <c r="E339" i="1"/>
  <c r="E367" i="1"/>
  <c r="E335" i="1"/>
  <c r="E311" i="1"/>
  <c r="E295" i="1"/>
  <c r="E263" i="1"/>
  <c r="E239" i="1"/>
  <c r="E207" i="1"/>
  <c r="E175" i="1"/>
  <c r="E143" i="1"/>
  <c r="E111" i="1"/>
  <c r="E95" i="1"/>
  <c r="E63" i="1"/>
  <c r="E39" i="1"/>
  <c r="E15" i="1"/>
  <c r="E350" i="1"/>
  <c r="E326" i="1"/>
  <c r="E294" i="1"/>
  <c r="E278" i="1"/>
  <c r="E254" i="1"/>
  <c r="E230" i="1"/>
  <c r="E222" i="1"/>
  <c r="E198" i="1"/>
  <c r="E182" i="1"/>
  <c r="E174" i="1"/>
  <c r="E158" i="1"/>
  <c r="E118" i="1"/>
  <c r="E365" i="1"/>
  <c r="E357" i="1"/>
  <c r="E349" i="1"/>
  <c r="E341" i="1"/>
  <c r="E333" i="1"/>
  <c r="E325" i="1"/>
  <c r="E317" i="1"/>
  <c r="E309" i="1"/>
  <c r="E301" i="1"/>
  <c r="E293" i="1"/>
  <c r="E285" i="1"/>
  <c r="E277" i="1"/>
  <c r="E269" i="1"/>
  <c r="E261" i="1"/>
  <c r="E253" i="1"/>
  <c r="E245" i="1"/>
  <c r="E237" i="1"/>
  <c r="E229" i="1"/>
  <c r="E221" i="1"/>
  <c r="E213" i="1"/>
  <c r="E205" i="1"/>
  <c r="E197" i="1"/>
  <c r="E189" i="1"/>
  <c r="E181" i="1"/>
  <c r="E173" i="1"/>
  <c r="E165" i="1"/>
  <c r="E157" i="1"/>
  <c r="E149" i="1"/>
  <c r="E141" i="1"/>
  <c r="E133" i="1"/>
  <c r="E125" i="1"/>
  <c r="E117" i="1"/>
  <c r="E109" i="1"/>
  <c r="E101" i="1"/>
  <c r="E93" i="1"/>
  <c r="E85" i="1"/>
  <c r="E77" i="1"/>
  <c r="E69" i="1"/>
  <c r="E61" i="1"/>
  <c r="E53" i="1"/>
  <c r="E45" i="1"/>
  <c r="E37" i="1"/>
  <c r="E29" i="1"/>
  <c r="E21" i="1"/>
  <c r="E13" i="1"/>
  <c r="E323" i="1"/>
  <c r="E351" i="1"/>
  <c r="E319" i="1"/>
  <c r="E287" i="1"/>
  <c r="E271" i="1"/>
  <c r="E247" i="1"/>
  <c r="E231" i="1"/>
  <c r="E215" i="1"/>
  <c r="E191" i="1"/>
  <c r="E167" i="1"/>
  <c r="E135" i="1"/>
  <c r="E119" i="1"/>
  <c r="E103" i="1"/>
  <c r="E79" i="1"/>
  <c r="E71" i="1"/>
  <c r="E47" i="1"/>
  <c r="E23" i="1"/>
  <c r="E358" i="1"/>
  <c r="E342" i="1"/>
  <c r="E318" i="1"/>
  <c r="E310" i="1"/>
  <c r="E286" i="1"/>
  <c r="E262" i="1"/>
  <c r="E246" i="1"/>
  <c r="E206" i="1"/>
  <c r="E364" i="1"/>
  <c r="E356" i="1"/>
  <c r="E348" i="1"/>
  <c r="E340" i="1"/>
  <c r="E332" i="1"/>
  <c r="E324" i="1"/>
  <c r="E316" i="1"/>
  <c r="E308" i="1"/>
  <c r="E300" i="1"/>
  <c r="E292" i="1"/>
  <c r="E284" i="1"/>
  <c r="E276" i="1"/>
  <c r="E268" i="1"/>
  <c r="E260" i="1"/>
  <c r="E252" i="1"/>
  <c r="E244" i="1"/>
  <c r="E236" i="1"/>
  <c r="E228" i="1"/>
  <c r="E220" i="1"/>
  <c r="E212" i="1"/>
  <c r="E204" i="1"/>
  <c r="E196" i="1"/>
  <c r="E188" i="1"/>
  <c r="E180" i="1"/>
  <c r="E172" i="1"/>
  <c r="E164" i="1"/>
  <c r="E156" i="1"/>
  <c r="E148" i="1"/>
  <c r="E140" i="1"/>
  <c r="E132" i="1"/>
  <c r="E124" i="1"/>
  <c r="E116" i="1"/>
  <c r="E108" i="1"/>
  <c r="E100" i="1"/>
  <c r="E92" i="1"/>
  <c r="E84" i="1"/>
  <c r="E76" i="1"/>
  <c r="E68" i="1"/>
  <c r="E60" i="1"/>
  <c r="E52" i="1"/>
  <c r="E44" i="1"/>
  <c r="E36" i="1"/>
  <c r="E28" i="1"/>
  <c r="E20" i="1"/>
  <c r="E12" i="1"/>
  <c r="E331" i="1"/>
  <c r="E283" i="1"/>
  <c r="E259" i="1"/>
  <c r="E211" i="1"/>
  <c r="E107" i="1"/>
  <c r="E363" i="1"/>
  <c r="E315" i="1"/>
  <c r="E291" i="1"/>
  <c r="E267" i="1"/>
  <c r="E243" i="1"/>
  <c r="E227" i="1"/>
  <c r="E203" i="1"/>
  <c r="E187" i="1"/>
  <c r="E171" i="1"/>
  <c r="E155" i="1"/>
  <c r="E131" i="1"/>
  <c r="E115" i="1"/>
  <c r="E91" i="1"/>
  <c r="E75" i="1"/>
  <c r="E59" i="1"/>
  <c r="E43" i="1"/>
  <c r="E19" i="1"/>
  <c r="E354" i="1"/>
  <c r="E322" i="1"/>
  <c r="E290" i="1"/>
  <c r="E258" i="1"/>
  <c r="E234" i="1"/>
  <c r="E218" i="1"/>
  <c r="E210" i="1"/>
  <c r="E194" i="1"/>
  <c r="E186" i="1"/>
  <c r="E178" i="1"/>
  <c r="E170" i="1"/>
  <c r="E162" i="1"/>
  <c r="E154" i="1"/>
  <c r="E146" i="1"/>
  <c r="E138" i="1"/>
  <c r="E130" i="1"/>
  <c r="E122" i="1"/>
  <c r="E114" i="1"/>
  <c r="E106" i="1"/>
  <c r="E98" i="1"/>
  <c r="E90" i="1"/>
  <c r="E82" i="1"/>
  <c r="E74" i="1"/>
  <c r="E66" i="1"/>
  <c r="E58" i="1"/>
  <c r="E50" i="1"/>
  <c r="E42" i="1"/>
  <c r="E34" i="1"/>
  <c r="E26" i="1"/>
  <c r="E18" i="1"/>
  <c r="E10" i="1"/>
  <c r="E347" i="1"/>
  <c r="E307" i="1"/>
  <c r="E299" i="1"/>
  <c r="E275" i="1"/>
  <c r="E251" i="1"/>
  <c r="E235" i="1"/>
  <c r="E219" i="1"/>
  <c r="E195" i="1"/>
  <c r="E179" i="1"/>
  <c r="E163" i="1"/>
  <c r="E147" i="1"/>
  <c r="E139" i="1"/>
  <c r="E123" i="1"/>
  <c r="E99" i="1"/>
  <c r="E83" i="1"/>
  <c r="E67" i="1"/>
  <c r="E51" i="1"/>
  <c r="E35" i="1"/>
  <c r="E27" i="1"/>
  <c r="E11" i="1"/>
  <c r="E362" i="1"/>
  <c r="E338" i="1"/>
  <c r="E314" i="1"/>
  <c r="E298" i="1"/>
  <c r="E282" i="1"/>
  <c r="E266" i="1"/>
  <c r="E242" i="1"/>
  <c r="E226" i="1"/>
  <c r="E202" i="1"/>
  <c r="E361" i="1"/>
  <c r="E353" i="1"/>
  <c r="E345" i="1"/>
  <c r="E337" i="1"/>
  <c r="E329" i="1"/>
  <c r="E321" i="1"/>
  <c r="E313" i="1"/>
  <c r="E305" i="1"/>
  <c r="E297" i="1"/>
  <c r="E289" i="1"/>
  <c r="E281" i="1"/>
  <c r="E273" i="1"/>
  <c r="E265" i="1"/>
  <c r="E257" i="1"/>
  <c r="E249" i="1"/>
  <c r="E241" i="1"/>
  <c r="E233" i="1"/>
  <c r="E225" i="1"/>
  <c r="E217" i="1"/>
  <c r="E209" i="1"/>
  <c r="E201" i="1"/>
  <c r="E193" i="1"/>
  <c r="E185" i="1"/>
  <c r="E177" i="1"/>
  <c r="E169" i="1"/>
  <c r="E161" i="1"/>
  <c r="E153" i="1"/>
  <c r="E145" i="1"/>
  <c r="E137" i="1"/>
  <c r="E129" i="1"/>
  <c r="E121" i="1"/>
  <c r="E113" i="1"/>
  <c r="E105" i="1"/>
  <c r="E97" i="1"/>
  <c r="E89" i="1"/>
  <c r="E81" i="1"/>
  <c r="E73" i="1"/>
  <c r="E65" i="1"/>
  <c r="E57" i="1"/>
  <c r="E49" i="1"/>
  <c r="E41" i="1"/>
  <c r="E33" i="1"/>
  <c r="E25" i="1"/>
  <c r="E17" i="1"/>
  <c r="E9" i="1"/>
  <c r="H13" i="11" l="1"/>
  <c r="I12" i="11"/>
  <c r="J13" i="11" s="1"/>
  <c r="K13" i="11" s="1"/>
  <c r="H58" i="4"/>
  <c r="G58" i="4"/>
  <c r="D59" i="4"/>
  <c r="E58" i="4"/>
  <c r="F58" i="4" s="1"/>
  <c r="C61" i="4"/>
  <c r="D60" i="4"/>
  <c r="H14" i="11" l="1"/>
  <c r="I13" i="11"/>
  <c r="J14" i="11" s="1"/>
  <c r="K14" i="11" s="1"/>
  <c r="I58" i="4"/>
  <c r="H59" i="4"/>
  <c r="G59" i="4"/>
  <c r="E60" i="4"/>
  <c r="F60" i="4" s="1"/>
  <c r="E59" i="4"/>
  <c r="F59" i="4" s="1"/>
  <c r="G60" i="4" s="1"/>
  <c r="C62" i="4"/>
  <c r="D61" i="4"/>
  <c r="H15" i="11" l="1"/>
  <c r="I14" i="11"/>
  <c r="J15" i="11" s="1"/>
  <c r="K15" i="11" s="1"/>
  <c r="H60" i="4"/>
  <c r="I60" i="4" s="1"/>
  <c r="I59" i="4"/>
  <c r="H61" i="4"/>
  <c r="G61" i="4"/>
  <c r="E61" i="4"/>
  <c r="F61" i="4" s="1"/>
  <c r="C63" i="4"/>
  <c r="D62" i="4"/>
  <c r="H16" i="11" l="1"/>
  <c r="I15" i="11"/>
  <c r="J16" i="11" s="1"/>
  <c r="K16" i="11" s="1"/>
  <c r="I61" i="4"/>
  <c r="G62" i="4"/>
  <c r="H62" i="4"/>
  <c r="E62" i="4"/>
  <c r="F62" i="4" s="1"/>
  <c r="C64" i="4"/>
  <c r="D63" i="4"/>
  <c r="H17" i="11" l="1"/>
  <c r="I16" i="11"/>
  <c r="J17" i="11" s="1"/>
  <c r="K17" i="11" s="1"/>
  <c r="I62" i="4"/>
  <c r="H63" i="4"/>
  <c r="G63" i="4"/>
  <c r="E63" i="4"/>
  <c r="F63" i="4" s="1"/>
  <c r="C65" i="4"/>
  <c r="D64" i="4"/>
  <c r="H18" i="11" l="1"/>
  <c r="I17" i="11"/>
  <c r="J18" i="11" s="1"/>
  <c r="K18" i="11" s="1"/>
  <c r="I63" i="4"/>
  <c r="G64" i="4"/>
  <c r="H64" i="4"/>
  <c r="E64" i="4"/>
  <c r="F64" i="4" s="1"/>
  <c r="C66" i="4"/>
  <c r="D65" i="4"/>
  <c r="H19" i="11" l="1"/>
  <c r="I18" i="11"/>
  <c r="J19" i="11" s="1"/>
  <c r="K19" i="11" s="1"/>
  <c r="I64" i="4"/>
  <c r="H65" i="4"/>
  <c r="G65" i="4"/>
  <c r="E65" i="4"/>
  <c r="F65" i="4" s="1"/>
  <c r="C67" i="4"/>
  <c r="D66" i="4"/>
  <c r="H20" i="11" l="1"/>
  <c r="I19" i="11"/>
  <c r="J20" i="11" s="1"/>
  <c r="K20" i="11" s="1"/>
  <c r="I65" i="4"/>
  <c r="G66" i="4"/>
  <c r="H66" i="4"/>
  <c r="E66" i="4"/>
  <c r="F66" i="4" s="1"/>
  <c r="C68" i="4"/>
  <c r="D67" i="4"/>
  <c r="H21" i="11" l="1"/>
  <c r="I20" i="11"/>
  <c r="J21" i="11" s="1"/>
  <c r="K21" i="11" s="1"/>
  <c r="I66" i="4"/>
  <c r="G67" i="4"/>
  <c r="H67" i="4"/>
  <c r="E67" i="4"/>
  <c r="F67" i="4" s="1"/>
  <c r="C69" i="4"/>
  <c r="D68" i="4"/>
  <c r="H22" i="11" l="1"/>
  <c r="I21" i="11"/>
  <c r="J22" i="11" s="1"/>
  <c r="K22" i="11" s="1"/>
  <c r="I67" i="4"/>
  <c r="G68" i="4"/>
  <c r="H68" i="4"/>
  <c r="E68" i="4"/>
  <c r="F68" i="4" s="1"/>
  <c r="C70" i="4"/>
  <c r="D69" i="4"/>
  <c r="I22" i="11" l="1"/>
  <c r="J23" i="11" s="1"/>
  <c r="K23" i="11" s="1"/>
  <c r="H23" i="11"/>
  <c r="I68" i="4"/>
  <c r="H69" i="4"/>
  <c r="G69" i="4"/>
  <c r="E69" i="4"/>
  <c r="F69" i="4" s="1"/>
  <c r="C71" i="4"/>
  <c r="D70" i="4"/>
  <c r="I23" i="11" l="1"/>
  <c r="J24" i="11" s="1"/>
  <c r="K24" i="11" s="1"/>
  <c r="H24" i="11"/>
  <c r="I69" i="4"/>
  <c r="H70" i="4"/>
  <c r="G70" i="4"/>
  <c r="E70" i="4"/>
  <c r="F70" i="4" s="1"/>
  <c r="C72" i="4"/>
  <c r="D71" i="4"/>
  <c r="I24" i="11" l="1"/>
  <c r="J25" i="11" s="1"/>
  <c r="K25" i="11" s="1"/>
  <c r="H25" i="11"/>
  <c r="G71" i="4"/>
  <c r="H71" i="4"/>
  <c r="I70" i="4"/>
  <c r="E71" i="4"/>
  <c r="F71" i="4" s="1"/>
  <c r="C73" i="4"/>
  <c r="D72" i="4"/>
  <c r="H26" i="11" l="1"/>
  <c r="I25" i="11"/>
  <c r="J26" i="11" s="1"/>
  <c r="K26" i="11" s="1"/>
  <c r="I71" i="4"/>
  <c r="G72" i="4"/>
  <c r="H72" i="4"/>
  <c r="E72" i="4"/>
  <c r="F72" i="4" s="1"/>
  <c r="C74" i="4"/>
  <c r="D73" i="4"/>
  <c r="I26" i="11" l="1"/>
  <c r="J27" i="11" s="1"/>
  <c r="K27" i="11" s="1"/>
  <c r="H27" i="11"/>
  <c r="I72" i="4"/>
  <c r="H73" i="4"/>
  <c r="G73" i="4"/>
  <c r="E73" i="4"/>
  <c r="F73" i="4" s="1"/>
  <c r="C75" i="4"/>
  <c r="D74" i="4"/>
  <c r="I27" i="11" l="1"/>
  <c r="J28" i="11" s="1"/>
  <c r="K28" i="11" s="1"/>
  <c r="H28" i="11"/>
  <c r="I73" i="4"/>
  <c r="G74" i="4"/>
  <c r="H74" i="4"/>
  <c r="E74" i="4"/>
  <c r="F74" i="4" s="1"/>
  <c r="C76" i="4"/>
  <c r="D75" i="4"/>
  <c r="I28" i="11" l="1"/>
  <c r="J29" i="11" s="1"/>
  <c r="K29" i="11" s="1"/>
  <c r="H29" i="11"/>
  <c r="I74" i="4"/>
  <c r="G75" i="4"/>
  <c r="H75" i="4"/>
  <c r="E75" i="4"/>
  <c r="F75" i="4" s="1"/>
  <c r="C77" i="4"/>
  <c r="D76" i="4"/>
  <c r="I29" i="11" l="1"/>
  <c r="J30" i="11" s="1"/>
  <c r="K30" i="11" s="1"/>
  <c r="H30" i="11"/>
  <c r="I75" i="4"/>
  <c r="H76" i="4"/>
  <c r="G76" i="4"/>
  <c r="E76" i="4"/>
  <c r="F76" i="4" s="1"/>
  <c r="C78" i="4"/>
  <c r="D77" i="4"/>
  <c r="H31" i="11" l="1"/>
  <c r="I30" i="11"/>
  <c r="J31" i="11" s="1"/>
  <c r="K31" i="11" s="1"/>
  <c r="I76" i="4"/>
  <c r="H77" i="4"/>
  <c r="G77" i="4"/>
  <c r="E77" i="4"/>
  <c r="F77" i="4" s="1"/>
  <c r="C79" i="4"/>
  <c r="D78" i="4"/>
  <c r="I31" i="11" l="1"/>
  <c r="J32" i="11" s="1"/>
  <c r="K32" i="11" s="1"/>
  <c r="H32" i="11"/>
  <c r="G78" i="4"/>
  <c r="I77" i="4"/>
  <c r="E78" i="4"/>
  <c r="F78" i="4" s="1"/>
  <c r="H78" i="4" s="1"/>
  <c r="C80" i="4"/>
  <c r="D79" i="4"/>
  <c r="I32" i="11" l="1"/>
  <c r="J33" i="11" s="1"/>
  <c r="K33" i="11" s="1"/>
  <c r="H33" i="11"/>
  <c r="I78" i="4"/>
  <c r="G79" i="4"/>
  <c r="E79" i="4"/>
  <c r="F79" i="4" s="1"/>
  <c r="H79" i="4" s="1"/>
  <c r="C81" i="4"/>
  <c r="D80" i="4"/>
  <c r="H34" i="11" l="1"/>
  <c r="I33" i="11"/>
  <c r="J34" i="11" s="1"/>
  <c r="K34" i="11" s="1"/>
  <c r="I79" i="4"/>
  <c r="E80" i="4"/>
  <c r="F80" i="4" s="1"/>
  <c r="H80" i="4" s="1"/>
  <c r="G80" i="4"/>
  <c r="C82" i="4"/>
  <c r="D81" i="4"/>
  <c r="I34" i="11" l="1"/>
  <c r="J35" i="11" s="1"/>
  <c r="K35" i="11" s="1"/>
  <c r="H35" i="11"/>
  <c r="I80" i="4"/>
  <c r="E81" i="4"/>
  <c r="F81" i="4" s="1"/>
  <c r="H81" i="4"/>
  <c r="G81" i="4"/>
  <c r="C83" i="4"/>
  <c r="D82" i="4"/>
  <c r="I35" i="11" l="1"/>
  <c r="J36" i="11" s="1"/>
  <c r="K36" i="11" s="1"/>
  <c r="H36" i="11"/>
  <c r="E82" i="4"/>
  <c r="F82" i="4" s="1"/>
  <c r="H82" i="4" s="1"/>
  <c r="G82" i="4"/>
  <c r="I81" i="4"/>
  <c r="C84" i="4"/>
  <c r="D83" i="4"/>
  <c r="I36" i="11" l="1"/>
  <c r="J37" i="11" s="1"/>
  <c r="K37" i="11" s="1"/>
  <c r="H37" i="11"/>
  <c r="I82" i="4"/>
  <c r="E83" i="4"/>
  <c r="F83" i="4" s="1"/>
  <c r="G83" i="4"/>
  <c r="H83" i="4"/>
  <c r="C85" i="4"/>
  <c r="D84" i="4"/>
  <c r="I37" i="11" l="1"/>
  <c r="J38" i="11" s="1"/>
  <c r="H38" i="11"/>
  <c r="I83" i="4"/>
  <c r="E84" i="4"/>
  <c r="F84" i="4" s="1"/>
  <c r="G84" i="4"/>
  <c r="H84" i="4"/>
  <c r="C86" i="4"/>
  <c r="D85" i="4"/>
  <c r="H39" i="11" l="1"/>
  <c r="I38" i="11"/>
  <c r="I84" i="4"/>
  <c r="E85" i="4"/>
  <c r="F85" i="4" s="1"/>
  <c r="H85" i="4" s="1"/>
  <c r="G85" i="4"/>
  <c r="C87" i="4"/>
  <c r="D86" i="4"/>
  <c r="K38" i="11" l="1"/>
  <c r="J39" i="11"/>
  <c r="I39" i="11"/>
  <c r="H40" i="11"/>
  <c r="E86" i="4"/>
  <c r="F86" i="4" s="1"/>
  <c r="H86" i="4" s="1"/>
  <c r="G86" i="4"/>
  <c r="I85" i="4"/>
  <c r="C88" i="4"/>
  <c r="D87" i="4"/>
  <c r="I40" i="11" l="1"/>
  <c r="H41" i="11"/>
  <c r="K39" i="11"/>
  <c r="J40" i="11"/>
  <c r="E87" i="4"/>
  <c r="F87" i="4" s="1"/>
  <c r="H87" i="4" s="1"/>
  <c r="G87" i="4"/>
  <c r="I86" i="4"/>
  <c r="C89" i="4"/>
  <c r="D88" i="4"/>
  <c r="H42" i="11" l="1"/>
  <c r="I41" i="11"/>
  <c r="K40" i="11"/>
  <c r="J41" i="11"/>
  <c r="I87" i="4"/>
  <c r="E88" i="4"/>
  <c r="F88" i="4" s="1"/>
  <c r="H88" i="4"/>
  <c r="G88" i="4"/>
  <c r="C90" i="4"/>
  <c r="D89" i="4"/>
  <c r="K41" i="11" l="1"/>
  <c r="J42" i="11"/>
  <c r="I42" i="11"/>
  <c r="H43" i="11"/>
  <c r="E89" i="4"/>
  <c r="F89" i="4" s="1"/>
  <c r="H89" i="4" s="1"/>
  <c r="G89" i="4"/>
  <c r="I88" i="4"/>
  <c r="C91" i="4"/>
  <c r="D90" i="4"/>
  <c r="I43" i="11" l="1"/>
  <c r="H44" i="11"/>
  <c r="K42" i="11"/>
  <c r="J43" i="11"/>
  <c r="E90" i="4"/>
  <c r="F90" i="4" s="1"/>
  <c r="G90" i="4"/>
  <c r="H90" i="4"/>
  <c r="I89" i="4"/>
  <c r="C92" i="4"/>
  <c r="D91" i="4"/>
  <c r="I44" i="11" l="1"/>
  <c r="H45" i="11"/>
  <c r="K43" i="11"/>
  <c r="J44" i="11"/>
  <c r="I90" i="4"/>
  <c r="E91" i="4"/>
  <c r="F91" i="4" s="1"/>
  <c r="H91" i="4" s="1"/>
  <c r="G91" i="4"/>
  <c r="C93" i="4"/>
  <c r="D92" i="4"/>
  <c r="I45" i="11" l="1"/>
  <c r="H46" i="11"/>
  <c r="K44" i="11"/>
  <c r="J45" i="11"/>
  <c r="I91" i="4"/>
  <c r="E92" i="4"/>
  <c r="F92" i="4" s="1"/>
  <c r="H92" i="4"/>
  <c r="G92" i="4"/>
  <c r="C94" i="4"/>
  <c r="D93" i="4"/>
  <c r="I46" i="11" l="1"/>
  <c r="H47" i="11"/>
  <c r="K45" i="11"/>
  <c r="J46" i="11"/>
  <c r="E93" i="4"/>
  <c r="F93" i="4" s="1"/>
  <c r="H93" i="4"/>
  <c r="G93" i="4"/>
  <c r="I92" i="4"/>
  <c r="C95" i="4"/>
  <c r="D94" i="4"/>
  <c r="I47" i="11" l="1"/>
  <c r="H48" i="11"/>
  <c r="K46" i="11"/>
  <c r="J47" i="11"/>
  <c r="E94" i="4"/>
  <c r="F94" i="4" s="1"/>
  <c r="H94" i="4"/>
  <c r="G94" i="4"/>
  <c r="I93" i="4"/>
  <c r="C96" i="4"/>
  <c r="D95" i="4"/>
  <c r="I48" i="11" l="1"/>
  <c r="H49" i="11"/>
  <c r="K47" i="11"/>
  <c r="J48" i="11"/>
  <c r="E95" i="4"/>
  <c r="F95" i="4" s="1"/>
  <c r="G95" i="4"/>
  <c r="H95" i="4"/>
  <c r="I94" i="4"/>
  <c r="C97" i="4"/>
  <c r="D96" i="4"/>
  <c r="I49" i="11" l="1"/>
  <c r="H50" i="11"/>
  <c r="K48" i="11"/>
  <c r="J49" i="11"/>
  <c r="I95" i="4"/>
  <c r="E96" i="4"/>
  <c r="F96" i="4" s="1"/>
  <c r="G96" i="4"/>
  <c r="H96" i="4"/>
  <c r="C98" i="4"/>
  <c r="D97" i="4"/>
  <c r="I50" i="11" l="1"/>
  <c r="H51" i="11"/>
  <c r="K49" i="11"/>
  <c r="J50" i="11"/>
  <c r="I96" i="4"/>
  <c r="E97" i="4"/>
  <c r="F97" i="4" s="1"/>
  <c r="H97" i="4"/>
  <c r="G97" i="4"/>
  <c r="C99" i="4"/>
  <c r="D98" i="4"/>
  <c r="H52" i="11" l="1"/>
  <c r="I51" i="11"/>
  <c r="K50" i="11"/>
  <c r="J51" i="11"/>
  <c r="E98" i="4"/>
  <c r="F98" i="4" s="1"/>
  <c r="H98" i="4"/>
  <c r="G98" i="4"/>
  <c r="I97" i="4"/>
  <c r="C100" i="4"/>
  <c r="D99" i="4"/>
  <c r="K51" i="11" l="1"/>
  <c r="J52" i="11"/>
  <c r="I52" i="11"/>
  <c r="H53" i="11"/>
  <c r="I98" i="4"/>
  <c r="E99" i="4"/>
  <c r="F99" i="4" s="1"/>
  <c r="H99" i="4"/>
  <c r="G99" i="4"/>
  <c r="C101" i="4"/>
  <c r="D100" i="4"/>
  <c r="I53" i="11" l="1"/>
  <c r="H54" i="11"/>
  <c r="K52" i="11"/>
  <c r="J53" i="11"/>
  <c r="I99" i="4"/>
  <c r="E100" i="4"/>
  <c r="F100" i="4" s="1"/>
  <c r="H100" i="4"/>
  <c r="G100" i="4"/>
  <c r="C102" i="4"/>
  <c r="D101" i="4"/>
  <c r="H55" i="11" l="1"/>
  <c r="I54" i="11"/>
  <c r="K53" i="11"/>
  <c r="J54" i="11"/>
  <c r="I100" i="4"/>
  <c r="E101" i="4"/>
  <c r="F101" i="4" s="1"/>
  <c r="H101" i="4"/>
  <c r="G101" i="4"/>
  <c r="C103" i="4"/>
  <c r="D102" i="4"/>
  <c r="K54" i="11" l="1"/>
  <c r="J55" i="11"/>
  <c r="H56" i="11"/>
  <c r="I55" i="11"/>
  <c r="I101" i="4"/>
  <c r="E102" i="4"/>
  <c r="F102" i="4" s="1"/>
  <c r="H102" i="4"/>
  <c r="G102" i="4"/>
  <c r="C104" i="4"/>
  <c r="D103" i="4"/>
  <c r="I56" i="11" l="1"/>
  <c r="H57" i="11"/>
  <c r="K55" i="11"/>
  <c r="J56" i="11"/>
  <c r="I102" i="4"/>
  <c r="E103" i="4"/>
  <c r="F103" i="4" s="1"/>
  <c r="H103" i="4"/>
  <c r="G103" i="4"/>
  <c r="C105" i="4"/>
  <c r="D104" i="4"/>
  <c r="I57" i="11" l="1"/>
  <c r="H58" i="11"/>
  <c r="K56" i="11"/>
  <c r="J57" i="11"/>
  <c r="I103" i="4"/>
  <c r="E104" i="4"/>
  <c r="F104" i="4" s="1"/>
  <c r="H104" i="4"/>
  <c r="G104" i="4"/>
  <c r="C106" i="4"/>
  <c r="D105" i="4"/>
  <c r="H59" i="11" l="1"/>
  <c r="I58" i="11"/>
  <c r="K57" i="11"/>
  <c r="J58" i="11"/>
  <c r="I104" i="4"/>
  <c r="E105" i="4"/>
  <c r="F105" i="4" s="1"/>
  <c r="H105" i="4"/>
  <c r="G105" i="4"/>
  <c r="C107" i="4"/>
  <c r="D106" i="4"/>
  <c r="K58" i="11" l="1"/>
  <c r="J59" i="11"/>
  <c r="I59" i="11"/>
  <c r="H60" i="11"/>
  <c r="I105" i="4"/>
  <c r="E106" i="4"/>
  <c r="F106" i="4" s="1"/>
  <c r="H106" i="4"/>
  <c r="G106" i="4"/>
  <c r="C108" i="4"/>
  <c r="D107" i="4"/>
  <c r="K59" i="11" l="1"/>
  <c r="J60" i="11"/>
  <c r="H61" i="11"/>
  <c r="I60" i="11"/>
  <c r="I106" i="4"/>
  <c r="E107" i="4"/>
  <c r="F107" i="4" s="1"/>
  <c r="H107" i="4"/>
  <c r="G107" i="4"/>
  <c r="C109" i="4"/>
  <c r="D108" i="4"/>
  <c r="K60" i="11" l="1"/>
  <c r="J61" i="11"/>
  <c r="H62" i="11"/>
  <c r="I61" i="11"/>
  <c r="E108" i="4"/>
  <c r="F108" i="4" s="1"/>
  <c r="H108" i="4"/>
  <c r="G108" i="4"/>
  <c r="I107" i="4"/>
  <c r="C110" i="4"/>
  <c r="D109" i="4"/>
  <c r="K61" i="11" l="1"/>
  <c r="J62" i="11"/>
  <c r="I62" i="11"/>
  <c r="H63" i="11"/>
  <c r="E109" i="4"/>
  <c r="F109" i="4" s="1"/>
  <c r="H109" i="4"/>
  <c r="G109" i="4"/>
  <c r="I108" i="4"/>
  <c r="C111" i="4"/>
  <c r="D110" i="4"/>
  <c r="K62" i="11" l="1"/>
  <c r="J63" i="11"/>
  <c r="H64" i="11"/>
  <c r="I63" i="11"/>
  <c r="E110" i="4"/>
  <c r="F110" i="4" s="1"/>
  <c r="G110" i="4"/>
  <c r="H110" i="4"/>
  <c r="I109" i="4"/>
  <c r="C112" i="4"/>
  <c r="D111" i="4"/>
  <c r="I64" i="11" l="1"/>
  <c r="H65" i="11"/>
  <c r="K63" i="11"/>
  <c r="J64" i="11"/>
  <c r="E111" i="4"/>
  <c r="F111" i="4" s="1"/>
  <c r="H111" i="4"/>
  <c r="G111" i="4"/>
  <c r="I110" i="4"/>
  <c r="C113" i="4"/>
  <c r="D112" i="4"/>
  <c r="H66" i="11" l="1"/>
  <c r="I65" i="11"/>
  <c r="K64" i="11"/>
  <c r="J65" i="11"/>
  <c r="E112" i="4"/>
  <c r="F112" i="4" s="1"/>
  <c r="H112" i="4"/>
  <c r="G112" i="4"/>
  <c r="I111" i="4"/>
  <c r="C114" i="4"/>
  <c r="D113" i="4"/>
  <c r="K65" i="11" l="1"/>
  <c r="J66" i="11"/>
  <c r="H67" i="11"/>
  <c r="I66" i="11"/>
  <c r="E113" i="4"/>
  <c r="F113" i="4" s="1"/>
  <c r="H113" i="4"/>
  <c r="G113" i="4"/>
  <c r="I112" i="4"/>
  <c r="C115" i="4"/>
  <c r="D114" i="4"/>
  <c r="I67" i="11" l="1"/>
  <c r="H68" i="11"/>
  <c r="K66" i="11"/>
  <c r="J67" i="11"/>
  <c r="E114" i="4"/>
  <c r="F114" i="4" s="1"/>
  <c r="G114" i="4"/>
  <c r="H114" i="4"/>
  <c r="I113" i="4"/>
  <c r="C116" i="4"/>
  <c r="D115" i="4"/>
  <c r="I68" i="11" l="1"/>
  <c r="H69" i="11"/>
  <c r="K67" i="11"/>
  <c r="J68" i="11"/>
  <c r="E115" i="4"/>
  <c r="F115" i="4" s="1"/>
  <c r="H115" i="4"/>
  <c r="G115" i="4"/>
  <c r="I114" i="4"/>
  <c r="C117" i="4"/>
  <c r="D116" i="4"/>
  <c r="I69" i="11" l="1"/>
  <c r="H70" i="11"/>
  <c r="K68" i="11"/>
  <c r="J69" i="11"/>
  <c r="E116" i="4"/>
  <c r="F116" i="4" s="1"/>
  <c r="G116" i="4"/>
  <c r="H116" i="4"/>
  <c r="I115" i="4"/>
  <c r="C118" i="4"/>
  <c r="D117" i="4"/>
  <c r="H71" i="11" l="1"/>
  <c r="I70" i="11"/>
  <c r="K69" i="11"/>
  <c r="J70" i="11"/>
  <c r="E117" i="4"/>
  <c r="F117" i="4" s="1"/>
  <c r="H117" i="4"/>
  <c r="G117" i="4"/>
  <c r="I116" i="4"/>
  <c r="C119" i="4"/>
  <c r="D118" i="4"/>
  <c r="K70" i="11" l="1"/>
  <c r="J71" i="11"/>
  <c r="H72" i="11"/>
  <c r="I71" i="11"/>
  <c r="E118" i="4"/>
  <c r="F118" i="4" s="1"/>
  <c r="G118" i="4"/>
  <c r="H118" i="4"/>
  <c r="I117" i="4"/>
  <c r="C120" i="4"/>
  <c r="D119" i="4"/>
  <c r="I72" i="11" l="1"/>
  <c r="H73" i="11"/>
  <c r="K71" i="11"/>
  <c r="J72" i="11"/>
  <c r="E119" i="4"/>
  <c r="F119" i="4" s="1"/>
  <c r="H119" i="4"/>
  <c r="G119" i="4"/>
  <c r="I118" i="4"/>
  <c r="C121" i="4"/>
  <c r="D120" i="4"/>
  <c r="H74" i="11" l="1"/>
  <c r="I73" i="11"/>
  <c r="K72" i="11"/>
  <c r="J73" i="11"/>
  <c r="E120" i="4"/>
  <c r="F120" i="4" s="1"/>
  <c r="H120" i="4"/>
  <c r="G120" i="4"/>
  <c r="I119" i="4"/>
  <c r="C122" i="4"/>
  <c r="D121" i="4"/>
  <c r="K73" i="11" l="1"/>
  <c r="J74" i="11"/>
  <c r="H75" i="11"/>
  <c r="I74" i="11"/>
  <c r="E121" i="4"/>
  <c r="F121" i="4" s="1"/>
  <c r="H121" i="4"/>
  <c r="G121" i="4"/>
  <c r="I120" i="4"/>
  <c r="C123" i="4"/>
  <c r="D122" i="4"/>
  <c r="K74" i="11" l="1"/>
  <c r="J75" i="11"/>
  <c r="I75" i="11"/>
  <c r="H76" i="11"/>
  <c r="E122" i="4"/>
  <c r="F122" i="4" s="1"/>
  <c r="G122" i="4"/>
  <c r="H122" i="4"/>
  <c r="I121" i="4"/>
  <c r="C124" i="4"/>
  <c r="D123" i="4"/>
  <c r="K75" i="11" l="1"/>
  <c r="J76" i="11"/>
  <c r="H77" i="11"/>
  <c r="I76" i="11"/>
  <c r="E123" i="4"/>
  <c r="F123" i="4" s="1"/>
  <c r="H123" i="4"/>
  <c r="G123" i="4"/>
  <c r="I122" i="4"/>
  <c r="C125" i="4"/>
  <c r="D124" i="4"/>
  <c r="K76" i="11" l="1"/>
  <c r="J77" i="11"/>
  <c r="I77" i="11"/>
  <c r="H78" i="11"/>
  <c r="E124" i="4"/>
  <c r="F124" i="4" s="1"/>
  <c r="H124" i="4"/>
  <c r="G124" i="4"/>
  <c r="I123" i="4"/>
  <c r="C126" i="4"/>
  <c r="D125" i="4"/>
  <c r="H79" i="11" l="1"/>
  <c r="I78" i="11"/>
  <c r="K77" i="11"/>
  <c r="J78" i="11"/>
  <c r="E125" i="4"/>
  <c r="F125" i="4" s="1"/>
  <c r="H125" i="4"/>
  <c r="G125" i="4"/>
  <c r="I124" i="4"/>
  <c r="C127" i="4"/>
  <c r="D126" i="4"/>
  <c r="K78" i="11" l="1"/>
  <c r="J79" i="11"/>
  <c r="H80" i="11"/>
  <c r="I79" i="11"/>
  <c r="E126" i="4"/>
  <c r="F126" i="4" s="1"/>
  <c r="G126" i="4"/>
  <c r="H126" i="4"/>
  <c r="I125" i="4"/>
  <c r="C128" i="4"/>
  <c r="D127" i="4"/>
  <c r="K79" i="11" l="1"/>
  <c r="J80" i="11"/>
  <c r="I80" i="11"/>
  <c r="H81" i="11"/>
  <c r="E127" i="4"/>
  <c r="F127" i="4" s="1"/>
  <c r="H127" i="4"/>
  <c r="G127" i="4"/>
  <c r="I126" i="4"/>
  <c r="C129" i="4"/>
  <c r="D128" i="4"/>
  <c r="I81" i="11" l="1"/>
  <c r="H82" i="11"/>
  <c r="K80" i="11"/>
  <c r="J81" i="11"/>
  <c r="E128" i="4"/>
  <c r="F128" i="4" s="1"/>
  <c r="H128" i="4"/>
  <c r="G128" i="4"/>
  <c r="I127" i="4"/>
  <c r="C130" i="4"/>
  <c r="D129" i="4"/>
  <c r="H83" i="11" l="1"/>
  <c r="I82" i="11"/>
  <c r="K81" i="11"/>
  <c r="J82" i="11"/>
  <c r="E129" i="4"/>
  <c r="F129" i="4" s="1"/>
  <c r="H129" i="4"/>
  <c r="G129" i="4"/>
  <c r="I128" i="4"/>
  <c r="C131" i="4"/>
  <c r="D130" i="4"/>
  <c r="K82" i="11" l="1"/>
  <c r="J83" i="11"/>
  <c r="I83" i="11"/>
  <c r="H84" i="11"/>
  <c r="E130" i="4"/>
  <c r="F130" i="4" s="1"/>
  <c r="G130" i="4"/>
  <c r="H130" i="4"/>
  <c r="I129" i="4"/>
  <c r="C132" i="4"/>
  <c r="D131" i="4"/>
  <c r="I84" i="11" l="1"/>
  <c r="H85" i="11"/>
  <c r="K83" i="11"/>
  <c r="J84" i="11"/>
  <c r="E131" i="4"/>
  <c r="F131" i="4" s="1"/>
  <c r="H131" i="4"/>
  <c r="G131" i="4"/>
  <c r="I130" i="4"/>
  <c r="C133" i="4"/>
  <c r="D132" i="4"/>
  <c r="I85" i="11" l="1"/>
  <c r="H86" i="11"/>
  <c r="K84" i="11"/>
  <c r="J85" i="11"/>
  <c r="E132" i="4"/>
  <c r="F132" i="4" s="1"/>
  <c r="G132" i="4"/>
  <c r="H132" i="4"/>
  <c r="I131" i="4"/>
  <c r="C134" i="4"/>
  <c r="D133" i="4"/>
  <c r="H87" i="11" l="1"/>
  <c r="I86" i="11"/>
  <c r="K85" i="11"/>
  <c r="J86" i="11"/>
  <c r="E133" i="4"/>
  <c r="F133" i="4" s="1"/>
  <c r="H133" i="4"/>
  <c r="G133" i="4"/>
  <c r="I132" i="4"/>
  <c r="C135" i="4"/>
  <c r="D134" i="4"/>
  <c r="K86" i="11" l="1"/>
  <c r="J87" i="11"/>
  <c r="I87" i="11"/>
  <c r="H88" i="11"/>
  <c r="E134" i="4"/>
  <c r="F134" i="4" s="1"/>
  <c r="G134" i="4"/>
  <c r="H134" i="4"/>
  <c r="I133" i="4"/>
  <c r="C136" i="4"/>
  <c r="D135" i="4"/>
  <c r="K87" i="11" l="1"/>
  <c r="J88" i="11"/>
  <c r="H89" i="11"/>
  <c r="I88" i="11"/>
  <c r="E135" i="4"/>
  <c r="F135" i="4" s="1"/>
  <c r="H135" i="4"/>
  <c r="G135" i="4"/>
  <c r="I134" i="4"/>
  <c r="C137" i="4"/>
  <c r="D136" i="4"/>
  <c r="I89" i="11" l="1"/>
  <c r="H90" i="11"/>
  <c r="K88" i="11"/>
  <c r="J89" i="11"/>
  <c r="E136" i="4"/>
  <c r="F136" i="4" s="1"/>
  <c r="H136" i="4"/>
  <c r="G136" i="4"/>
  <c r="I135" i="4"/>
  <c r="C138" i="4"/>
  <c r="D137" i="4"/>
  <c r="I90" i="11" l="1"/>
  <c r="H91" i="11"/>
  <c r="K89" i="11"/>
  <c r="J90" i="11"/>
  <c r="E137" i="4"/>
  <c r="F137" i="4" s="1"/>
  <c r="H137" i="4"/>
  <c r="G137" i="4"/>
  <c r="I136" i="4"/>
  <c r="C139" i="4"/>
  <c r="D138" i="4"/>
  <c r="I91" i="11" l="1"/>
  <c r="H92" i="11"/>
  <c r="K90" i="11"/>
  <c r="J91" i="11"/>
  <c r="E138" i="4"/>
  <c r="F138" i="4" s="1"/>
  <c r="H138" i="4"/>
  <c r="G138" i="4"/>
  <c r="C140" i="4"/>
  <c r="D139" i="4"/>
  <c r="I137" i="4"/>
  <c r="H93" i="11" l="1"/>
  <c r="I92" i="11"/>
  <c r="K91" i="11"/>
  <c r="J92" i="11"/>
  <c r="I138" i="4"/>
  <c r="H139" i="4"/>
  <c r="E139" i="4"/>
  <c r="F139" i="4" s="1"/>
  <c r="G139" i="4"/>
  <c r="C141" i="4"/>
  <c r="D140" i="4"/>
  <c r="K92" i="11" l="1"/>
  <c r="J93" i="11"/>
  <c r="I93" i="11"/>
  <c r="H94" i="11"/>
  <c r="I139" i="4"/>
  <c r="H140" i="4"/>
  <c r="E140" i="4"/>
  <c r="F140" i="4" s="1"/>
  <c r="G140" i="4"/>
  <c r="C142" i="4"/>
  <c r="D141" i="4"/>
  <c r="I94" i="11" l="1"/>
  <c r="H95" i="11"/>
  <c r="K93" i="11"/>
  <c r="J94" i="11"/>
  <c r="I140" i="4"/>
  <c r="C143" i="4"/>
  <c r="D142" i="4"/>
  <c r="E141" i="4"/>
  <c r="F141" i="4" s="1"/>
  <c r="H141" i="4"/>
  <c r="G141" i="4"/>
  <c r="I95" i="11" l="1"/>
  <c r="H96" i="11"/>
  <c r="K94" i="11"/>
  <c r="J95" i="11"/>
  <c r="I141" i="4"/>
  <c r="H142" i="4"/>
  <c r="E142" i="4"/>
  <c r="F142" i="4" s="1"/>
  <c r="G142" i="4"/>
  <c r="C144" i="4"/>
  <c r="D143" i="4"/>
  <c r="H97" i="11" l="1"/>
  <c r="I96" i="11"/>
  <c r="K95" i="11"/>
  <c r="J96" i="11"/>
  <c r="I142" i="4"/>
  <c r="H143" i="4"/>
  <c r="E143" i="4"/>
  <c r="F143" i="4" s="1"/>
  <c r="G143" i="4"/>
  <c r="C145" i="4"/>
  <c r="D144" i="4"/>
  <c r="K96" i="11" l="1"/>
  <c r="J97" i="11"/>
  <c r="I97" i="11"/>
  <c r="H98" i="11"/>
  <c r="I143" i="4"/>
  <c r="C146" i="4"/>
  <c r="D145" i="4"/>
  <c r="H144" i="4"/>
  <c r="E144" i="4"/>
  <c r="F144" i="4" s="1"/>
  <c r="G144" i="4"/>
  <c r="H99" i="11" l="1"/>
  <c r="I98" i="11"/>
  <c r="K97" i="11"/>
  <c r="J98" i="11"/>
  <c r="I144" i="4"/>
  <c r="H145" i="4"/>
  <c r="E145" i="4"/>
  <c r="F145" i="4" s="1"/>
  <c r="G145" i="4"/>
  <c r="C147" i="4"/>
  <c r="D146" i="4"/>
  <c r="K98" i="11" l="1"/>
  <c r="J99" i="11"/>
  <c r="H100" i="11"/>
  <c r="I99" i="11"/>
  <c r="I145" i="4"/>
  <c r="H146" i="4"/>
  <c r="E146" i="4"/>
  <c r="F146" i="4" s="1"/>
  <c r="G146" i="4"/>
  <c r="C148" i="4"/>
  <c r="D147" i="4"/>
  <c r="K99" i="11" l="1"/>
  <c r="J100" i="11"/>
  <c r="H101" i="11"/>
  <c r="I100" i="11"/>
  <c r="I146" i="4"/>
  <c r="E147" i="4"/>
  <c r="F147" i="4" s="1"/>
  <c r="G147" i="4"/>
  <c r="H147" i="4"/>
  <c r="C149" i="4"/>
  <c r="D148" i="4"/>
  <c r="I101" i="11" l="1"/>
  <c r="H102" i="11"/>
  <c r="K100" i="11"/>
  <c r="J101" i="11"/>
  <c r="C150" i="4"/>
  <c r="D149" i="4"/>
  <c r="I147" i="4"/>
  <c r="E148" i="4"/>
  <c r="F148" i="4" s="1"/>
  <c r="G148" i="4"/>
  <c r="H148" i="4"/>
  <c r="I102" i="11" l="1"/>
  <c r="H103" i="11"/>
  <c r="K101" i="11"/>
  <c r="J102" i="11"/>
  <c r="I148" i="4"/>
  <c r="G149" i="4"/>
  <c r="H149" i="4"/>
  <c r="E149" i="4"/>
  <c r="F149" i="4" s="1"/>
  <c r="C151" i="4"/>
  <c r="D150" i="4"/>
  <c r="H104" i="11" l="1"/>
  <c r="I103" i="11"/>
  <c r="K102" i="11"/>
  <c r="J103" i="11"/>
  <c r="I149" i="4"/>
  <c r="G150" i="4"/>
  <c r="E150" i="4"/>
  <c r="F150" i="4" s="1"/>
  <c r="H150" i="4"/>
  <c r="C152" i="4"/>
  <c r="D151" i="4"/>
  <c r="K103" i="11" l="1"/>
  <c r="J104" i="11"/>
  <c r="I104" i="11"/>
  <c r="H105" i="11"/>
  <c r="I150" i="4"/>
  <c r="C153" i="4"/>
  <c r="D152" i="4"/>
  <c r="E151" i="4"/>
  <c r="F151" i="4" s="1"/>
  <c r="G151" i="4"/>
  <c r="H151" i="4"/>
  <c r="K104" i="11" l="1"/>
  <c r="J105" i="11"/>
  <c r="I105" i="11"/>
  <c r="H106" i="11"/>
  <c r="I151" i="4"/>
  <c r="E152" i="4"/>
  <c r="F152" i="4" s="1"/>
  <c r="G152" i="4"/>
  <c r="H152" i="4"/>
  <c r="C154" i="4"/>
  <c r="D153" i="4"/>
  <c r="K105" i="11" l="1"/>
  <c r="J106" i="11"/>
  <c r="H107" i="11"/>
  <c r="I106" i="11"/>
  <c r="I152" i="4"/>
  <c r="G153" i="4"/>
  <c r="E153" i="4"/>
  <c r="F153" i="4" s="1"/>
  <c r="H153" i="4"/>
  <c r="C155" i="4"/>
  <c r="D154" i="4"/>
  <c r="K106" i="11" l="1"/>
  <c r="J107" i="11"/>
  <c r="H108" i="11"/>
  <c r="I107" i="11"/>
  <c r="I153" i="4"/>
  <c r="G154" i="4"/>
  <c r="E154" i="4"/>
  <c r="F154" i="4" s="1"/>
  <c r="H154" i="4" s="1"/>
  <c r="C156" i="4"/>
  <c r="D155" i="4"/>
  <c r="I108" i="11" l="1"/>
  <c r="H109" i="11"/>
  <c r="K107" i="11"/>
  <c r="J108" i="11"/>
  <c r="I154" i="4"/>
  <c r="E155" i="4"/>
  <c r="F155" i="4" s="1"/>
  <c r="G155" i="4"/>
  <c r="H155" i="4"/>
  <c r="C157" i="4"/>
  <c r="D156" i="4"/>
  <c r="H110" i="11" l="1"/>
  <c r="I109" i="11"/>
  <c r="K108" i="11"/>
  <c r="J109" i="11"/>
  <c r="C158" i="4"/>
  <c r="D157" i="4"/>
  <c r="I155" i="4"/>
  <c r="E156" i="4"/>
  <c r="F156" i="4" s="1"/>
  <c r="G156" i="4"/>
  <c r="H156" i="4"/>
  <c r="K109" i="11" l="1"/>
  <c r="J110" i="11"/>
  <c r="I110" i="11"/>
  <c r="H111" i="11"/>
  <c r="I156" i="4"/>
  <c r="E157" i="4"/>
  <c r="F157" i="4" s="1"/>
  <c r="G157" i="4"/>
  <c r="H157" i="4"/>
  <c r="C159" i="4"/>
  <c r="D158" i="4"/>
  <c r="H112" i="11" l="1"/>
  <c r="I111" i="11"/>
  <c r="K110" i="11"/>
  <c r="J111" i="11"/>
  <c r="I157" i="4"/>
  <c r="C160" i="4"/>
  <c r="D159" i="4"/>
  <c r="G158" i="4"/>
  <c r="E158" i="4"/>
  <c r="F158" i="4" s="1"/>
  <c r="H158" i="4"/>
  <c r="K111" i="11" l="1"/>
  <c r="J112" i="11"/>
  <c r="H113" i="11"/>
  <c r="I112" i="11"/>
  <c r="I158" i="4"/>
  <c r="E159" i="4"/>
  <c r="F159" i="4" s="1"/>
  <c r="G159" i="4"/>
  <c r="H159" i="4"/>
  <c r="C161" i="4"/>
  <c r="D160" i="4"/>
  <c r="K112" i="11" l="1"/>
  <c r="J113" i="11"/>
  <c r="I113" i="11"/>
  <c r="H114" i="11"/>
  <c r="C162" i="4"/>
  <c r="D161" i="4"/>
  <c r="E160" i="4"/>
  <c r="F160" i="4" s="1"/>
  <c r="G160" i="4"/>
  <c r="H160" i="4"/>
  <c r="I159" i="4"/>
  <c r="H115" i="11" l="1"/>
  <c r="I114" i="11"/>
  <c r="K113" i="11"/>
  <c r="J114" i="11"/>
  <c r="I160" i="4"/>
  <c r="E161" i="4"/>
  <c r="F161" i="4" s="1"/>
  <c r="H161" i="4"/>
  <c r="G161" i="4"/>
  <c r="C163" i="4"/>
  <c r="D162" i="4"/>
  <c r="K114" i="11" l="1"/>
  <c r="J115" i="11"/>
  <c r="H116" i="11"/>
  <c r="I115" i="11"/>
  <c r="C164" i="4"/>
  <c r="D163" i="4"/>
  <c r="G162" i="4"/>
  <c r="E162" i="4"/>
  <c r="F162" i="4" s="1"/>
  <c r="H162" i="4" s="1"/>
  <c r="I161" i="4"/>
  <c r="K115" i="11" l="1"/>
  <c r="J116" i="11"/>
  <c r="I116" i="11"/>
  <c r="H117" i="11"/>
  <c r="I162" i="4"/>
  <c r="E163" i="4"/>
  <c r="F163" i="4" s="1"/>
  <c r="H163" i="4"/>
  <c r="G163" i="4"/>
  <c r="C165" i="4"/>
  <c r="D164" i="4"/>
  <c r="I117" i="11" l="1"/>
  <c r="H118" i="11"/>
  <c r="K116" i="11"/>
  <c r="J117" i="11"/>
  <c r="E164" i="4"/>
  <c r="F164" i="4" s="1"/>
  <c r="G164" i="4"/>
  <c r="H164" i="4"/>
  <c r="C166" i="4"/>
  <c r="D165" i="4"/>
  <c r="I163" i="4"/>
  <c r="I118" i="11" l="1"/>
  <c r="H119" i="11"/>
  <c r="K117" i="11"/>
  <c r="J118" i="11"/>
  <c r="I164" i="4"/>
  <c r="G165" i="4"/>
  <c r="E165" i="4"/>
  <c r="F165" i="4" s="1"/>
  <c r="H165" i="4"/>
  <c r="C167" i="4"/>
  <c r="D166" i="4"/>
  <c r="I119" i="11" l="1"/>
  <c r="H120" i="11"/>
  <c r="K118" i="11"/>
  <c r="J119" i="11"/>
  <c r="I165" i="4"/>
  <c r="G166" i="4"/>
  <c r="E166" i="4"/>
  <c r="F166" i="4" s="1"/>
  <c r="H166" i="4"/>
  <c r="C168" i="4"/>
  <c r="D167" i="4"/>
  <c r="I120" i="11" l="1"/>
  <c r="H121" i="11"/>
  <c r="K119" i="11"/>
  <c r="J120" i="11"/>
  <c r="I166" i="4"/>
  <c r="E167" i="4"/>
  <c r="F167" i="4" s="1"/>
  <c r="H167" i="4"/>
  <c r="G167" i="4"/>
  <c r="C169" i="4"/>
  <c r="D168" i="4"/>
  <c r="I121" i="11" l="1"/>
  <c r="H122" i="11"/>
  <c r="K120" i="11"/>
  <c r="J121" i="11"/>
  <c r="E168" i="4"/>
  <c r="F168" i="4" s="1"/>
  <c r="G168" i="4"/>
  <c r="H168" i="4"/>
  <c r="C170" i="4"/>
  <c r="D169" i="4"/>
  <c r="I167" i="4"/>
  <c r="H123" i="11" l="1"/>
  <c r="I122" i="11"/>
  <c r="K121" i="11"/>
  <c r="J122" i="11"/>
  <c r="I168" i="4"/>
  <c r="G169" i="4"/>
  <c r="E169" i="4"/>
  <c r="F169" i="4" s="1"/>
  <c r="H169" i="4"/>
  <c r="C171" i="4"/>
  <c r="D170" i="4"/>
  <c r="K122" i="11" l="1"/>
  <c r="J123" i="11"/>
  <c r="H124" i="11"/>
  <c r="I123" i="11"/>
  <c r="I169" i="4"/>
  <c r="C172" i="4"/>
  <c r="D171" i="4"/>
  <c r="G170" i="4"/>
  <c r="E170" i="4"/>
  <c r="F170" i="4" s="1"/>
  <c r="H170" i="4"/>
  <c r="K123" i="11" l="1"/>
  <c r="J124" i="11"/>
  <c r="H125" i="11"/>
  <c r="I124" i="11"/>
  <c r="I170" i="4"/>
  <c r="E171" i="4"/>
  <c r="F171" i="4" s="1"/>
  <c r="H171" i="4"/>
  <c r="G171" i="4"/>
  <c r="C173" i="4"/>
  <c r="D172" i="4"/>
  <c r="K124" i="11" l="1"/>
  <c r="J125" i="11"/>
  <c r="I125" i="11"/>
  <c r="H126" i="11"/>
  <c r="E172" i="4"/>
  <c r="F172" i="4" s="1"/>
  <c r="G172" i="4"/>
  <c r="H172" i="4"/>
  <c r="C174" i="4"/>
  <c r="D173" i="4"/>
  <c r="I171" i="4"/>
  <c r="K125" i="11" l="1"/>
  <c r="J126" i="11"/>
  <c r="I126" i="11"/>
  <c r="H127" i="11"/>
  <c r="I172" i="4"/>
  <c r="G173" i="4"/>
  <c r="E173" i="4"/>
  <c r="F173" i="4" s="1"/>
  <c r="H173" i="4"/>
  <c r="C175" i="4"/>
  <c r="D174" i="4"/>
  <c r="K126" i="11" l="1"/>
  <c r="J127" i="11"/>
  <c r="I127" i="11"/>
  <c r="H128" i="11"/>
  <c r="I173" i="4"/>
  <c r="G174" i="4"/>
  <c r="E174" i="4"/>
  <c r="F174" i="4" s="1"/>
  <c r="H174" i="4"/>
  <c r="C176" i="4"/>
  <c r="D175" i="4"/>
  <c r="I128" i="11" l="1"/>
  <c r="H129" i="11"/>
  <c r="K127" i="11"/>
  <c r="J128" i="11"/>
  <c r="I174" i="4"/>
  <c r="E175" i="4"/>
  <c r="F175" i="4" s="1"/>
  <c r="G175" i="4"/>
  <c r="H175" i="4"/>
  <c r="C177" i="4"/>
  <c r="D176" i="4"/>
  <c r="I129" i="11" l="1"/>
  <c r="H130" i="11"/>
  <c r="K128" i="11"/>
  <c r="J129" i="11"/>
  <c r="I175" i="4"/>
  <c r="E176" i="4"/>
  <c r="F176" i="4" s="1"/>
  <c r="G176" i="4"/>
  <c r="H176" i="4"/>
  <c r="C178" i="4"/>
  <c r="D177" i="4"/>
  <c r="H131" i="11" l="1"/>
  <c r="I130" i="11"/>
  <c r="K129" i="11"/>
  <c r="J130" i="11"/>
  <c r="I176" i="4"/>
  <c r="G177" i="4"/>
  <c r="H177" i="4"/>
  <c r="E177" i="4"/>
  <c r="F177" i="4" s="1"/>
  <c r="C179" i="4"/>
  <c r="D178" i="4"/>
  <c r="K130" i="11" l="1"/>
  <c r="J131" i="11"/>
  <c r="H132" i="11"/>
  <c r="I131" i="11"/>
  <c r="C180" i="4"/>
  <c r="D179" i="4"/>
  <c r="H178" i="4"/>
  <c r="E178" i="4"/>
  <c r="F178" i="4" s="1"/>
  <c r="G178" i="4"/>
  <c r="I177" i="4"/>
  <c r="K131" i="11" l="1"/>
  <c r="J132" i="11"/>
  <c r="I132" i="11"/>
  <c r="H133" i="11"/>
  <c r="I178" i="4"/>
  <c r="E179" i="4"/>
  <c r="F179" i="4" s="1"/>
  <c r="H179" i="4"/>
  <c r="G179" i="4"/>
  <c r="C181" i="4"/>
  <c r="D180" i="4"/>
  <c r="I133" i="11" l="1"/>
  <c r="H134" i="11"/>
  <c r="K132" i="11"/>
  <c r="J133" i="11"/>
  <c r="I179" i="4"/>
  <c r="H180" i="4"/>
  <c r="E180" i="4"/>
  <c r="F180" i="4" s="1"/>
  <c r="G180" i="4"/>
  <c r="C182" i="4"/>
  <c r="D181" i="4"/>
  <c r="H135" i="11" l="1"/>
  <c r="I134" i="11"/>
  <c r="K133" i="11"/>
  <c r="J134" i="11"/>
  <c r="I180" i="4"/>
  <c r="E181" i="4"/>
  <c r="F181" i="4" s="1"/>
  <c r="H181" i="4"/>
  <c r="G181" i="4"/>
  <c r="C183" i="4"/>
  <c r="D182" i="4"/>
  <c r="K134" i="11" l="1"/>
  <c r="J135" i="11"/>
  <c r="H136" i="11"/>
  <c r="I135" i="11"/>
  <c r="I181" i="4"/>
  <c r="C184" i="4"/>
  <c r="D183" i="4"/>
  <c r="H182" i="4"/>
  <c r="E182" i="4"/>
  <c r="F182" i="4" s="1"/>
  <c r="G182" i="4"/>
  <c r="K135" i="11" l="1"/>
  <c r="J136" i="11"/>
  <c r="I136" i="11"/>
  <c r="H137" i="11"/>
  <c r="I182" i="4"/>
  <c r="E183" i="4"/>
  <c r="F183" i="4" s="1"/>
  <c r="H183" i="4"/>
  <c r="G183" i="4"/>
  <c r="C185" i="4"/>
  <c r="D184" i="4"/>
  <c r="K136" i="11" l="1"/>
  <c r="J137" i="11"/>
  <c r="H138" i="11"/>
  <c r="I137" i="11"/>
  <c r="I183" i="4"/>
  <c r="H184" i="4"/>
  <c r="E184" i="4"/>
  <c r="F184" i="4" s="1"/>
  <c r="G184" i="4"/>
  <c r="C186" i="4"/>
  <c r="D185" i="4"/>
  <c r="H139" i="11" l="1"/>
  <c r="I138" i="11"/>
  <c r="K137" i="11"/>
  <c r="J138" i="11"/>
  <c r="I184" i="4"/>
  <c r="H185" i="4"/>
  <c r="E185" i="4"/>
  <c r="F185" i="4" s="1"/>
  <c r="G185" i="4"/>
  <c r="C187" i="4"/>
  <c r="D186" i="4"/>
  <c r="K138" i="11" l="1"/>
  <c r="J139" i="11"/>
  <c r="I139" i="11"/>
  <c r="H140" i="11"/>
  <c r="I185" i="4"/>
  <c r="H186" i="4"/>
  <c r="E186" i="4"/>
  <c r="F186" i="4" s="1"/>
  <c r="G186" i="4"/>
  <c r="C188" i="4"/>
  <c r="D187" i="4"/>
  <c r="H141" i="11" l="1"/>
  <c r="I140" i="11"/>
  <c r="K139" i="11"/>
  <c r="J140" i="11"/>
  <c r="I186" i="4"/>
  <c r="E187" i="4"/>
  <c r="F187" i="4" s="1"/>
  <c r="G187" i="4"/>
  <c r="H187" i="4"/>
  <c r="C189" i="4"/>
  <c r="D188" i="4"/>
  <c r="K140" i="11" l="1"/>
  <c r="J141" i="11"/>
  <c r="I141" i="11"/>
  <c r="H142" i="11"/>
  <c r="C190" i="4"/>
  <c r="D189" i="4"/>
  <c r="E188" i="4"/>
  <c r="F188" i="4" s="1"/>
  <c r="G188" i="4"/>
  <c r="H188" i="4"/>
  <c r="I187" i="4"/>
  <c r="I142" i="11" l="1"/>
  <c r="H143" i="11"/>
  <c r="K141" i="11"/>
  <c r="J142" i="11"/>
  <c r="I188" i="4"/>
  <c r="G189" i="4"/>
  <c r="E189" i="4"/>
  <c r="F189" i="4" s="1"/>
  <c r="H189" i="4"/>
  <c r="C191" i="4"/>
  <c r="D190" i="4"/>
  <c r="H144" i="11" l="1"/>
  <c r="I143" i="11"/>
  <c r="K142" i="11"/>
  <c r="J143" i="11"/>
  <c r="I189" i="4"/>
  <c r="C192" i="4"/>
  <c r="D191" i="4"/>
  <c r="G190" i="4"/>
  <c r="E190" i="4"/>
  <c r="F190" i="4" s="1"/>
  <c r="H190" i="4"/>
  <c r="K143" i="11" l="1"/>
  <c r="J144" i="11"/>
  <c r="I144" i="11"/>
  <c r="H145" i="11"/>
  <c r="I190" i="4"/>
  <c r="E191" i="4"/>
  <c r="F191" i="4" s="1"/>
  <c r="G191" i="4"/>
  <c r="H191" i="4"/>
  <c r="C193" i="4"/>
  <c r="D192" i="4"/>
  <c r="K144" i="11" l="1"/>
  <c r="J145" i="11"/>
  <c r="I145" i="11"/>
  <c r="H146" i="11"/>
  <c r="E192" i="4"/>
  <c r="F192" i="4" s="1"/>
  <c r="G192" i="4"/>
  <c r="H192" i="4"/>
  <c r="C194" i="4"/>
  <c r="D193" i="4"/>
  <c r="I191" i="4"/>
  <c r="I146" i="11" l="1"/>
  <c r="H147" i="11"/>
  <c r="K145" i="11"/>
  <c r="J146" i="11"/>
  <c r="I192" i="4"/>
  <c r="E193" i="4"/>
  <c r="F193" i="4" s="1"/>
  <c r="H193" i="4" s="1"/>
  <c r="G193" i="4"/>
  <c r="C195" i="4"/>
  <c r="D194" i="4"/>
  <c r="I147" i="11" l="1"/>
  <c r="H148" i="11"/>
  <c r="K146" i="11"/>
  <c r="J147" i="11"/>
  <c r="C196" i="4"/>
  <c r="D195" i="4"/>
  <c r="I193" i="4"/>
  <c r="G194" i="4"/>
  <c r="E194" i="4"/>
  <c r="F194" i="4" s="1"/>
  <c r="H194" i="4"/>
  <c r="H149" i="11" l="1"/>
  <c r="I148" i="11"/>
  <c r="K147" i="11"/>
  <c r="J148" i="11"/>
  <c r="I194" i="4"/>
  <c r="E195" i="4"/>
  <c r="F195" i="4" s="1"/>
  <c r="H195" i="4"/>
  <c r="G195" i="4"/>
  <c r="C197" i="4"/>
  <c r="D196" i="4"/>
  <c r="K148" i="11" l="1"/>
  <c r="J149" i="11"/>
  <c r="I149" i="11"/>
  <c r="H150" i="11"/>
  <c r="E196" i="4"/>
  <c r="F196" i="4" s="1"/>
  <c r="G196" i="4"/>
  <c r="H196" i="4"/>
  <c r="C198" i="4"/>
  <c r="D197" i="4"/>
  <c r="I195" i="4"/>
  <c r="H151" i="11" l="1"/>
  <c r="I150" i="11"/>
  <c r="K149" i="11"/>
  <c r="J150" i="11"/>
  <c r="I196" i="4"/>
  <c r="G197" i="4"/>
  <c r="E197" i="4"/>
  <c r="F197" i="4" s="1"/>
  <c r="H197" i="4"/>
  <c r="C199" i="4"/>
  <c r="D198" i="4"/>
  <c r="K150" i="11" l="1"/>
  <c r="J151" i="11"/>
  <c r="H152" i="11"/>
  <c r="I151" i="11"/>
  <c r="I197" i="4"/>
  <c r="G198" i="4"/>
  <c r="E198" i="4"/>
  <c r="F198" i="4" s="1"/>
  <c r="H198" i="4"/>
  <c r="C200" i="4"/>
  <c r="D199" i="4"/>
  <c r="K151" i="11" l="1"/>
  <c r="J152" i="11"/>
  <c r="I152" i="11"/>
  <c r="H153" i="11"/>
  <c r="I198" i="4"/>
  <c r="E199" i="4"/>
  <c r="F199" i="4" s="1"/>
  <c r="H199" i="4"/>
  <c r="G199" i="4"/>
  <c r="C201" i="4"/>
  <c r="D200" i="4"/>
  <c r="K152" i="11" l="1"/>
  <c r="J153" i="11"/>
  <c r="I153" i="11"/>
  <c r="H154" i="11"/>
  <c r="E200" i="4"/>
  <c r="F200" i="4" s="1"/>
  <c r="G200" i="4"/>
  <c r="H200" i="4"/>
  <c r="C202" i="4"/>
  <c r="D201" i="4"/>
  <c r="I199" i="4"/>
  <c r="I154" i="11" l="1"/>
  <c r="H155" i="11"/>
  <c r="K153" i="11"/>
  <c r="J154" i="11"/>
  <c r="I200" i="4"/>
  <c r="G201" i="4"/>
  <c r="E201" i="4"/>
  <c r="F201" i="4" s="1"/>
  <c r="H201" i="4"/>
  <c r="C203" i="4"/>
  <c r="D202" i="4"/>
  <c r="I155" i="11" l="1"/>
  <c r="H156" i="11"/>
  <c r="K154" i="11"/>
  <c r="J155" i="11"/>
  <c r="I201" i="4"/>
  <c r="G202" i="4"/>
  <c r="E202" i="4"/>
  <c r="F202" i="4" s="1"/>
  <c r="H202" i="4"/>
  <c r="C204" i="4"/>
  <c r="D203" i="4"/>
  <c r="H157" i="11" l="1"/>
  <c r="I156" i="11"/>
  <c r="K155" i="11"/>
  <c r="J156" i="11"/>
  <c r="I202" i="4"/>
  <c r="C205" i="4"/>
  <c r="D204" i="4"/>
  <c r="E203" i="4"/>
  <c r="F203" i="4" s="1"/>
  <c r="H203" i="4"/>
  <c r="G203" i="4"/>
  <c r="K156" i="11" l="1"/>
  <c r="J157" i="11"/>
  <c r="I157" i="11"/>
  <c r="H158" i="11"/>
  <c r="I203" i="4"/>
  <c r="E204" i="4"/>
  <c r="F204" i="4" s="1"/>
  <c r="G204" i="4"/>
  <c r="H204" i="4"/>
  <c r="C206" i="4"/>
  <c r="D205" i="4"/>
  <c r="I158" i="11" l="1"/>
  <c r="H159" i="11"/>
  <c r="K157" i="11"/>
  <c r="J158" i="11"/>
  <c r="I204" i="4"/>
  <c r="G205" i="4"/>
  <c r="E205" i="4"/>
  <c r="F205" i="4" s="1"/>
  <c r="H205" i="4"/>
  <c r="C207" i="4"/>
  <c r="D206" i="4"/>
  <c r="H160" i="11" l="1"/>
  <c r="I159" i="11"/>
  <c r="K158" i="11"/>
  <c r="J159" i="11"/>
  <c r="I205" i="4"/>
  <c r="G206" i="4"/>
  <c r="E206" i="4"/>
  <c r="F206" i="4" s="1"/>
  <c r="H206" i="4"/>
  <c r="C208" i="4"/>
  <c r="D207" i="4"/>
  <c r="K159" i="11" l="1"/>
  <c r="J160" i="11"/>
  <c r="I160" i="11"/>
  <c r="H161" i="11"/>
  <c r="I206" i="4"/>
  <c r="E207" i="4"/>
  <c r="F207" i="4" s="1"/>
  <c r="H207" i="4"/>
  <c r="G207" i="4"/>
  <c r="C209" i="4"/>
  <c r="D208" i="4"/>
  <c r="K160" i="11" l="1"/>
  <c r="J161" i="11"/>
  <c r="I161" i="11"/>
  <c r="H162" i="11"/>
  <c r="E208" i="4"/>
  <c r="F208" i="4" s="1"/>
  <c r="G208" i="4"/>
  <c r="H208" i="4"/>
  <c r="C210" i="4"/>
  <c r="D209" i="4"/>
  <c r="I207" i="4"/>
  <c r="I162" i="11" l="1"/>
  <c r="H163" i="11"/>
  <c r="K161" i="11"/>
  <c r="J162" i="11"/>
  <c r="I208" i="4"/>
  <c r="G209" i="4"/>
  <c r="E209" i="4"/>
  <c r="F209" i="4" s="1"/>
  <c r="H209" i="4" s="1"/>
  <c r="C211" i="4"/>
  <c r="D210" i="4"/>
  <c r="H164" i="11" l="1"/>
  <c r="I163" i="11"/>
  <c r="K162" i="11"/>
  <c r="J163" i="11"/>
  <c r="C212" i="4"/>
  <c r="D211" i="4"/>
  <c r="I209" i="4"/>
  <c r="G210" i="4"/>
  <c r="E210" i="4"/>
  <c r="F210" i="4" s="1"/>
  <c r="H210" i="4"/>
  <c r="K163" i="11" l="1"/>
  <c r="J164" i="11"/>
  <c r="I164" i="11"/>
  <c r="H165" i="11"/>
  <c r="I210" i="4"/>
  <c r="E211" i="4"/>
  <c r="F211" i="4" s="1"/>
  <c r="H211" i="4"/>
  <c r="G211" i="4"/>
  <c r="C213" i="4"/>
  <c r="D212" i="4"/>
  <c r="I165" i="11" l="1"/>
  <c r="H166" i="11"/>
  <c r="K164" i="11"/>
  <c r="J165" i="11"/>
  <c r="E212" i="4"/>
  <c r="F212" i="4" s="1"/>
  <c r="G212" i="4"/>
  <c r="H212" i="4"/>
  <c r="C214" i="4"/>
  <c r="D213" i="4"/>
  <c r="I211" i="4"/>
  <c r="H167" i="11" l="1"/>
  <c r="I166" i="11"/>
  <c r="K165" i="11"/>
  <c r="J166" i="11"/>
  <c r="I212" i="4"/>
  <c r="E213" i="4"/>
  <c r="F213" i="4" s="1"/>
  <c r="H213" i="4"/>
  <c r="G213" i="4"/>
  <c r="C215" i="4"/>
  <c r="D214" i="4"/>
  <c r="K166" i="11" l="1"/>
  <c r="J167" i="11"/>
  <c r="I167" i="11"/>
  <c r="H168" i="11"/>
  <c r="G214" i="4"/>
  <c r="E214" i="4"/>
  <c r="F214" i="4" s="1"/>
  <c r="H214" i="4"/>
  <c r="C216" i="4"/>
  <c r="D215" i="4"/>
  <c r="I213" i="4"/>
  <c r="I168" i="11" l="1"/>
  <c r="H169" i="11"/>
  <c r="K167" i="11"/>
  <c r="J168" i="11"/>
  <c r="I214" i="4"/>
  <c r="E215" i="4"/>
  <c r="F215" i="4" s="1"/>
  <c r="G215" i="4"/>
  <c r="H215" i="4"/>
  <c r="C217" i="4"/>
  <c r="D216" i="4"/>
  <c r="I169" i="11" l="1"/>
  <c r="H170" i="11"/>
  <c r="K168" i="11"/>
  <c r="J169" i="11"/>
  <c r="I215" i="4"/>
  <c r="E216" i="4"/>
  <c r="F216" i="4" s="1"/>
  <c r="G216" i="4"/>
  <c r="H216" i="4"/>
  <c r="C218" i="4"/>
  <c r="D217" i="4"/>
  <c r="H171" i="11" l="1"/>
  <c r="I170" i="11"/>
  <c r="K169" i="11"/>
  <c r="J170" i="11"/>
  <c r="I216" i="4"/>
  <c r="G217" i="4"/>
  <c r="E217" i="4"/>
  <c r="F217" i="4" s="1"/>
  <c r="H217" i="4"/>
  <c r="C219" i="4"/>
  <c r="D218" i="4"/>
  <c r="K170" i="11" l="1"/>
  <c r="J171" i="11"/>
  <c r="I171" i="11"/>
  <c r="H172" i="11"/>
  <c r="H218" i="4"/>
  <c r="E218" i="4"/>
  <c r="F218" i="4" s="1"/>
  <c r="G218" i="4"/>
  <c r="C220" i="4"/>
  <c r="D219" i="4"/>
  <c r="I217" i="4"/>
  <c r="I172" i="11" l="1"/>
  <c r="H173" i="11"/>
  <c r="K171" i="11"/>
  <c r="J172" i="11"/>
  <c r="I218" i="4"/>
  <c r="E219" i="4"/>
  <c r="F219" i="4" s="1"/>
  <c r="H219" i="4"/>
  <c r="G219" i="4"/>
  <c r="C221" i="4"/>
  <c r="D220" i="4"/>
  <c r="I173" i="11" l="1"/>
  <c r="H174" i="11"/>
  <c r="K172" i="11"/>
  <c r="J173" i="11"/>
  <c r="I219" i="4"/>
  <c r="H220" i="4"/>
  <c r="E220" i="4"/>
  <c r="F220" i="4" s="1"/>
  <c r="G220" i="4"/>
  <c r="C222" i="4"/>
  <c r="D221" i="4"/>
  <c r="I174" i="11" l="1"/>
  <c r="H175" i="11"/>
  <c r="K173" i="11"/>
  <c r="J174" i="11"/>
  <c r="I220" i="4"/>
  <c r="C223" i="4"/>
  <c r="D222" i="4"/>
  <c r="H221" i="4"/>
  <c r="G221" i="4"/>
  <c r="E221" i="4"/>
  <c r="F221" i="4" s="1"/>
  <c r="H176" i="11" l="1"/>
  <c r="I175" i="11"/>
  <c r="K174" i="11"/>
  <c r="J175" i="11"/>
  <c r="I221" i="4"/>
  <c r="H222" i="4"/>
  <c r="E222" i="4"/>
  <c r="F222" i="4" s="1"/>
  <c r="G222" i="4"/>
  <c r="C224" i="4"/>
  <c r="D223" i="4"/>
  <c r="K175" i="11" l="1"/>
  <c r="J176" i="11"/>
  <c r="H177" i="11"/>
  <c r="I176" i="11"/>
  <c r="I222" i="4"/>
  <c r="E223" i="4"/>
  <c r="F223" i="4" s="1"/>
  <c r="H223" i="4"/>
  <c r="G223" i="4"/>
  <c r="C225" i="4"/>
  <c r="D224" i="4"/>
  <c r="K176" i="11" l="1"/>
  <c r="J177" i="11"/>
  <c r="I177" i="11"/>
  <c r="H178" i="11"/>
  <c r="I223" i="4"/>
  <c r="C226" i="4"/>
  <c r="D225" i="4"/>
  <c r="H224" i="4"/>
  <c r="E224" i="4"/>
  <c r="F224" i="4" s="1"/>
  <c r="G224" i="4"/>
  <c r="I178" i="11" l="1"/>
  <c r="H179" i="11"/>
  <c r="K177" i="11"/>
  <c r="J178" i="11"/>
  <c r="I224" i="4"/>
  <c r="H225" i="4"/>
  <c r="G225" i="4"/>
  <c r="E225" i="4"/>
  <c r="F225" i="4" s="1"/>
  <c r="C227" i="4"/>
  <c r="D226" i="4"/>
  <c r="I179" i="11" l="1"/>
  <c r="H180" i="11"/>
  <c r="K178" i="11"/>
  <c r="J179" i="11"/>
  <c r="I225" i="4"/>
  <c r="H226" i="4"/>
  <c r="E226" i="4"/>
  <c r="F226" i="4" s="1"/>
  <c r="G226" i="4"/>
  <c r="C228" i="4"/>
  <c r="D227" i="4"/>
  <c r="I180" i="11" l="1"/>
  <c r="H181" i="11"/>
  <c r="K179" i="11"/>
  <c r="J180" i="11"/>
  <c r="I226" i="4"/>
  <c r="E227" i="4"/>
  <c r="F227" i="4" s="1"/>
  <c r="G227" i="4"/>
  <c r="H227" i="4"/>
  <c r="C229" i="4"/>
  <c r="D228" i="4"/>
  <c r="I181" i="11" l="1"/>
  <c r="H182" i="11"/>
  <c r="K180" i="11"/>
  <c r="J181" i="11"/>
  <c r="C230" i="4"/>
  <c r="D229" i="4"/>
  <c r="I227" i="4"/>
  <c r="G228" i="4"/>
  <c r="E228" i="4"/>
  <c r="F228" i="4" s="1"/>
  <c r="H228" i="4"/>
  <c r="H183" i="11" l="1"/>
  <c r="I182" i="11"/>
  <c r="K181" i="11"/>
  <c r="J182" i="11"/>
  <c r="I228" i="4"/>
  <c r="H229" i="4"/>
  <c r="G229" i="4"/>
  <c r="E229" i="4"/>
  <c r="F229" i="4" s="1"/>
  <c r="C231" i="4"/>
  <c r="D230" i="4"/>
  <c r="K182" i="11" l="1"/>
  <c r="J183" i="11"/>
  <c r="I183" i="11"/>
  <c r="H184" i="11"/>
  <c r="C232" i="4"/>
  <c r="D231" i="4"/>
  <c r="G230" i="4"/>
  <c r="E230" i="4"/>
  <c r="F230" i="4" s="1"/>
  <c r="H230" i="4"/>
  <c r="I229" i="4"/>
  <c r="I184" i="11" l="1"/>
  <c r="H185" i="11"/>
  <c r="K183" i="11"/>
  <c r="J184" i="11"/>
  <c r="I230" i="4"/>
  <c r="E231" i="4"/>
  <c r="F231" i="4" s="1"/>
  <c r="G231" i="4"/>
  <c r="H231" i="4"/>
  <c r="C233" i="4"/>
  <c r="D232" i="4"/>
  <c r="I185" i="11" l="1"/>
  <c r="H186" i="11"/>
  <c r="K184" i="11"/>
  <c r="J185" i="11"/>
  <c r="C234" i="4"/>
  <c r="D233" i="4"/>
  <c r="I231" i="4"/>
  <c r="G232" i="4"/>
  <c r="E232" i="4"/>
  <c r="F232" i="4" s="1"/>
  <c r="H232" i="4"/>
  <c r="I186" i="11" l="1"/>
  <c r="H187" i="11"/>
  <c r="K185" i="11"/>
  <c r="J186" i="11"/>
  <c r="I232" i="4"/>
  <c r="G233" i="4"/>
  <c r="E233" i="4"/>
  <c r="F233" i="4" s="1"/>
  <c r="H233" i="4" s="1"/>
  <c r="C235" i="4"/>
  <c r="D234" i="4"/>
  <c r="H188" i="11" l="1"/>
  <c r="I187" i="11"/>
  <c r="K186" i="11"/>
  <c r="J187" i="11"/>
  <c r="I233" i="4"/>
  <c r="C236" i="4"/>
  <c r="D235" i="4"/>
  <c r="E234" i="4"/>
  <c r="F234" i="4" s="1"/>
  <c r="G234" i="4"/>
  <c r="H234" i="4"/>
  <c r="K187" i="11" l="1"/>
  <c r="J188" i="11"/>
  <c r="H189" i="11"/>
  <c r="I188" i="11"/>
  <c r="I234" i="4"/>
  <c r="E235" i="4"/>
  <c r="F235" i="4" s="1"/>
  <c r="H235" i="4"/>
  <c r="G235" i="4"/>
  <c r="C237" i="4"/>
  <c r="D236" i="4"/>
  <c r="K188" i="11" l="1"/>
  <c r="J189" i="11"/>
  <c r="I189" i="11"/>
  <c r="H190" i="11"/>
  <c r="G236" i="4"/>
  <c r="E236" i="4"/>
  <c r="F236" i="4" s="1"/>
  <c r="H236" i="4"/>
  <c r="C238" i="4"/>
  <c r="D237" i="4"/>
  <c r="I235" i="4"/>
  <c r="K189" i="11" l="1"/>
  <c r="J190" i="11"/>
  <c r="H191" i="11"/>
  <c r="I190" i="11"/>
  <c r="I236" i="4"/>
  <c r="G237" i="4"/>
  <c r="E237" i="4"/>
  <c r="F237" i="4" s="1"/>
  <c r="H237" i="4"/>
  <c r="C239" i="4"/>
  <c r="D238" i="4"/>
  <c r="K190" i="11" l="1"/>
  <c r="J191" i="11"/>
  <c r="H192" i="11"/>
  <c r="I191" i="11"/>
  <c r="G238" i="4"/>
  <c r="E238" i="4"/>
  <c r="F238" i="4" s="1"/>
  <c r="H238" i="4"/>
  <c r="C240" i="4"/>
  <c r="D239" i="4"/>
  <c r="I237" i="4"/>
  <c r="K191" i="11" l="1"/>
  <c r="J192" i="11"/>
  <c r="I192" i="11"/>
  <c r="H193" i="11"/>
  <c r="I238" i="4"/>
  <c r="E239" i="4"/>
  <c r="F239" i="4" s="1"/>
  <c r="H239" i="4"/>
  <c r="G239" i="4"/>
  <c r="C241" i="4"/>
  <c r="D240" i="4"/>
  <c r="K192" i="11" l="1"/>
  <c r="J193" i="11"/>
  <c r="H194" i="11"/>
  <c r="I193" i="11"/>
  <c r="C242" i="4"/>
  <c r="D241" i="4"/>
  <c r="G240" i="4"/>
  <c r="E240" i="4"/>
  <c r="F240" i="4" s="1"/>
  <c r="H240" i="4"/>
  <c r="I239" i="4"/>
  <c r="H195" i="11" l="1"/>
  <c r="I194" i="11"/>
  <c r="K193" i="11"/>
  <c r="J194" i="11"/>
  <c r="I240" i="4"/>
  <c r="G241" i="4"/>
  <c r="E241" i="4"/>
  <c r="F241" i="4" s="1"/>
  <c r="H241" i="4" s="1"/>
  <c r="C243" i="4"/>
  <c r="D242" i="4"/>
  <c r="K194" i="11" l="1"/>
  <c r="J195" i="11"/>
  <c r="I195" i="11"/>
  <c r="H196" i="11"/>
  <c r="C244" i="4"/>
  <c r="D243" i="4"/>
  <c r="G242" i="4"/>
  <c r="E242" i="4"/>
  <c r="F242" i="4" s="1"/>
  <c r="H242" i="4"/>
  <c r="I241" i="4"/>
  <c r="K195" i="11" l="1"/>
  <c r="J196" i="11"/>
  <c r="I196" i="11"/>
  <c r="H197" i="11"/>
  <c r="I242" i="4"/>
  <c r="E243" i="4"/>
  <c r="F243" i="4" s="1"/>
  <c r="H243" i="4"/>
  <c r="G243" i="4"/>
  <c r="C245" i="4"/>
  <c r="D244" i="4"/>
  <c r="K196" i="11" l="1"/>
  <c r="J197" i="11"/>
  <c r="I197" i="11"/>
  <c r="H198" i="11"/>
  <c r="G244" i="4"/>
  <c r="E244" i="4"/>
  <c r="F244" i="4" s="1"/>
  <c r="H244" i="4"/>
  <c r="C246" i="4"/>
  <c r="D245" i="4"/>
  <c r="I243" i="4"/>
  <c r="I198" i="11" l="1"/>
  <c r="H199" i="11"/>
  <c r="K197" i="11"/>
  <c r="J198" i="11"/>
  <c r="I244" i="4"/>
  <c r="E245" i="4"/>
  <c r="F245" i="4" s="1"/>
  <c r="G245" i="4"/>
  <c r="H245" i="4"/>
  <c r="C247" i="4"/>
  <c r="D246" i="4"/>
  <c r="H200" i="11" l="1"/>
  <c r="I199" i="11"/>
  <c r="K198" i="11"/>
  <c r="J199" i="11"/>
  <c r="I245" i="4"/>
  <c r="G246" i="4"/>
  <c r="E246" i="4"/>
  <c r="F246" i="4" s="1"/>
  <c r="H246" i="4"/>
  <c r="C248" i="4"/>
  <c r="D247" i="4"/>
  <c r="K199" i="11" l="1"/>
  <c r="J200" i="11"/>
  <c r="H201" i="11"/>
  <c r="I200" i="11"/>
  <c r="I246" i="4"/>
  <c r="E247" i="4"/>
  <c r="F247" i="4" s="1"/>
  <c r="H247" i="4"/>
  <c r="G247" i="4"/>
  <c r="C249" i="4"/>
  <c r="D248" i="4"/>
  <c r="I201" i="11" l="1"/>
  <c r="H202" i="11"/>
  <c r="K200" i="11"/>
  <c r="J201" i="11"/>
  <c r="G248" i="4"/>
  <c r="E248" i="4"/>
  <c r="F248" i="4" s="1"/>
  <c r="H248" i="4"/>
  <c r="C250" i="4"/>
  <c r="D249" i="4"/>
  <c r="I247" i="4"/>
  <c r="I202" i="11" l="1"/>
  <c r="H203" i="11"/>
  <c r="K201" i="11"/>
  <c r="J202" i="11"/>
  <c r="I248" i="4"/>
  <c r="E249" i="4"/>
  <c r="F249" i="4" s="1"/>
  <c r="G249" i="4"/>
  <c r="H249" i="4"/>
  <c r="C251" i="4"/>
  <c r="D250" i="4"/>
  <c r="H204" i="11" l="1"/>
  <c r="I203" i="11"/>
  <c r="K202" i="11"/>
  <c r="J203" i="11"/>
  <c r="C252" i="4"/>
  <c r="D251" i="4"/>
  <c r="I249" i="4"/>
  <c r="G250" i="4"/>
  <c r="E250" i="4"/>
  <c r="F250" i="4" s="1"/>
  <c r="H250" i="4"/>
  <c r="K203" i="11" l="1"/>
  <c r="J204" i="11"/>
  <c r="H205" i="11"/>
  <c r="I204" i="11"/>
  <c r="I250" i="4"/>
  <c r="E251" i="4"/>
  <c r="F251" i="4" s="1"/>
  <c r="H251" i="4"/>
  <c r="G251" i="4"/>
  <c r="C253" i="4"/>
  <c r="D252" i="4"/>
  <c r="K204" i="11" l="1"/>
  <c r="J205" i="11"/>
  <c r="H206" i="11"/>
  <c r="I205" i="11"/>
  <c r="G252" i="4"/>
  <c r="E252" i="4"/>
  <c r="F252" i="4" s="1"/>
  <c r="H252" i="4"/>
  <c r="C254" i="4"/>
  <c r="D253" i="4"/>
  <c r="I251" i="4"/>
  <c r="K205" i="11" l="1"/>
  <c r="J206" i="11"/>
  <c r="I206" i="11"/>
  <c r="H207" i="11"/>
  <c r="I252" i="4"/>
  <c r="G253" i="4"/>
  <c r="E253" i="4"/>
  <c r="F253" i="4" s="1"/>
  <c r="H253" i="4"/>
  <c r="C255" i="4"/>
  <c r="D254" i="4"/>
  <c r="I207" i="11" l="1"/>
  <c r="H208" i="11"/>
  <c r="K206" i="11"/>
  <c r="J207" i="11"/>
  <c r="G254" i="4"/>
  <c r="E254" i="4"/>
  <c r="F254" i="4" s="1"/>
  <c r="H254" i="4"/>
  <c r="C256" i="4"/>
  <c r="D255" i="4"/>
  <c r="I253" i="4"/>
  <c r="H209" i="11" l="1"/>
  <c r="I208" i="11"/>
  <c r="K207" i="11"/>
  <c r="J208" i="11"/>
  <c r="I254" i="4"/>
  <c r="E255" i="4"/>
  <c r="F255" i="4" s="1"/>
  <c r="G255" i="4"/>
  <c r="H255" i="4"/>
  <c r="C257" i="4"/>
  <c r="D256" i="4"/>
  <c r="K208" i="11" l="1"/>
  <c r="J209" i="11"/>
  <c r="H210" i="11"/>
  <c r="I209" i="11"/>
  <c r="I255" i="4"/>
  <c r="E256" i="4"/>
  <c r="F256" i="4" s="1"/>
  <c r="G256" i="4"/>
  <c r="H256" i="4"/>
  <c r="C258" i="4"/>
  <c r="D257" i="4"/>
  <c r="H211" i="11" l="1"/>
  <c r="I210" i="11"/>
  <c r="K209" i="11"/>
  <c r="J210" i="11"/>
  <c r="I256" i="4"/>
  <c r="G257" i="4"/>
  <c r="E257" i="4"/>
  <c r="F257" i="4" s="1"/>
  <c r="H257" i="4"/>
  <c r="C259" i="4"/>
  <c r="D258" i="4"/>
  <c r="K210" i="11" l="1"/>
  <c r="J211" i="11"/>
  <c r="H212" i="11"/>
  <c r="I211" i="11"/>
  <c r="I257" i="4"/>
  <c r="H258" i="4"/>
  <c r="E258" i="4"/>
  <c r="F258" i="4" s="1"/>
  <c r="G258" i="4"/>
  <c r="C260" i="4"/>
  <c r="D259" i="4"/>
  <c r="K211" i="11" l="1"/>
  <c r="J212" i="11"/>
  <c r="I212" i="11"/>
  <c r="H213" i="11"/>
  <c r="I258" i="4"/>
  <c r="E259" i="4"/>
  <c r="F259" i="4" s="1"/>
  <c r="H259" i="4"/>
  <c r="G259" i="4"/>
  <c r="C261" i="4"/>
  <c r="D260" i="4"/>
  <c r="K212" i="11" l="1"/>
  <c r="J213" i="11"/>
  <c r="I213" i="11"/>
  <c r="H214" i="11"/>
  <c r="I259" i="4"/>
  <c r="H260" i="4"/>
  <c r="E260" i="4"/>
  <c r="F260" i="4" s="1"/>
  <c r="G260" i="4"/>
  <c r="C262" i="4"/>
  <c r="D261" i="4"/>
  <c r="H215" i="11" l="1"/>
  <c r="I214" i="11"/>
  <c r="K213" i="11"/>
  <c r="J214" i="11"/>
  <c r="I260" i="4"/>
  <c r="H261" i="4"/>
  <c r="G261" i="4"/>
  <c r="E261" i="4"/>
  <c r="F261" i="4" s="1"/>
  <c r="C263" i="4"/>
  <c r="D262" i="4"/>
  <c r="K214" i="11" l="1"/>
  <c r="J215" i="11"/>
  <c r="I215" i="11"/>
  <c r="H216" i="11"/>
  <c r="I261" i="4"/>
  <c r="H262" i="4"/>
  <c r="E262" i="4"/>
  <c r="F262" i="4" s="1"/>
  <c r="G262" i="4"/>
  <c r="C264" i="4"/>
  <c r="D263" i="4"/>
  <c r="I216" i="11" l="1"/>
  <c r="H217" i="11"/>
  <c r="K215" i="11"/>
  <c r="J216" i="11"/>
  <c r="I262" i="4"/>
  <c r="E263" i="4"/>
  <c r="F263" i="4" s="1"/>
  <c r="H263" i="4"/>
  <c r="G263" i="4"/>
  <c r="C265" i="4"/>
  <c r="D264" i="4"/>
  <c r="H218" i="11" l="1"/>
  <c r="I217" i="11"/>
  <c r="K216" i="11"/>
  <c r="J217" i="11"/>
  <c r="I263" i="4"/>
  <c r="C266" i="4"/>
  <c r="D265" i="4"/>
  <c r="H264" i="4"/>
  <c r="E264" i="4"/>
  <c r="F264" i="4" s="1"/>
  <c r="G264" i="4"/>
  <c r="K217" i="11" l="1"/>
  <c r="J218" i="11"/>
  <c r="I218" i="11"/>
  <c r="H219" i="11"/>
  <c r="I264" i="4"/>
  <c r="H265" i="4"/>
  <c r="E265" i="4"/>
  <c r="F265" i="4" s="1"/>
  <c r="G265" i="4"/>
  <c r="C267" i="4"/>
  <c r="D266" i="4"/>
  <c r="I219" i="11" l="1"/>
  <c r="H220" i="11"/>
  <c r="K218" i="11"/>
  <c r="J219" i="11"/>
  <c r="I265" i="4"/>
  <c r="E266" i="4"/>
  <c r="F266" i="4" s="1"/>
  <c r="H266" i="4"/>
  <c r="G266" i="4"/>
  <c r="C268" i="4"/>
  <c r="D267" i="4"/>
  <c r="I220" i="11" l="1"/>
  <c r="H221" i="11"/>
  <c r="K219" i="11"/>
  <c r="J220" i="11"/>
  <c r="I266" i="4"/>
  <c r="H267" i="4"/>
  <c r="E267" i="4"/>
  <c r="F267" i="4" s="1"/>
  <c r="G267" i="4"/>
  <c r="C269" i="4"/>
  <c r="D268" i="4"/>
  <c r="H222" i="11" l="1"/>
  <c r="I221" i="11"/>
  <c r="K220" i="11"/>
  <c r="J221" i="11"/>
  <c r="I267" i="4"/>
  <c r="G268" i="4"/>
  <c r="E268" i="4"/>
  <c r="F268" i="4" s="1"/>
  <c r="H268" i="4"/>
  <c r="C270" i="4"/>
  <c r="D269" i="4"/>
  <c r="K221" i="11" l="1"/>
  <c r="J222" i="11"/>
  <c r="I222" i="11"/>
  <c r="H223" i="11"/>
  <c r="I268" i="4"/>
  <c r="E269" i="4"/>
  <c r="F269" i="4" s="1"/>
  <c r="G269" i="4"/>
  <c r="H269" i="4"/>
  <c r="C271" i="4"/>
  <c r="D270" i="4"/>
  <c r="K222" i="11" l="1"/>
  <c r="J223" i="11"/>
  <c r="H224" i="11"/>
  <c r="I223" i="11"/>
  <c r="I269" i="4"/>
  <c r="E270" i="4"/>
  <c r="F270" i="4" s="1"/>
  <c r="G270" i="4"/>
  <c r="H270" i="4"/>
  <c r="C272" i="4"/>
  <c r="D271" i="4"/>
  <c r="K223" i="11" l="1"/>
  <c r="J224" i="11"/>
  <c r="I224" i="11"/>
  <c r="H225" i="11"/>
  <c r="C273" i="4"/>
  <c r="D272" i="4"/>
  <c r="I270" i="4"/>
  <c r="G271" i="4"/>
  <c r="E271" i="4"/>
  <c r="F271" i="4" s="1"/>
  <c r="H271" i="4"/>
  <c r="I225" i="11" l="1"/>
  <c r="H226" i="11"/>
  <c r="K224" i="11"/>
  <c r="J225" i="11"/>
  <c r="I271" i="4"/>
  <c r="G272" i="4"/>
  <c r="E272" i="4"/>
  <c r="F272" i="4" s="1"/>
  <c r="H272" i="4" s="1"/>
  <c r="C274" i="4"/>
  <c r="D273" i="4"/>
  <c r="H227" i="11" l="1"/>
  <c r="I226" i="11"/>
  <c r="K225" i="11"/>
  <c r="J226" i="11"/>
  <c r="I272" i="4"/>
  <c r="C275" i="4"/>
  <c r="D274" i="4"/>
  <c r="G273" i="4"/>
  <c r="E273" i="4"/>
  <c r="F273" i="4" s="1"/>
  <c r="H273" i="4"/>
  <c r="K226" i="11" l="1"/>
  <c r="J227" i="11"/>
  <c r="H228" i="11"/>
  <c r="I227" i="11"/>
  <c r="I273" i="4"/>
  <c r="E274" i="4"/>
  <c r="F274" i="4" s="1"/>
  <c r="G274" i="4"/>
  <c r="H274" i="4"/>
  <c r="C276" i="4"/>
  <c r="D275" i="4"/>
  <c r="K227" i="11" l="1"/>
  <c r="J228" i="11"/>
  <c r="H229" i="11"/>
  <c r="I228" i="11"/>
  <c r="C277" i="4"/>
  <c r="D276" i="4"/>
  <c r="I274" i="4"/>
  <c r="E275" i="4"/>
  <c r="F275" i="4" s="1"/>
  <c r="H275" i="4" s="1"/>
  <c r="G275" i="4"/>
  <c r="I229" i="11" l="1"/>
  <c r="H230" i="11"/>
  <c r="K228" i="11"/>
  <c r="J229" i="11"/>
  <c r="I275" i="4"/>
  <c r="E276" i="4"/>
  <c r="F276" i="4" s="1"/>
  <c r="G276" i="4"/>
  <c r="H276" i="4"/>
  <c r="C278" i="4"/>
  <c r="D277" i="4"/>
  <c r="I230" i="11" l="1"/>
  <c r="H231" i="11"/>
  <c r="K229" i="11"/>
  <c r="J230" i="11"/>
  <c r="I276" i="4"/>
  <c r="G277" i="4"/>
  <c r="E277" i="4"/>
  <c r="F277" i="4" s="1"/>
  <c r="H277" i="4"/>
  <c r="C279" i="4"/>
  <c r="D278" i="4"/>
  <c r="H232" i="11" l="1"/>
  <c r="I231" i="11"/>
  <c r="K230" i="11"/>
  <c r="J231" i="11"/>
  <c r="I277" i="4"/>
  <c r="G278" i="4"/>
  <c r="E278" i="4"/>
  <c r="F278" i="4" s="1"/>
  <c r="H278" i="4" s="1"/>
  <c r="C280" i="4"/>
  <c r="D279" i="4"/>
  <c r="K231" i="11" l="1"/>
  <c r="J232" i="11"/>
  <c r="I232" i="11"/>
  <c r="H233" i="11"/>
  <c r="C281" i="4"/>
  <c r="D280" i="4"/>
  <c r="E279" i="4"/>
  <c r="F279" i="4" s="1"/>
  <c r="G279" i="4"/>
  <c r="H279" i="4"/>
  <c r="I278" i="4"/>
  <c r="H234" i="11" l="1"/>
  <c r="I233" i="11"/>
  <c r="K232" i="11"/>
  <c r="J233" i="11"/>
  <c r="I279" i="4"/>
  <c r="E280" i="4"/>
  <c r="F280" i="4" s="1"/>
  <c r="G280" i="4"/>
  <c r="H280" i="4"/>
  <c r="C282" i="4"/>
  <c r="D281" i="4"/>
  <c r="K233" i="11" l="1"/>
  <c r="J234" i="11"/>
  <c r="I234" i="11"/>
  <c r="H235" i="11"/>
  <c r="C283" i="4"/>
  <c r="D282" i="4"/>
  <c r="E281" i="4"/>
  <c r="F281" i="4" s="1"/>
  <c r="H281" i="4"/>
  <c r="G281" i="4"/>
  <c r="I280" i="4"/>
  <c r="H236" i="11" l="1"/>
  <c r="I235" i="11"/>
  <c r="K234" i="11"/>
  <c r="J235" i="11"/>
  <c r="I281" i="4"/>
  <c r="E282" i="4"/>
  <c r="F282" i="4" s="1"/>
  <c r="G282" i="4"/>
  <c r="H282" i="4"/>
  <c r="C284" i="4"/>
  <c r="D283" i="4"/>
  <c r="K235" i="11" l="1"/>
  <c r="J236" i="11"/>
  <c r="I236" i="11"/>
  <c r="H237" i="11"/>
  <c r="I282" i="4"/>
  <c r="E283" i="4"/>
  <c r="F283" i="4" s="1"/>
  <c r="H283" i="4" s="1"/>
  <c r="G283" i="4"/>
  <c r="C285" i="4"/>
  <c r="D284" i="4"/>
  <c r="K236" i="11" l="1"/>
  <c r="J237" i="11"/>
  <c r="I237" i="11"/>
  <c r="H238" i="11"/>
  <c r="I283" i="4"/>
  <c r="C286" i="4"/>
  <c r="D285" i="4"/>
  <c r="E284" i="4"/>
  <c r="F284" i="4" s="1"/>
  <c r="G284" i="4"/>
  <c r="H284" i="4"/>
  <c r="H239" i="11" l="1"/>
  <c r="I238" i="11"/>
  <c r="K237" i="11"/>
  <c r="J238" i="11"/>
  <c r="I284" i="4"/>
  <c r="G285" i="4"/>
  <c r="E285" i="4"/>
  <c r="F285" i="4" s="1"/>
  <c r="H285" i="4" s="1"/>
  <c r="C287" i="4"/>
  <c r="D286" i="4"/>
  <c r="K238" i="11" l="1"/>
  <c r="J239" i="11"/>
  <c r="I239" i="11"/>
  <c r="H240" i="11"/>
  <c r="I285" i="4"/>
  <c r="E286" i="4"/>
  <c r="F286" i="4" s="1"/>
  <c r="H286" i="4"/>
  <c r="G286" i="4"/>
  <c r="C288" i="4"/>
  <c r="D287" i="4"/>
  <c r="H241" i="11" l="1"/>
  <c r="I240" i="11"/>
  <c r="K239" i="11"/>
  <c r="J240" i="11"/>
  <c r="C289" i="4"/>
  <c r="D288" i="4"/>
  <c r="G287" i="4"/>
  <c r="E287" i="4"/>
  <c r="F287" i="4" s="1"/>
  <c r="H287" i="4"/>
  <c r="I286" i="4"/>
  <c r="K240" i="11" l="1"/>
  <c r="J241" i="11"/>
  <c r="I241" i="11"/>
  <c r="H242" i="11"/>
  <c r="I287" i="4"/>
  <c r="H288" i="4"/>
  <c r="G288" i="4"/>
  <c r="E288" i="4"/>
  <c r="F288" i="4" s="1"/>
  <c r="C290" i="4"/>
  <c r="D289" i="4"/>
  <c r="K241" i="11" l="1"/>
  <c r="J242" i="11"/>
  <c r="H243" i="11"/>
  <c r="I242" i="11"/>
  <c r="G289" i="4"/>
  <c r="E289" i="4"/>
  <c r="F289" i="4" s="1"/>
  <c r="H289" i="4"/>
  <c r="C291" i="4"/>
  <c r="D290" i="4"/>
  <c r="I288" i="4"/>
  <c r="K242" i="11" l="1"/>
  <c r="J243" i="11"/>
  <c r="H244" i="11"/>
  <c r="I243" i="11"/>
  <c r="I289" i="4"/>
  <c r="E290" i="4"/>
  <c r="F290" i="4" s="1"/>
  <c r="G290" i="4"/>
  <c r="H290" i="4"/>
  <c r="C292" i="4"/>
  <c r="D291" i="4"/>
  <c r="H245" i="11" l="1"/>
  <c r="I244" i="11"/>
  <c r="K243" i="11"/>
  <c r="J244" i="11"/>
  <c r="C293" i="4"/>
  <c r="D292" i="4"/>
  <c r="I290" i="4"/>
  <c r="G291" i="4"/>
  <c r="E291" i="4"/>
  <c r="F291" i="4" s="1"/>
  <c r="H291" i="4"/>
  <c r="K244" i="11" l="1"/>
  <c r="J245" i="11"/>
  <c r="I245" i="11"/>
  <c r="H246" i="11"/>
  <c r="I291" i="4"/>
  <c r="H292" i="4"/>
  <c r="G292" i="4"/>
  <c r="E292" i="4"/>
  <c r="F292" i="4" s="1"/>
  <c r="C294" i="4"/>
  <c r="D293" i="4"/>
  <c r="K245" i="11" l="1"/>
  <c r="J246" i="11"/>
  <c r="I246" i="11"/>
  <c r="H247" i="11"/>
  <c r="G293" i="4"/>
  <c r="E293" i="4"/>
  <c r="F293" i="4" s="1"/>
  <c r="H293" i="4"/>
  <c r="I292" i="4"/>
  <c r="C295" i="4"/>
  <c r="D294" i="4"/>
  <c r="K246" i="11" l="1"/>
  <c r="J247" i="11"/>
  <c r="H248" i="11"/>
  <c r="I247" i="11"/>
  <c r="I293" i="4"/>
  <c r="C296" i="4"/>
  <c r="D295" i="4"/>
  <c r="E294" i="4"/>
  <c r="F294" i="4" s="1"/>
  <c r="G294" i="4"/>
  <c r="H294" i="4"/>
  <c r="K247" i="11" l="1"/>
  <c r="J248" i="11"/>
  <c r="H249" i="11"/>
  <c r="I248" i="11"/>
  <c r="I294" i="4"/>
  <c r="G295" i="4"/>
  <c r="E295" i="4"/>
  <c r="F295" i="4" s="1"/>
  <c r="H295" i="4"/>
  <c r="C297" i="4"/>
  <c r="D296" i="4"/>
  <c r="K248" i="11" l="1"/>
  <c r="J249" i="11"/>
  <c r="I249" i="11"/>
  <c r="H250" i="11"/>
  <c r="I295" i="4"/>
  <c r="H296" i="4"/>
  <c r="G296" i="4"/>
  <c r="E296" i="4"/>
  <c r="F296" i="4" s="1"/>
  <c r="C298" i="4"/>
  <c r="D297" i="4"/>
  <c r="H251" i="11" l="1"/>
  <c r="I250" i="11"/>
  <c r="K249" i="11"/>
  <c r="J250" i="11"/>
  <c r="G297" i="4"/>
  <c r="E297" i="4"/>
  <c r="F297" i="4" s="1"/>
  <c r="H297" i="4"/>
  <c r="I296" i="4"/>
  <c r="C299" i="4"/>
  <c r="D298" i="4"/>
  <c r="K250" i="11" l="1"/>
  <c r="J251" i="11"/>
  <c r="H252" i="11"/>
  <c r="I251" i="11"/>
  <c r="I297" i="4"/>
  <c r="C300" i="4"/>
  <c r="D299" i="4"/>
  <c r="E298" i="4"/>
  <c r="F298" i="4" s="1"/>
  <c r="H298" i="4"/>
  <c r="G298" i="4"/>
  <c r="K251" i="11" l="1"/>
  <c r="J252" i="11"/>
  <c r="H253" i="11"/>
  <c r="I252" i="11"/>
  <c r="I298" i="4"/>
  <c r="H299" i="4"/>
  <c r="E299" i="4"/>
  <c r="F299" i="4" s="1"/>
  <c r="G299" i="4"/>
  <c r="C301" i="4"/>
  <c r="D300" i="4"/>
  <c r="K252" i="11" l="1"/>
  <c r="J253" i="11"/>
  <c r="H254" i="11"/>
  <c r="I253" i="11"/>
  <c r="I299" i="4"/>
  <c r="C302" i="4"/>
  <c r="D301" i="4"/>
  <c r="H300" i="4"/>
  <c r="E300" i="4"/>
  <c r="F300" i="4" s="1"/>
  <c r="G300" i="4"/>
  <c r="K253" i="11" l="1"/>
  <c r="J254" i="11"/>
  <c r="H255" i="11"/>
  <c r="I254" i="11"/>
  <c r="I300" i="4"/>
  <c r="E301" i="4"/>
  <c r="F301" i="4" s="1"/>
  <c r="H301" i="4"/>
  <c r="G301" i="4"/>
  <c r="C303" i="4"/>
  <c r="D302" i="4"/>
  <c r="H256" i="11" l="1"/>
  <c r="I255" i="11"/>
  <c r="K254" i="11"/>
  <c r="J255" i="11"/>
  <c r="I301" i="4"/>
  <c r="G302" i="4"/>
  <c r="H302" i="4"/>
  <c r="E302" i="4"/>
  <c r="F302" i="4" s="1"/>
  <c r="C304" i="4"/>
  <c r="D303" i="4"/>
  <c r="K255" i="11" l="1"/>
  <c r="J256" i="11"/>
  <c r="I256" i="11"/>
  <c r="H257" i="11"/>
  <c r="I302" i="4"/>
  <c r="C305" i="4"/>
  <c r="D304" i="4"/>
  <c r="H303" i="4"/>
  <c r="E303" i="4"/>
  <c r="F303" i="4" s="1"/>
  <c r="G303" i="4"/>
  <c r="I257" i="11" l="1"/>
  <c r="H258" i="11"/>
  <c r="K256" i="11"/>
  <c r="J257" i="11"/>
  <c r="I303" i="4"/>
  <c r="H304" i="4"/>
  <c r="E304" i="4"/>
  <c r="F304" i="4" s="1"/>
  <c r="G304" i="4"/>
  <c r="C306" i="4"/>
  <c r="D305" i="4"/>
  <c r="H259" i="11" l="1"/>
  <c r="I258" i="11"/>
  <c r="K257" i="11"/>
  <c r="J258" i="11"/>
  <c r="I304" i="4"/>
  <c r="H305" i="4"/>
  <c r="E305" i="4"/>
  <c r="F305" i="4" s="1"/>
  <c r="G305" i="4"/>
  <c r="C307" i="4"/>
  <c r="D306" i="4"/>
  <c r="K258" i="11" l="1"/>
  <c r="J259" i="11"/>
  <c r="I259" i="11"/>
  <c r="H260" i="11"/>
  <c r="I305" i="4"/>
  <c r="E306" i="4"/>
  <c r="F306" i="4" s="1"/>
  <c r="H306" i="4" s="1"/>
  <c r="G306" i="4"/>
  <c r="C308" i="4"/>
  <c r="D307" i="4"/>
  <c r="K259" i="11" l="1"/>
  <c r="J260" i="11"/>
  <c r="I260" i="11"/>
  <c r="H261" i="11"/>
  <c r="I306" i="4"/>
  <c r="G307" i="4"/>
  <c r="E307" i="4"/>
  <c r="F307" i="4" s="1"/>
  <c r="H307" i="4"/>
  <c r="C309" i="4"/>
  <c r="D308" i="4"/>
  <c r="I261" i="11" l="1"/>
  <c r="H262" i="11"/>
  <c r="K260" i="11"/>
  <c r="J261" i="11"/>
  <c r="I307" i="4"/>
  <c r="E308" i="4"/>
  <c r="F308" i="4" s="1"/>
  <c r="H308" i="4"/>
  <c r="G308" i="4"/>
  <c r="C310" i="4"/>
  <c r="D309" i="4"/>
  <c r="H263" i="11" l="1"/>
  <c r="I262" i="11"/>
  <c r="K261" i="11"/>
  <c r="J262" i="11"/>
  <c r="G309" i="4"/>
  <c r="E309" i="4"/>
  <c r="F309" i="4" s="1"/>
  <c r="H309" i="4"/>
  <c r="C311" i="4"/>
  <c r="D310" i="4"/>
  <c r="I308" i="4"/>
  <c r="K262" i="11" l="1"/>
  <c r="J263" i="11"/>
  <c r="I263" i="11"/>
  <c r="H264" i="11"/>
  <c r="G310" i="4"/>
  <c r="E310" i="4"/>
  <c r="F310" i="4" s="1"/>
  <c r="H310" i="4" s="1"/>
  <c r="C312" i="4"/>
  <c r="D311" i="4"/>
  <c r="I309" i="4"/>
  <c r="K263" i="11" l="1"/>
  <c r="J264" i="11"/>
  <c r="I264" i="11"/>
  <c r="H265" i="11"/>
  <c r="G311" i="4"/>
  <c r="E311" i="4"/>
  <c r="F311" i="4" s="1"/>
  <c r="H311" i="4"/>
  <c r="I310" i="4"/>
  <c r="C313" i="4"/>
  <c r="D312" i="4"/>
  <c r="I265" i="11" l="1"/>
  <c r="H266" i="11"/>
  <c r="K264" i="11"/>
  <c r="J265" i="11"/>
  <c r="I311" i="4"/>
  <c r="E312" i="4"/>
  <c r="F312" i="4" s="1"/>
  <c r="H312" i="4"/>
  <c r="G312" i="4"/>
  <c r="C314" i="4"/>
  <c r="D313" i="4"/>
  <c r="H267" i="11" l="1"/>
  <c r="I266" i="11"/>
  <c r="K265" i="11"/>
  <c r="J266" i="11"/>
  <c r="C315" i="4"/>
  <c r="D314" i="4"/>
  <c r="E313" i="4"/>
  <c r="F313" i="4" s="1"/>
  <c r="H313" i="4"/>
  <c r="G313" i="4"/>
  <c r="I312" i="4"/>
  <c r="K266" i="11" l="1"/>
  <c r="J267" i="11"/>
  <c r="H268" i="11"/>
  <c r="I267" i="11"/>
  <c r="I313" i="4"/>
  <c r="G314" i="4"/>
  <c r="E314" i="4"/>
  <c r="F314" i="4" s="1"/>
  <c r="H314" i="4" s="1"/>
  <c r="C316" i="4"/>
  <c r="D315" i="4"/>
  <c r="K267" i="11" l="1"/>
  <c r="J268" i="11"/>
  <c r="H269" i="11"/>
  <c r="I268" i="11"/>
  <c r="C317" i="4"/>
  <c r="D316" i="4"/>
  <c r="G315" i="4"/>
  <c r="E315" i="4"/>
  <c r="F315" i="4" s="1"/>
  <c r="H315" i="4"/>
  <c r="I314" i="4"/>
  <c r="H270" i="11" l="1"/>
  <c r="I269" i="11"/>
  <c r="K268" i="11"/>
  <c r="J269" i="11"/>
  <c r="I315" i="4"/>
  <c r="E316" i="4"/>
  <c r="F316" i="4" s="1"/>
  <c r="H316" i="4"/>
  <c r="G316" i="4"/>
  <c r="C318" i="4"/>
  <c r="D317" i="4"/>
  <c r="K269" i="11" l="1"/>
  <c r="J270" i="11"/>
  <c r="I270" i="11"/>
  <c r="H271" i="11"/>
  <c r="G317" i="4"/>
  <c r="E317" i="4"/>
  <c r="F317" i="4" s="1"/>
  <c r="H317" i="4" s="1"/>
  <c r="C319" i="4"/>
  <c r="D318" i="4"/>
  <c r="I316" i="4"/>
  <c r="K270" i="11" l="1"/>
  <c r="J271" i="11"/>
  <c r="H272" i="11"/>
  <c r="I271" i="11"/>
  <c r="G318" i="4"/>
  <c r="E318" i="4"/>
  <c r="F318" i="4" s="1"/>
  <c r="H318" i="4" s="1"/>
  <c r="C320" i="4"/>
  <c r="D319" i="4"/>
  <c r="I317" i="4"/>
  <c r="K271" i="11" l="1"/>
  <c r="J272" i="11"/>
  <c r="I272" i="11"/>
  <c r="H273" i="11"/>
  <c r="C321" i="4"/>
  <c r="D320" i="4"/>
  <c r="G319" i="4"/>
  <c r="E319" i="4"/>
  <c r="F319" i="4" s="1"/>
  <c r="H319" i="4"/>
  <c r="I318" i="4"/>
  <c r="H274" i="11" l="1"/>
  <c r="I273" i="11"/>
  <c r="K272" i="11"/>
  <c r="J273" i="11"/>
  <c r="I319" i="4"/>
  <c r="E320" i="4"/>
  <c r="F320" i="4" s="1"/>
  <c r="G320" i="4"/>
  <c r="H320" i="4"/>
  <c r="C322" i="4"/>
  <c r="D321" i="4"/>
  <c r="K273" i="11" l="1"/>
  <c r="J274" i="11"/>
  <c r="H275" i="11"/>
  <c r="I274" i="11"/>
  <c r="E321" i="4"/>
  <c r="F321" i="4" s="1"/>
  <c r="H321" i="4"/>
  <c r="G321" i="4"/>
  <c r="C323" i="4"/>
  <c r="D322" i="4"/>
  <c r="I320" i="4"/>
  <c r="K274" i="11" l="1"/>
  <c r="J275" i="11"/>
  <c r="I275" i="11"/>
  <c r="H276" i="11"/>
  <c r="C324" i="4"/>
  <c r="D323" i="4"/>
  <c r="I321" i="4"/>
  <c r="G322" i="4"/>
  <c r="E322" i="4"/>
  <c r="F322" i="4" s="1"/>
  <c r="H322" i="4" s="1"/>
  <c r="H277" i="11" l="1"/>
  <c r="I276" i="11"/>
  <c r="K275" i="11"/>
  <c r="J276" i="11"/>
  <c r="G323" i="4"/>
  <c r="E323" i="4"/>
  <c r="F323" i="4" s="1"/>
  <c r="H323" i="4"/>
  <c r="I322" i="4"/>
  <c r="C325" i="4"/>
  <c r="D324" i="4"/>
  <c r="K276" i="11" l="1"/>
  <c r="J277" i="11"/>
  <c r="I277" i="11"/>
  <c r="H278" i="11"/>
  <c r="I323" i="4"/>
  <c r="E324" i="4"/>
  <c r="F324" i="4" s="1"/>
  <c r="H324" i="4"/>
  <c r="G324" i="4"/>
  <c r="C326" i="4"/>
  <c r="D325" i="4"/>
  <c r="I278" i="11" l="1"/>
  <c r="H279" i="11"/>
  <c r="K277" i="11"/>
  <c r="J278" i="11"/>
  <c r="G325" i="4"/>
  <c r="H325" i="4"/>
  <c r="E325" i="4"/>
  <c r="F325" i="4" s="1"/>
  <c r="C327" i="4"/>
  <c r="D326" i="4"/>
  <c r="I324" i="4"/>
  <c r="H280" i="11" l="1"/>
  <c r="I279" i="11"/>
  <c r="K278" i="11"/>
  <c r="J279" i="11"/>
  <c r="H326" i="4"/>
  <c r="G326" i="4"/>
  <c r="E326" i="4"/>
  <c r="F326" i="4" s="1"/>
  <c r="C328" i="4"/>
  <c r="D327" i="4"/>
  <c r="I325" i="4"/>
  <c r="K279" i="11" l="1"/>
  <c r="J280" i="11"/>
  <c r="I280" i="11"/>
  <c r="H281" i="11"/>
  <c r="I326" i="4"/>
  <c r="C329" i="4"/>
  <c r="D328" i="4"/>
  <c r="E327" i="4"/>
  <c r="F327" i="4" s="1"/>
  <c r="G327" i="4"/>
  <c r="H327" i="4"/>
  <c r="I281" i="11" l="1"/>
  <c r="H282" i="11"/>
  <c r="K280" i="11"/>
  <c r="J281" i="11"/>
  <c r="I327" i="4"/>
  <c r="E328" i="4"/>
  <c r="F328" i="4" s="1"/>
  <c r="H328" i="4"/>
  <c r="G328" i="4"/>
  <c r="C330" i="4"/>
  <c r="D329" i="4"/>
  <c r="H283" i="11" l="1"/>
  <c r="I282" i="11"/>
  <c r="K281" i="11"/>
  <c r="J282" i="11"/>
  <c r="I328" i="4"/>
  <c r="E329" i="4"/>
  <c r="F329" i="4" s="1"/>
  <c r="G329" i="4"/>
  <c r="H329" i="4"/>
  <c r="C331" i="4"/>
  <c r="D330" i="4"/>
  <c r="K282" i="11" l="1"/>
  <c r="J283" i="11"/>
  <c r="I283" i="11"/>
  <c r="H284" i="11"/>
  <c r="E330" i="4"/>
  <c r="F330" i="4" s="1"/>
  <c r="G330" i="4"/>
  <c r="H330" i="4"/>
  <c r="I329" i="4"/>
  <c r="C332" i="4"/>
  <c r="D331" i="4"/>
  <c r="H285" i="11" l="1"/>
  <c r="I284" i="11"/>
  <c r="K283" i="11"/>
  <c r="J284" i="11"/>
  <c r="C333" i="4"/>
  <c r="D332" i="4"/>
  <c r="H331" i="4"/>
  <c r="E331" i="4"/>
  <c r="F331" i="4" s="1"/>
  <c r="G331" i="4"/>
  <c r="I330" i="4"/>
  <c r="K284" i="11" l="1"/>
  <c r="J285" i="11"/>
  <c r="H286" i="11"/>
  <c r="I285" i="11"/>
  <c r="E332" i="4"/>
  <c r="F332" i="4" s="1"/>
  <c r="H332" i="4"/>
  <c r="G332" i="4"/>
  <c r="I331" i="4"/>
  <c r="C334" i="4"/>
  <c r="D333" i="4"/>
  <c r="K285" i="11" l="1"/>
  <c r="J286" i="11"/>
  <c r="H287" i="11"/>
  <c r="I286" i="11"/>
  <c r="C335" i="4"/>
  <c r="D334" i="4"/>
  <c r="G333" i="4"/>
  <c r="E333" i="4"/>
  <c r="F333" i="4" s="1"/>
  <c r="H333" i="4"/>
  <c r="I332" i="4"/>
  <c r="K286" i="11" l="1"/>
  <c r="J287" i="11"/>
  <c r="I287" i="11"/>
  <c r="H288" i="11"/>
  <c r="I333" i="4"/>
  <c r="G334" i="4"/>
  <c r="E334" i="4"/>
  <c r="F334" i="4" s="1"/>
  <c r="H334" i="4"/>
  <c r="C336" i="4"/>
  <c r="D335" i="4"/>
  <c r="I288" i="11" l="1"/>
  <c r="H289" i="11"/>
  <c r="K287" i="11"/>
  <c r="J288" i="11"/>
  <c r="I334" i="4"/>
  <c r="C337" i="4"/>
  <c r="D336" i="4"/>
  <c r="E335" i="4"/>
  <c r="F335" i="4" s="1"/>
  <c r="G335" i="4"/>
  <c r="H335" i="4"/>
  <c r="H290" i="11" l="1"/>
  <c r="I289" i="11"/>
  <c r="K288" i="11"/>
  <c r="J289" i="11"/>
  <c r="I335" i="4"/>
  <c r="G336" i="4"/>
  <c r="H336" i="4"/>
  <c r="E336" i="4"/>
  <c r="F336" i="4" s="1"/>
  <c r="C338" i="4"/>
  <c r="D337" i="4"/>
  <c r="K289" i="11" l="1"/>
  <c r="J290" i="11"/>
  <c r="I290" i="11"/>
  <c r="H291" i="11"/>
  <c r="C339" i="4"/>
  <c r="D338" i="4"/>
  <c r="G337" i="4"/>
  <c r="E337" i="4"/>
  <c r="F337" i="4" s="1"/>
  <c r="H337" i="4"/>
  <c r="I336" i="4"/>
  <c r="I291" i="11" l="1"/>
  <c r="H292" i="11"/>
  <c r="K290" i="11"/>
  <c r="J291" i="11"/>
  <c r="I337" i="4"/>
  <c r="E338" i="4"/>
  <c r="F338" i="4" s="1"/>
  <c r="G338" i="4"/>
  <c r="H338" i="4"/>
  <c r="C340" i="4"/>
  <c r="D339" i="4"/>
  <c r="H293" i="11" l="1"/>
  <c r="I292" i="11"/>
  <c r="K291" i="11"/>
  <c r="J292" i="11"/>
  <c r="I338" i="4"/>
  <c r="H339" i="4"/>
  <c r="E339" i="4"/>
  <c r="F339" i="4" s="1"/>
  <c r="G339" i="4"/>
  <c r="C341" i="4"/>
  <c r="D340" i="4"/>
  <c r="K292" i="11" l="1"/>
  <c r="J293" i="11"/>
  <c r="H294" i="11"/>
  <c r="I293" i="11"/>
  <c r="I339" i="4"/>
  <c r="H340" i="4"/>
  <c r="E340" i="4"/>
  <c r="F340" i="4" s="1"/>
  <c r="G340" i="4"/>
  <c r="C342" i="4"/>
  <c r="D341" i="4"/>
  <c r="K293" i="11" l="1"/>
  <c r="J294" i="11"/>
  <c r="I294" i="11"/>
  <c r="H295" i="11"/>
  <c r="I340" i="4"/>
  <c r="C343" i="4"/>
  <c r="D342" i="4"/>
  <c r="E341" i="4"/>
  <c r="F341" i="4" s="1"/>
  <c r="H341" i="4"/>
  <c r="G341" i="4"/>
  <c r="K294" i="11" l="1"/>
  <c r="J295" i="11"/>
  <c r="I295" i="11"/>
  <c r="H296" i="11"/>
  <c r="I341" i="4"/>
  <c r="G342" i="4"/>
  <c r="E342" i="4"/>
  <c r="F342" i="4" s="1"/>
  <c r="H342" i="4"/>
  <c r="C344" i="4"/>
  <c r="D343" i="4"/>
  <c r="I296" i="11" l="1"/>
  <c r="H297" i="11"/>
  <c r="K295" i="11"/>
  <c r="J296" i="11"/>
  <c r="E343" i="4"/>
  <c r="F343" i="4" s="1"/>
  <c r="H343" i="4"/>
  <c r="G343" i="4"/>
  <c r="C345" i="4"/>
  <c r="D344" i="4"/>
  <c r="I342" i="4"/>
  <c r="H298" i="11" l="1"/>
  <c r="I297" i="11"/>
  <c r="K296" i="11"/>
  <c r="J297" i="11"/>
  <c r="I343" i="4"/>
  <c r="E344" i="4"/>
  <c r="F344" i="4" s="1"/>
  <c r="H344" i="4"/>
  <c r="G344" i="4"/>
  <c r="C346" i="4"/>
  <c r="D345" i="4"/>
  <c r="K297" i="11" l="1"/>
  <c r="J298" i="11"/>
  <c r="H299" i="11"/>
  <c r="I298" i="11"/>
  <c r="I344" i="4"/>
  <c r="C347" i="4"/>
  <c r="D346" i="4"/>
  <c r="E345" i="4"/>
  <c r="F345" i="4" s="1"/>
  <c r="H345" i="4"/>
  <c r="G345" i="4"/>
  <c r="I299" i="11" l="1"/>
  <c r="H300" i="11"/>
  <c r="K298" i="11"/>
  <c r="J299" i="11"/>
  <c r="I345" i="4"/>
  <c r="E346" i="4"/>
  <c r="F346" i="4" s="1"/>
  <c r="G346" i="4"/>
  <c r="H346" i="4"/>
  <c r="C348" i="4"/>
  <c r="D347" i="4"/>
  <c r="H301" i="11" l="1"/>
  <c r="I300" i="11"/>
  <c r="K299" i="11"/>
  <c r="J300" i="11"/>
  <c r="E347" i="4"/>
  <c r="F347" i="4" s="1"/>
  <c r="H347" i="4" s="1"/>
  <c r="G347" i="4"/>
  <c r="C349" i="4"/>
  <c r="D348" i="4"/>
  <c r="I346" i="4"/>
  <c r="K300" i="11" l="1"/>
  <c r="J301" i="11"/>
  <c r="I301" i="11"/>
  <c r="H302" i="11"/>
  <c r="I347" i="4"/>
  <c r="E348" i="4"/>
  <c r="F348" i="4" s="1"/>
  <c r="H348" i="4" s="1"/>
  <c r="G348" i="4"/>
  <c r="C350" i="4"/>
  <c r="D349" i="4"/>
  <c r="K301" i="11" l="1"/>
  <c r="J302" i="11"/>
  <c r="I302" i="11"/>
  <c r="H303" i="11"/>
  <c r="I348" i="4"/>
  <c r="G349" i="4"/>
  <c r="E349" i="4"/>
  <c r="F349" i="4" s="1"/>
  <c r="H349" i="4" s="1"/>
  <c r="C351" i="4"/>
  <c r="D350" i="4"/>
  <c r="I303" i="11" l="1"/>
  <c r="H304" i="11"/>
  <c r="K302" i="11"/>
  <c r="J303" i="11"/>
  <c r="I349" i="4"/>
  <c r="G350" i="4"/>
  <c r="E350" i="4"/>
  <c r="F350" i="4" s="1"/>
  <c r="H350" i="4"/>
  <c r="C352" i="4"/>
  <c r="D351" i="4"/>
  <c r="I304" i="11" l="1"/>
  <c r="H305" i="11"/>
  <c r="K303" i="11"/>
  <c r="J304" i="11"/>
  <c r="I350" i="4"/>
  <c r="E351" i="4"/>
  <c r="F351" i="4" s="1"/>
  <c r="G351" i="4"/>
  <c r="H351" i="4"/>
  <c r="C353" i="4"/>
  <c r="D352" i="4"/>
  <c r="I305" i="11" l="1"/>
  <c r="H306" i="11"/>
  <c r="K304" i="11"/>
  <c r="J305" i="11"/>
  <c r="I351" i="4"/>
  <c r="G352" i="4"/>
  <c r="E352" i="4"/>
  <c r="F352" i="4" s="1"/>
  <c r="H352" i="4"/>
  <c r="C354" i="4"/>
  <c r="D353" i="4"/>
  <c r="H307" i="11" l="1"/>
  <c r="I306" i="11"/>
  <c r="K305" i="11"/>
  <c r="J306" i="11"/>
  <c r="I352" i="4"/>
  <c r="G353" i="4"/>
  <c r="E353" i="4"/>
  <c r="F353" i="4" s="1"/>
  <c r="H353" i="4"/>
  <c r="C355" i="4"/>
  <c r="D354" i="4"/>
  <c r="K306" i="11" l="1"/>
  <c r="J307" i="11"/>
  <c r="I307" i="11"/>
  <c r="H308" i="11"/>
  <c r="I353" i="4"/>
  <c r="E354" i="4"/>
  <c r="F354" i="4" s="1"/>
  <c r="H354" i="4"/>
  <c r="G354" i="4"/>
  <c r="C356" i="4"/>
  <c r="D355" i="4"/>
  <c r="H309" i="11" l="1"/>
  <c r="I308" i="11"/>
  <c r="K307" i="11"/>
  <c r="J308" i="11"/>
  <c r="I354" i="4"/>
  <c r="E355" i="4"/>
  <c r="F355" i="4" s="1"/>
  <c r="G355" i="4"/>
  <c r="H355" i="4"/>
  <c r="C357" i="4"/>
  <c r="D356" i="4"/>
  <c r="K308" i="11" l="1"/>
  <c r="J309" i="11"/>
  <c r="I309" i="11"/>
  <c r="H310" i="11"/>
  <c r="E356" i="4"/>
  <c r="F356" i="4" s="1"/>
  <c r="H356" i="4"/>
  <c r="G356" i="4"/>
  <c r="C358" i="4"/>
  <c r="D357" i="4"/>
  <c r="I355" i="4"/>
  <c r="I310" i="11" l="1"/>
  <c r="H311" i="11"/>
  <c r="K309" i="11"/>
  <c r="J310" i="11"/>
  <c r="I356" i="4"/>
  <c r="G357" i="4"/>
  <c r="E357" i="4"/>
  <c r="F357" i="4" s="1"/>
  <c r="H357" i="4" s="1"/>
  <c r="C359" i="4"/>
  <c r="D358" i="4"/>
  <c r="I311" i="11" l="1"/>
  <c r="H312" i="11"/>
  <c r="K310" i="11"/>
  <c r="J311" i="11"/>
  <c r="I357" i="4"/>
  <c r="G358" i="4"/>
  <c r="E358" i="4"/>
  <c r="F358" i="4" s="1"/>
  <c r="H358" i="4"/>
  <c r="C360" i="4"/>
  <c r="D359" i="4"/>
  <c r="I312" i="11" l="1"/>
  <c r="H313" i="11"/>
  <c r="K311" i="11"/>
  <c r="J312" i="11"/>
  <c r="I358" i="4"/>
  <c r="E359" i="4"/>
  <c r="F359" i="4" s="1"/>
  <c r="G359" i="4"/>
  <c r="H359" i="4"/>
  <c r="C361" i="4"/>
  <c r="D360" i="4"/>
  <c r="I313" i="11" l="1"/>
  <c r="H314" i="11"/>
  <c r="K312" i="11"/>
  <c r="J313" i="11"/>
  <c r="G360" i="4"/>
  <c r="E360" i="4"/>
  <c r="F360" i="4" s="1"/>
  <c r="H360" i="4"/>
  <c r="C362" i="4"/>
  <c r="D361" i="4"/>
  <c r="I359" i="4"/>
  <c r="I314" i="11" l="1"/>
  <c r="H315" i="11"/>
  <c r="K313" i="11"/>
  <c r="J314" i="11"/>
  <c r="G361" i="4"/>
  <c r="E361" i="4"/>
  <c r="F361" i="4" s="1"/>
  <c r="H361" i="4" s="1"/>
  <c r="C363" i="4"/>
  <c r="D362" i="4"/>
  <c r="I360" i="4"/>
  <c r="H316" i="11" l="1"/>
  <c r="I315" i="11"/>
  <c r="K314" i="11"/>
  <c r="J315" i="11"/>
  <c r="G362" i="4"/>
  <c r="H362" i="4"/>
  <c r="E362" i="4"/>
  <c r="F362" i="4" s="1"/>
  <c r="C364" i="4"/>
  <c r="D363" i="4"/>
  <c r="I361" i="4"/>
  <c r="K315" i="11" l="1"/>
  <c r="J316" i="11"/>
  <c r="H317" i="11"/>
  <c r="I316" i="11"/>
  <c r="H363" i="4"/>
  <c r="E363" i="4"/>
  <c r="F363" i="4" s="1"/>
  <c r="G363" i="4"/>
  <c r="C365" i="4"/>
  <c r="D364" i="4"/>
  <c r="I362" i="4"/>
  <c r="H318" i="11" l="1"/>
  <c r="I317" i="11"/>
  <c r="K316" i="11"/>
  <c r="J317" i="11"/>
  <c r="C366" i="4"/>
  <c r="D365" i="4"/>
  <c r="G364" i="4"/>
  <c r="E364" i="4"/>
  <c r="F364" i="4" s="1"/>
  <c r="H364" i="4"/>
  <c r="I363" i="4"/>
  <c r="K317" i="11" l="1"/>
  <c r="J318" i="11"/>
  <c r="I318" i="11"/>
  <c r="H319" i="11"/>
  <c r="G365" i="4"/>
  <c r="E365" i="4"/>
  <c r="F365" i="4" s="1"/>
  <c r="H365" i="4"/>
  <c r="I364" i="4"/>
  <c r="C367" i="4"/>
  <c r="D366" i="4"/>
  <c r="H320" i="11" l="1"/>
  <c r="I319" i="11"/>
  <c r="K318" i="11"/>
  <c r="J319" i="11"/>
  <c r="I365" i="4"/>
  <c r="C368" i="4"/>
  <c r="D367" i="4"/>
  <c r="G366" i="4"/>
  <c r="H366" i="4"/>
  <c r="E366" i="4"/>
  <c r="F366" i="4" s="1"/>
  <c r="K319" i="11" l="1"/>
  <c r="J320" i="11"/>
  <c r="I320" i="11"/>
  <c r="H321" i="11"/>
  <c r="E367" i="4"/>
  <c r="F367" i="4" s="1"/>
  <c r="G367" i="4"/>
  <c r="H367" i="4"/>
  <c r="I366" i="4"/>
  <c r="C369" i="4"/>
  <c r="D368" i="4"/>
  <c r="K320" i="11" l="1"/>
  <c r="J321" i="11"/>
  <c r="I321" i="11"/>
  <c r="H322" i="11"/>
  <c r="I367" i="4"/>
  <c r="C370" i="4"/>
  <c r="D369" i="4"/>
  <c r="G368" i="4"/>
  <c r="E368" i="4"/>
  <c r="F368" i="4" s="1"/>
  <c r="H368" i="4"/>
  <c r="I322" i="11" l="1"/>
  <c r="H323" i="11"/>
  <c r="K321" i="11"/>
  <c r="J322" i="11"/>
  <c r="I368" i="4"/>
  <c r="G369" i="4"/>
  <c r="E369" i="4"/>
  <c r="F369" i="4" s="1"/>
  <c r="H369" i="4"/>
  <c r="C371" i="4"/>
  <c r="D370" i="4"/>
  <c r="I323" i="11" l="1"/>
  <c r="H324" i="11"/>
  <c r="K322" i="11"/>
  <c r="J323" i="11"/>
  <c r="I369" i="4"/>
  <c r="E370" i="4"/>
  <c r="F370" i="4" s="1"/>
  <c r="G370" i="4"/>
  <c r="H370" i="4"/>
  <c r="C372" i="4"/>
  <c r="D371" i="4"/>
  <c r="H325" i="11" l="1"/>
  <c r="I324" i="11"/>
  <c r="K323" i="11"/>
  <c r="J324" i="11"/>
  <c r="C373" i="4"/>
  <c r="D372" i="4"/>
  <c r="I370" i="4"/>
  <c r="H371" i="4"/>
  <c r="E371" i="4"/>
  <c r="F371" i="4" s="1"/>
  <c r="G371" i="4"/>
  <c r="K324" i="11" l="1"/>
  <c r="J325" i="11"/>
  <c r="H326" i="11"/>
  <c r="I325" i="11"/>
  <c r="I371" i="4"/>
  <c r="G372" i="4"/>
  <c r="H372" i="4"/>
  <c r="E372" i="4"/>
  <c r="F372" i="4" s="1"/>
  <c r="C374" i="4"/>
  <c r="D373" i="4"/>
  <c r="K325" i="11" l="1"/>
  <c r="J326" i="11"/>
  <c r="H327" i="11"/>
  <c r="I326" i="11"/>
  <c r="G373" i="4"/>
  <c r="H373" i="4"/>
  <c r="E373" i="4"/>
  <c r="F373" i="4" s="1"/>
  <c r="C375" i="4"/>
  <c r="D374" i="4"/>
  <c r="I372" i="4"/>
  <c r="I327" i="11" l="1"/>
  <c r="H328" i="11"/>
  <c r="K326" i="11"/>
  <c r="J327" i="11"/>
  <c r="G374" i="4"/>
  <c r="E374" i="4"/>
  <c r="F374" i="4" s="1"/>
  <c r="H374" i="4"/>
  <c r="C376" i="4"/>
  <c r="D375" i="4"/>
  <c r="I373" i="4"/>
  <c r="I328" i="11" l="1"/>
  <c r="H329" i="11"/>
  <c r="K327" i="11"/>
  <c r="J328" i="11"/>
  <c r="I374" i="4"/>
  <c r="E375" i="4"/>
  <c r="F375" i="4" s="1"/>
  <c r="G375" i="4"/>
  <c r="H375" i="4"/>
  <c r="C377" i="4"/>
  <c r="D376" i="4"/>
  <c r="I329" i="11" l="1"/>
  <c r="H330" i="11"/>
  <c r="K328" i="11"/>
  <c r="J329" i="11"/>
  <c r="I375" i="4"/>
  <c r="G376" i="4"/>
  <c r="E376" i="4"/>
  <c r="F376" i="4" s="1"/>
  <c r="H376" i="4"/>
  <c r="C378" i="4"/>
  <c r="D377" i="4"/>
  <c r="H331" i="11" l="1"/>
  <c r="I330" i="11"/>
  <c r="K329" i="11"/>
  <c r="J330" i="11"/>
  <c r="C379" i="4"/>
  <c r="D378" i="4"/>
  <c r="H377" i="4"/>
  <c r="G377" i="4"/>
  <c r="E377" i="4"/>
  <c r="F377" i="4" s="1"/>
  <c r="I376" i="4"/>
  <c r="K330" i="11" l="1"/>
  <c r="J331" i="11"/>
  <c r="H332" i="11"/>
  <c r="I331" i="11"/>
  <c r="I377" i="4"/>
  <c r="E378" i="4"/>
  <c r="F378" i="4" s="1"/>
  <c r="H378" i="4"/>
  <c r="G378" i="4"/>
  <c r="C380" i="4"/>
  <c r="D379" i="4"/>
  <c r="H333" i="11" l="1"/>
  <c r="I332" i="11"/>
  <c r="K331" i="11"/>
  <c r="J332" i="11"/>
  <c r="I378" i="4"/>
  <c r="C381" i="4"/>
  <c r="D380" i="4"/>
  <c r="H379" i="4"/>
  <c r="E379" i="4"/>
  <c r="F379" i="4" s="1"/>
  <c r="G379" i="4"/>
  <c r="K332" i="11" l="1"/>
  <c r="J333" i="11"/>
  <c r="I333" i="11"/>
  <c r="H334" i="11"/>
  <c r="I379" i="4"/>
  <c r="E380" i="4"/>
  <c r="F380" i="4" s="1"/>
  <c r="H380" i="4"/>
  <c r="G380" i="4"/>
  <c r="C382" i="4"/>
  <c r="D381" i="4"/>
  <c r="K333" i="11" l="1"/>
  <c r="J334" i="11"/>
  <c r="H335" i="11"/>
  <c r="I334" i="11"/>
  <c r="I380" i="4"/>
  <c r="H381" i="4"/>
  <c r="E381" i="4"/>
  <c r="F381" i="4" s="1"/>
  <c r="G381" i="4"/>
  <c r="C383" i="4"/>
  <c r="D382" i="4"/>
  <c r="K334" i="11" l="1"/>
  <c r="J335" i="11"/>
  <c r="I335" i="11"/>
  <c r="H336" i="11"/>
  <c r="I381" i="4"/>
  <c r="G382" i="4"/>
  <c r="E382" i="4"/>
  <c r="F382" i="4" s="1"/>
  <c r="H382" i="4" s="1"/>
  <c r="C384" i="4"/>
  <c r="D383" i="4"/>
  <c r="I336" i="11" l="1"/>
  <c r="H337" i="11"/>
  <c r="K335" i="11"/>
  <c r="J336" i="11"/>
  <c r="I382" i="4"/>
  <c r="E383" i="4"/>
  <c r="F383" i="4" s="1"/>
  <c r="H383" i="4"/>
  <c r="G383" i="4"/>
  <c r="C385" i="4"/>
  <c r="D384" i="4"/>
  <c r="I337" i="11" l="1"/>
  <c r="H338" i="11"/>
  <c r="K336" i="11"/>
  <c r="J337" i="11"/>
  <c r="I383" i="4"/>
  <c r="C386" i="4"/>
  <c r="D385" i="4"/>
  <c r="E384" i="4"/>
  <c r="F384" i="4" s="1"/>
  <c r="H384" i="4" s="1"/>
  <c r="G384" i="4"/>
  <c r="H339" i="11" l="1"/>
  <c r="I338" i="11"/>
  <c r="K337" i="11"/>
  <c r="J338" i="11"/>
  <c r="I384" i="4"/>
  <c r="E385" i="4"/>
  <c r="F385" i="4" s="1"/>
  <c r="G385" i="4"/>
  <c r="H385" i="4"/>
  <c r="C387" i="4"/>
  <c r="D386" i="4"/>
  <c r="K338" i="11" l="1"/>
  <c r="J339" i="11"/>
  <c r="I339" i="11"/>
  <c r="H340" i="11"/>
  <c r="I385" i="4"/>
  <c r="E386" i="4"/>
  <c r="F386" i="4" s="1"/>
  <c r="H386" i="4" s="1"/>
  <c r="G386" i="4"/>
  <c r="C388" i="4"/>
  <c r="D387" i="4"/>
  <c r="K339" i="11" l="1"/>
  <c r="J340" i="11"/>
  <c r="H341" i="11"/>
  <c r="I340" i="11"/>
  <c r="I386" i="4"/>
  <c r="E387" i="4"/>
  <c r="F387" i="4" s="1"/>
  <c r="G387" i="4"/>
  <c r="H387" i="4"/>
  <c r="C389" i="4"/>
  <c r="D388" i="4"/>
  <c r="H342" i="11" l="1"/>
  <c r="I341" i="11"/>
  <c r="K340" i="11"/>
  <c r="J341" i="11"/>
  <c r="E388" i="4"/>
  <c r="F388" i="4" s="1"/>
  <c r="G388" i="4"/>
  <c r="H388" i="4"/>
  <c r="C390" i="4"/>
  <c r="D389" i="4"/>
  <c r="I387" i="4"/>
  <c r="K341" i="11" l="1"/>
  <c r="J342" i="11"/>
  <c r="I342" i="11"/>
  <c r="H343" i="11"/>
  <c r="C391" i="4"/>
  <c r="D390" i="4"/>
  <c r="I388" i="4"/>
  <c r="G389" i="4"/>
  <c r="E389" i="4"/>
  <c r="F389" i="4" s="1"/>
  <c r="H389" i="4"/>
  <c r="H344" i="11" l="1"/>
  <c r="I343" i="11"/>
  <c r="K342" i="11"/>
  <c r="J343" i="11"/>
  <c r="I389" i="4"/>
  <c r="E390" i="4"/>
  <c r="F390" i="4" s="1"/>
  <c r="H390" i="4"/>
  <c r="G390" i="4"/>
  <c r="C392" i="4"/>
  <c r="D391" i="4"/>
  <c r="K343" i="11" l="1"/>
  <c r="J344" i="11"/>
  <c r="I344" i="11"/>
  <c r="H345" i="11"/>
  <c r="C393" i="4"/>
  <c r="D392" i="4"/>
  <c r="E391" i="4"/>
  <c r="F391" i="4" s="1"/>
  <c r="G391" i="4"/>
  <c r="H391" i="4"/>
  <c r="I390" i="4"/>
  <c r="H346" i="11" l="1"/>
  <c r="I345" i="11"/>
  <c r="K344" i="11"/>
  <c r="J345" i="11"/>
  <c r="I391" i="4"/>
  <c r="G392" i="4"/>
  <c r="E392" i="4"/>
  <c r="F392" i="4" s="1"/>
  <c r="H392" i="4"/>
  <c r="C394" i="4"/>
  <c r="D393" i="4"/>
  <c r="K345" i="11" l="1"/>
  <c r="J346" i="11"/>
  <c r="H347" i="11"/>
  <c r="I346" i="11"/>
  <c r="I392" i="4"/>
  <c r="C395" i="4"/>
  <c r="D394" i="4"/>
  <c r="G393" i="4"/>
  <c r="E393" i="4"/>
  <c r="F393" i="4" s="1"/>
  <c r="H393" i="4"/>
  <c r="K346" i="11" l="1"/>
  <c r="J347" i="11"/>
  <c r="H348" i="11"/>
  <c r="I347" i="11"/>
  <c r="I393" i="4"/>
  <c r="E394" i="4"/>
  <c r="F394" i="4" s="1"/>
  <c r="G394" i="4"/>
  <c r="H394" i="4"/>
  <c r="C396" i="4"/>
  <c r="D395" i="4"/>
  <c r="I348" i="11" l="1"/>
  <c r="H349" i="11"/>
  <c r="K347" i="11"/>
  <c r="J348" i="11"/>
  <c r="E395" i="4"/>
  <c r="F395" i="4" s="1"/>
  <c r="G395" i="4"/>
  <c r="H395" i="4"/>
  <c r="C397" i="4"/>
  <c r="D396" i="4"/>
  <c r="I394" i="4"/>
  <c r="H350" i="11" l="1"/>
  <c r="I349" i="11"/>
  <c r="K348" i="11"/>
  <c r="J349" i="11"/>
  <c r="I395" i="4"/>
  <c r="E396" i="4"/>
  <c r="F396" i="4" s="1"/>
  <c r="G396" i="4"/>
  <c r="H396" i="4"/>
  <c r="C398" i="4"/>
  <c r="D397" i="4"/>
  <c r="K349" i="11" l="1"/>
  <c r="J350" i="11"/>
  <c r="I350" i="11"/>
  <c r="H351" i="11"/>
  <c r="I396" i="4"/>
  <c r="E397" i="4"/>
  <c r="F397" i="4" s="1"/>
  <c r="G397" i="4"/>
  <c r="H397" i="4"/>
  <c r="C399" i="4"/>
  <c r="D398" i="4"/>
  <c r="K350" i="11" l="1"/>
  <c r="J351" i="11"/>
  <c r="H352" i="11"/>
  <c r="I351" i="11"/>
  <c r="G398" i="4"/>
  <c r="E398" i="4"/>
  <c r="F398" i="4" s="1"/>
  <c r="H398" i="4"/>
  <c r="C400" i="4"/>
  <c r="D399" i="4"/>
  <c r="I397" i="4"/>
  <c r="K351" i="11" l="1"/>
  <c r="J352" i="11"/>
  <c r="H353" i="11"/>
  <c r="I352" i="11"/>
  <c r="I398" i="4"/>
  <c r="E399" i="4"/>
  <c r="F399" i="4" s="1"/>
  <c r="G399" i="4"/>
  <c r="H399" i="4"/>
  <c r="C401" i="4"/>
  <c r="D400" i="4"/>
  <c r="I353" i="11" l="1"/>
  <c r="H354" i="11"/>
  <c r="K352" i="11"/>
  <c r="J353" i="11"/>
  <c r="I399" i="4"/>
  <c r="C402" i="4"/>
  <c r="D401" i="4"/>
  <c r="G400" i="4"/>
  <c r="H400" i="4"/>
  <c r="E400" i="4"/>
  <c r="F400" i="4" s="1"/>
  <c r="I354" i="11" l="1"/>
  <c r="H355" i="11"/>
  <c r="K353" i="11"/>
  <c r="J354" i="11"/>
  <c r="I400" i="4"/>
  <c r="E401" i="4"/>
  <c r="F401" i="4" s="1"/>
  <c r="G401" i="4"/>
  <c r="H401" i="4"/>
  <c r="C403" i="4"/>
  <c r="D402" i="4"/>
  <c r="H356" i="11" l="1"/>
  <c r="I355" i="11"/>
  <c r="K354" i="11"/>
  <c r="J355" i="11"/>
  <c r="C404" i="4"/>
  <c r="D403" i="4"/>
  <c r="I401" i="4"/>
  <c r="G402" i="4"/>
  <c r="H402" i="4"/>
  <c r="E402" i="4"/>
  <c r="F402" i="4" s="1"/>
  <c r="K355" i="11" l="1"/>
  <c r="J356" i="11"/>
  <c r="H357" i="11"/>
  <c r="I356" i="11"/>
  <c r="E403" i="4"/>
  <c r="F403" i="4" s="1"/>
  <c r="G403" i="4"/>
  <c r="H403" i="4"/>
  <c r="I402" i="4"/>
  <c r="C405" i="4"/>
  <c r="D404" i="4"/>
  <c r="K356" i="11" l="1"/>
  <c r="J357" i="11"/>
  <c r="I357" i="11"/>
  <c r="H358" i="11"/>
  <c r="H404" i="4"/>
  <c r="G404" i="4"/>
  <c r="E404" i="4"/>
  <c r="F404" i="4" s="1"/>
  <c r="C406" i="4"/>
  <c r="D405" i="4"/>
  <c r="I403" i="4"/>
  <c r="K357" i="11" l="1"/>
  <c r="J358" i="11"/>
  <c r="H359" i="11"/>
  <c r="I358" i="11"/>
  <c r="C407" i="4"/>
  <c r="D406" i="4"/>
  <c r="E405" i="4"/>
  <c r="F405" i="4" s="1"/>
  <c r="G405" i="4"/>
  <c r="H405" i="4"/>
  <c r="I404" i="4"/>
  <c r="K358" i="11" l="1"/>
  <c r="J359" i="11"/>
  <c r="I359" i="11"/>
  <c r="H360" i="11"/>
  <c r="I405" i="4"/>
  <c r="G406" i="4"/>
  <c r="H406" i="4"/>
  <c r="E406" i="4"/>
  <c r="F406" i="4" s="1"/>
  <c r="C408" i="4"/>
  <c r="D407" i="4"/>
  <c r="K359" i="11" l="1"/>
  <c r="J360" i="11"/>
  <c r="H361" i="11"/>
  <c r="I360" i="11"/>
  <c r="E407" i="4"/>
  <c r="F407" i="4" s="1"/>
  <c r="G407" i="4"/>
  <c r="H407" i="4"/>
  <c r="C409" i="4"/>
  <c r="D408" i="4"/>
  <c r="I406" i="4"/>
  <c r="H362" i="11" l="1"/>
  <c r="I361" i="11"/>
  <c r="K360" i="11"/>
  <c r="J361" i="11"/>
  <c r="I407" i="4"/>
  <c r="C410" i="4"/>
  <c r="D409" i="4"/>
  <c r="G408" i="4"/>
  <c r="E408" i="4"/>
  <c r="F408" i="4" s="1"/>
  <c r="H408" i="4"/>
  <c r="K361" i="11" l="1"/>
  <c r="J362" i="11"/>
  <c r="H363" i="11"/>
  <c r="I362" i="11"/>
  <c r="I408" i="4"/>
  <c r="G409" i="4"/>
  <c r="E409" i="4"/>
  <c r="F409" i="4" s="1"/>
  <c r="H409" i="4"/>
  <c r="C411" i="4"/>
  <c r="D410" i="4"/>
  <c r="K362" i="11" l="1"/>
  <c r="J363" i="11"/>
  <c r="I363" i="11"/>
  <c r="H364" i="11"/>
  <c r="I409" i="4"/>
  <c r="C412" i="4"/>
  <c r="D411" i="4"/>
  <c r="E410" i="4"/>
  <c r="F410" i="4" s="1"/>
  <c r="G410" i="4"/>
  <c r="H410" i="4"/>
  <c r="K363" i="11" l="1"/>
  <c r="J364" i="11"/>
  <c r="I364" i="11"/>
  <c r="H365" i="11"/>
  <c r="I410" i="4"/>
  <c r="E411" i="4"/>
  <c r="F411" i="4" s="1"/>
  <c r="G411" i="4"/>
  <c r="H411" i="4"/>
  <c r="C413" i="4"/>
  <c r="D412" i="4"/>
  <c r="K364" i="11" l="1"/>
  <c r="J365" i="11"/>
  <c r="H366" i="11"/>
  <c r="I365" i="11"/>
  <c r="G412" i="4"/>
  <c r="E412" i="4"/>
  <c r="F412" i="4" s="1"/>
  <c r="H412" i="4"/>
  <c r="C414" i="4"/>
  <c r="D413" i="4"/>
  <c r="I411" i="4"/>
  <c r="K365" i="11" l="1"/>
  <c r="J366" i="11"/>
  <c r="I366" i="11"/>
  <c r="H367" i="11"/>
  <c r="I412" i="4"/>
  <c r="G413" i="4"/>
  <c r="E413" i="4"/>
  <c r="F413" i="4" s="1"/>
  <c r="H413" i="4"/>
  <c r="C415" i="4"/>
  <c r="D414" i="4"/>
  <c r="H368" i="11" l="1"/>
  <c r="I367" i="11"/>
  <c r="K366" i="11"/>
  <c r="J367" i="11"/>
  <c r="I413" i="4"/>
  <c r="C416" i="4"/>
  <c r="D415" i="4"/>
  <c r="G414" i="4"/>
  <c r="H414" i="4"/>
  <c r="E414" i="4"/>
  <c r="F414" i="4" s="1"/>
  <c r="K367" i="11" l="1"/>
  <c r="J368" i="11"/>
  <c r="I368" i="11"/>
  <c r="H369" i="11"/>
  <c r="I414" i="4"/>
  <c r="E415" i="4"/>
  <c r="F415" i="4" s="1"/>
  <c r="G415" i="4"/>
  <c r="H415" i="4"/>
  <c r="C417" i="4"/>
  <c r="D416" i="4"/>
  <c r="I369" i="11" l="1"/>
  <c r="H370" i="11"/>
  <c r="K368" i="11"/>
  <c r="J369" i="11"/>
  <c r="I415" i="4"/>
  <c r="C418" i="4"/>
  <c r="D417" i="4"/>
  <c r="G416" i="4"/>
  <c r="H416" i="4"/>
  <c r="E416" i="4"/>
  <c r="F416" i="4" s="1"/>
  <c r="H371" i="11" l="1"/>
  <c r="I370" i="11"/>
  <c r="K369" i="11"/>
  <c r="J370" i="11"/>
  <c r="I416" i="4"/>
  <c r="G417" i="4"/>
  <c r="H417" i="4"/>
  <c r="E417" i="4"/>
  <c r="F417" i="4" s="1"/>
  <c r="C419" i="4"/>
  <c r="D418" i="4"/>
  <c r="K370" i="11" l="1"/>
  <c r="J371" i="11"/>
  <c r="H372" i="11"/>
  <c r="I371" i="11"/>
  <c r="E418" i="4"/>
  <c r="F418" i="4" s="1"/>
  <c r="H418" i="4"/>
  <c r="G418" i="4"/>
  <c r="C420" i="4"/>
  <c r="D419" i="4"/>
  <c r="I417" i="4"/>
  <c r="I372" i="11" l="1"/>
  <c r="H373" i="11"/>
  <c r="K371" i="11"/>
  <c r="J372" i="11"/>
  <c r="I418" i="4"/>
  <c r="H419" i="4"/>
  <c r="E419" i="4"/>
  <c r="F419" i="4" s="1"/>
  <c r="G419" i="4"/>
  <c r="C421" i="4"/>
  <c r="D420" i="4"/>
  <c r="I373" i="11" l="1"/>
  <c r="H374" i="11"/>
  <c r="K372" i="11"/>
  <c r="J373" i="11"/>
  <c r="I419" i="4"/>
  <c r="G420" i="4"/>
  <c r="E420" i="4"/>
  <c r="F420" i="4" s="1"/>
  <c r="H420" i="4" s="1"/>
  <c r="C422" i="4"/>
  <c r="D421" i="4"/>
  <c r="I374" i="11" l="1"/>
  <c r="H375" i="11"/>
  <c r="K373" i="11"/>
  <c r="J374" i="11"/>
  <c r="I420" i="4"/>
  <c r="E421" i="4"/>
  <c r="F421" i="4" s="1"/>
  <c r="H421" i="4"/>
  <c r="G421" i="4"/>
  <c r="C423" i="4"/>
  <c r="D422" i="4"/>
  <c r="I375" i="11" l="1"/>
  <c r="H376" i="11"/>
  <c r="K374" i="11"/>
  <c r="J375" i="11"/>
  <c r="I421" i="4"/>
  <c r="E422" i="4"/>
  <c r="F422" i="4" s="1"/>
  <c r="G422" i="4"/>
  <c r="H422" i="4"/>
  <c r="C424" i="4"/>
  <c r="D423" i="4"/>
  <c r="I376" i="11" l="1"/>
  <c r="H377" i="11"/>
  <c r="K375" i="11"/>
  <c r="J376" i="11"/>
  <c r="I422" i="4"/>
  <c r="E423" i="4"/>
  <c r="F423" i="4" s="1"/>
  <c r="H423" i="4"/>
  <c r="G423" i="4"/>
  <c r="C425" i="4"/>
  <c r="D424" i="4"/>
  <c r="I377" i="11" l="1"/>
  <c r="H378" i="11"/>
  <c r="K376" i="11"/>
  <c r="J377" i="11"/>
  <c r="I423" i="4"/>
  <c r="E424" i="4"/>
  <c r="F424" i="4" s="1"/>
  <c r="H424" i="4" s="1"/>
  <c r="G424" i="4"/>
  <c r="C426" i="4"/>
  <c r="D425" i="4"/>
  <c r="H379" i="11" l="1"/>
  <c r="I378" i="11"/>
  <c r="K377" i="11"/>
  <c r="J378" i="11"/>
  <c r="I424" i="4"/>
  <c r="E425" i="4"/>
  <c r="F425" i="4" s="1"/>
  <c r="H425" i="4"/>
  <c r="G425" i="4"/>
  <c r="C427" i="4"/>
  <c r="D426" i="4"/>
  <c r="K378" i="11" l="1"/>
  <c r="J379" i="11"/>
  <c r="I379" i="11"/>
  <c r="H380" i="11"/>
  <c r="I425" i="4"/>
  <c r="E426" i="4"/>
  <c r="F426" i="4" s="1"/>
  <c r="H426" i="4" s="1"/>
  <c r="G426" i="4"/>
  <c r="C428" i="4"/>
  <c r="D427" i="4"/>
  <c r="K379" i="11" l="1"/>
  <c r="J380" i="11"/>
  <c r="H381" i="11"/>
  <c r="I380" i="11"/>
  <c r="I426" i="4"/>
  <c r="E427" i="4"/>
  <c r="F427" i="4" s="1"/>
  <c r="H427" i="4" s="1"/>
  <c r="G427" i="4"/>
  <c r="C429" i="4"/>
  <c r="D428" i="4"/>
  <c r="H382" i="11" l="1"/>
  <c r="I381" i="11"/>
  <c r="K380" i="11"/>
  <c r="J381" i="11"/>
  <c r="G428" i="4"/>
  <c r="E428" i="4"/>
  <c r="F428" i="4" s="1"/>
  <c r="H428" i="4"/>
  <c r="I427" i="4"/>
  <c r="C430" i="4"/>
  <c r="D429" i="4"/>
  <c r="K381" i="11" l="1"/>
  <c r="J382" i="11"/>
  <c r="H383" i="11"/>
  <c r="I382" i="11"/>
  <c r="I428" i="4"/>
  <c r="G429" i="4"/>
  <c r="E429" i="4"/>
  <c r="F429" i="4" s="1"/>
  <c r="H429" i="4"/>
  <c r="C431" i="4"/>
  <c r="D430" i="4"/>
  <c r="K382" i="11" l="1"/>
  <c r="J383" i="11"/>
  <c r="H384" i="11"/>
  <c r="I383" i="11"/>
  <c r="I429" i="4"/>
  <c r="G430" i="4"/>
  <c r="E430" i="4"/>
  <c r="F430" i="4" s="1"/>
  <c r="H430" i="4"/>
  <c r="C432" i="4"/>
  <c r="D431" i="4"/>
  <c r="K383" i="11" l="1"/>
  <c r="J384" i="11"/>
  <c r="H385" i="11"/>
  <c r="I384" i="11"/>
  <c r="I430" i="4"/>
  <c r="E431" i="4"/>
  <c r="F431" i="4" s="1"/>
  <c r="G431" i="4"/>
  <c r="H431" i="4"/>
  <c r="C433" i="4"/>
  <c r="D432" i="4"/>
  <c r="H386" i="11" l="1"/>
  <c r="I385" i="11"/>
  <c r="K384" i="11"/>
  <c r="J385" i="11"/>
  <c r="I431" i="4"/>
  <c r="G432" i="4"/>
  <c r="E432" i="4"/>
  <c r="F432" i="4" s="1"/>
  <c r="H432" i="4"/>
  <c r="C434" i="4"/>
  <c r="D433" i="4"/>
  <c r="K385" i="11" l="1"/>
  <c r="J386" i="11"/>
  <c r="H387" i="11"/>
  <c r="I386" i="11"/>
  <c r="I432" i="4"/>
  <c r="E433" i="4"/>
  <c r="F433" i="4" s="1"/>
  <c r="G433" i="4"/>
  <c r="H433" i="4"/>
  <c r="C435" i="4"/>
  <c r="D434" i="4"/>
  <c r="K386" i="11" l="1"/>
  <c r="J387" i="11"/>
  <c r="H388" i="11"/>
  <c r="I387" i="11"/>
  <c r="G434" i="4"/>
  <c r="E434" i="4"/>
  <c r="F434" i="4" s="1"/>
  <c r="H434" i="4" s="1"/>
  <c r="C436" i="4"/>
  <c r="D435" i="4"/>
  <c r="I433" i="4"/>
  <c r="K387" i="11" l="1"/>
  <c r="J388" i="11"/>
  <c r="I388" i="11"/>
  <c r="H389" i="11"/>
  <c r="C437" i="4"/>
  <c r="D436" i="4"/>
  <c r="E435" i="4"/>
  <c r="F435" i="4" s="1"/>
  <c r="G435" i="4"/>
  <c r="H435" i="4"/>
  <c r="I434" i="4"/>
  <c r="I389" i="11" l="1"/>
  <c r="H390" i="11"/>
  <c r="K388" i="11"/>
  <c r="J389" i="11"/>
  <c r="I435" i="4"/>
  <c r="G436" i="4"/>
  <c r="E436" i="4"/>
  <c r="F436" i="4" s="1"/>
  <c r="H436" i="4"/>
  <c r="C438" i="4"/>
  <c r="D437" i="4"/>
  <c r="H391" i="11" l="1"/>
  <c r="I390" i="11"/>
  <c r="K389" i="11"/>
  <c r="J390" i="11"/>
  <c r="I436" i="4"/>
  <c r="C439" i="4"/>
  <c r="D438" i="4"/>
  <c r="E437" i="4"/>
  <c r="F437" i="4" s="1"/>
  <c r="G437" i="4"/>
  <c r="H437" i="4"/>
  <c r="K390" i="11" l="1"/>
  <c r="J391" i="11"/>
  <c r="H392" i="11"/>
  <c r="I391" i="11"/>
  <c r="I437" i="4"/>
  <c r="G438" i="4"/>
  <c r="E438" i="4"/>
  <c r="F438" i="4" s="1"/>
  <c r="H438" i="4"/>
  <c r="C440" i="4"/>
  <c r="D439" i="4"/>
  <c r="H393" i="11" l="1"/>
  <c r="I392" i="11"/>
  <c r="K391" i="11"/>
  <c r="J392" i="11"/>
  <c r="I438" i="4"/>
  <c r="E439" i="4"/>
  <c r="F439" i="4" s="1"/>
  <c r="G439" i="4"/>
  <c r="H439" i="4"/>
  <c r="C441" i="4"/>
  <c r="D440" i="4"/>
  <c r="K392" i="11" l="1"/>
  <c r="J393" i="11"/>
  <c r="I393" i="11"/>
  <c r="H394" i="11"/>
  <c r="I439" i="4"/>
  <c r="G440" i="4"/>
  <c r="H440" i="4"/>
  <c r="E440" i="4"/>
  <c r="F440" i="4" s="1"/>
  <c r="C442" i="4"/>
  <c r="D441" i="4"/>
  <c r="H395" i="11" l="1"/>
  <c r="I394" i="11"/>
  <c r="K393" i="11"/>
  <c r="J394" i="11"/>
  <c r="E441" i="4"/>
  <c r="F441" i="4" s="1"/>
  <c r="H441" i="4"/>
  <c r="G441" i="4"/>
  <c r="C443" i="4"/>
  <c r="D442" i="4"/>
  <c r="I440" i="4"/>
  <c r="K394" i="11" l="1"/>
  <c r="J395" i="11"/>
  <c r="I395" i="11"/>
  <c r="H396" i="11"/>
  <c r="I441" i="4"/>
  <c r="C444" i="4"/>
  <c r="D443" i="4"/>
  <c r="E442" i="4"/>
  <c r="F442" i="4" s="1"/>
  <c r="G442" i="4"/>
  <c r="H442" i="4"/>
  <c r="H397" i="11" l="1"/>
  <c r="I396" i="11"/>
  <c r="K395" i="11"/>
  <c r="J396" i="11"/>
  <c r="I442" i="4"/>
  <c r="E443" i="4"/>
  <c r="F443" i="4" s="1"/>
  <c r="G443" i="4"/>
  <c r="H443" i="4"/>
  <c r="C445" i="4"/>
  <c r="D444" i="4"/>
  <c r="K396" i="11" l="1"/>
  <c r="J397" i="11"/>
  <c r="H398" i="11"/>
  <c r="I397" i="11"/>
  <c r="C446" i="4"/>
  <c r="D445" i="4"/>
  <c r="I443" i="4"/>
  <c r="E444" i="4"/>
  <c r="F444" i="4" s="1"/>
  <c r="H444" i="4"/>
  <c r="G444" i="4"/>
  <c r="K397" i="11" l="1"/>
  <c r="J398" i="11"/>
  <c r="I398" i="11"/>
  <c r="H399" i="11"/>
  <c r="I444" i="4"/>
  <c r="E445" i="4"/>
  <c r="F445" i="4" s="1"/>
  <c r="G445" i="4"/>
  <c r="H445" i="4"/>
  <c r="C447" i="4"/>
  <c r="D446" i="4"/>
  <c r="K398" i="11" l="1"/>
  <c r="J399" i="11"/>
  <c r="I399" i="11"/>
  <c r="H400" i="11"/>
  <c r="I445" i="4"/>
  <c r="G446" i="4"/>
  <c r="E446" i="4"/>
  <c r="F446" i="4" s="1"/>
  <c r="H446" i="4"/>
  <c r="C448" i="4"/>
  <c r="D447" i="4"/>
  <c r="H401" i="11" l="1"/>
  <c r="I400" i="11"/>
  <c r="K399" i="11"/>
  <c r="J400" i="11"/>
  <c r="I446" i="4"/>
  <c r="E447" i="4"/>
  <c r="F447" i="4" s="1"/>
  <c r="G447" i="4"/>
  <c r="H447" i="4"/>
  <c r="C449" i="4"/>
  <c r="D448" i="4"/>
  <c r="K400" i="11" l="1"/>
  <c r="J401" i="11"/>
  <c r="I401" i="11"/>
  <c r="H402" i="11"/>
  <c r="I447" i="4"/>
  <c r="G448" i="4"/>
  <c r="E448" i="4"/>
  <c r="F448" i="4" s="1"/>
  <c r="H448" i="4"/>
  <c r="C450" i="4"/>
  <c r="D449" i="4"/>
  <c r="H403" i="11" l="1"/>
  <c r="I402" i="11"/>
  <c r="K401" i="11"/>
  <c r="J402" i="11"/>
  <c r="E449" i="4"/>
  <c r="F449" i="4" s="1"/>
  <c r="H449" i="4"/>
  <c r="G449" i="4"/>
  <c r="C451" i="4"/>
  <c r="D450" i="4"/>
  <c r="I448" i="4"/>
  <c r="K402" i="11" l="1"/>
  <c r="J403" i="11"/>
  <c r="I403" i="11"/>
  <c r="H404" i="11"/>
  <c r="C452" i="4"/>
  <c r="D451" i="4"/>
  <c r="G450" i="4"/>
  <c r="H450" i="4"/>
  <c r="E450" i="4"/>
  <c r="F450" i="4" s="1"/>
  <c r="I449" i="4"/>
  <c r="H405" i="11" l="1"/>
  <c r="I404" i="11"/>
  <c r="K403" i="11"/>
  <c r="J404" i="11"/>
  <c r="I450" i="4"/>
  <c r="E451" i="4"/>
  <c r="F451" i="4" s="1"/>
  <c r="G451" i="4"/>
  <c r="H451" i="4"/>
  <c r="C453" i="4"/>
  <c r="D452" i="4"/>
  <c r="K404" i="11" l="1"/>
  <c r="J405" i="11"/>
  <c r="H406" i="11"/>
  <c r="I405" i="11"/>
  <c r="I451" i="4"/>
  <c r="C454" i="4"/>
  <c r="D453" i="4"/>
  <c r="G452" i="4"/>
  <c r="E452" i="4"/>
  <c r="F452" i="4" s="1"/>
  <c r="H452" i="4"/>
  <c r="K405" i="11" l="1"/>
  <c r="J406" i="11"/>
  <c r="H407" i="11"/>
  <c r="I406" i="11"/>
  <c r="I452" i="4"/>
  <c r="E453" i="4"/>
  <c r="F453" i="4" s="1"/>
  <c r="G453" i="4"/>
  <c r="H453" i="4"/>
  <c r="C455" i="4"/>
  <c r="D454" i="4"/>
  <c r="K406" i="11" l="1"/>
  <c r="J407" i="11"/>
  <c r="H408" i="11"/>
  <c r="I407" i="11"/>
  <c r="I453" i="4"/>
  <c r="C456" i="4"/>
  <c r="D455" i="4"/>
  <c r="G454" i="4"/>
  <c r="H454" i="4"/>
  <c r="E454" i="4"/>
  <c r="F454" i="4" s="1"/>
  <c r="K407" i="11" l="1"/>
  <c r="J408" i="11"/>
  <c r="H409" i="11"/>
  <c r="I408" i="11"/>
  <c r="I454" i="4"/>
  <c r="E455" i="4"/>
  <c r="F455" i="4" s="1"/>
  <c r="G455" i="4"/>
  <c r="H455" i="4"/>
  <c r="C457" i="4"/>
  <c r="D456" i="4"/>
  <c r="K408" i="11" l="1"/>
  <c r="J409" i="11"/>
  <c r="H410" i="11"/>
  <c r="I409" i="11"/>
  <c r="I455" i="4"/>
  <c r="C458" i="4"/>
  <c r="D457" i="4"/>
  <c r="G456" i="4"/>
  <c r="E456" i="4"/>
  <c r="F456" i="4" s="1"/>
  <c r="H456" i="4"/>
  <c r="I410" i="11" l="1"/>
  <c r="H411" i="11"/>
  <c r="K409" i="11"/>
  <c r="J410" i="11"/>
  <c r="E457" i="4"/>
  <c r="F457" i="4" s="1"/>
  <c r="G457" i="4"/>
  <c r="H457" i="4"/>
  <c r="I456" i="4"/>
  <c r="C459" i="4"/>
  <c r="D458" i="4"/>
  <c r="H412" i="11" l="1"/>
  <c r="I411" i="11"/>
  <c r="K410" i="11"/>
  <c r="J411" i="11"/>
  <c r="C460" i="4"/>
  <c r="D459" i="4"/>
  <c r="I457" i="4"/>
  <c r="E458" i="4"/>
  <c r="F458" i="4" s="1"/>
  <c r="H458" i="4" s="1"/>
  <c r="G458" i="4"/>
  <c r="K411" i="11" l="1"/>
  <c r="J412" i="11"/>
  <c r="H413" i="11"/>
  <c r="I412" i="11"/>
  <c r="I458" i="4"/>
  <c r="E459" i="4"/>
  <c r="F459" i="4" s="1"/>
  <c r="H459" i="4"/>
  <c r="G459" i="4"/>
  <c r="C461" i="4"/>
  <c r="D460" i="4"/>
  <c r="K412" i="11" l="1"/>
  <c r="J413" i="11"/>
  <c r="I413" i="11"/>
  <c r="H414" i="11"/>
  <c r="I459" i="4"/>
  <c r="E460" i="4"/>
  <c r="F460" i="4" s="1"/>
  <c r="H460" i="4" s="1"/>
  <c r="G460" i="4"/>
  <c r="C462" i="4"/>
  <c r="D461" i="4"/>
  <c r="I414" i="11" l="1"/>
  <c r="H415" i="11"/>
  <c r="K413" i="11"/>
  <c r="J414" i="11"/>
  <c r="I460" i="4"/>
  <c r="E461" i="4"/>
  <c r="F461" i="4" s="1"/>
  <c r="H461" i="4" s="1"/>
  <c r="G461" i="4"/>
  <c r="C463" i="4"/>
  <c r="D462" i="4"/>
  <c r="I415" i="11" l="1"/>
  <c r="H416" i="11"/>
  <c r="K414" i="11"/>
  <c r="J415" i="11"/>
  <c r="I461" i="4"/>
  <c r="E462" i="4"/>
  <c r="F462" i="4" s="1"/>
  <c r="H462" i="4" s="1"/>
  <c r="G462" i="4"/>
  <c r="C464" i="4"/>
  <c r="D463" i="4"/>
  <c r="H417" i="11" l="1"/>
  <c r="I416" i="11"/>
  <c r="K415" i="11"/>
  <c r="J416" i="11"/>
  <c r="I462" i="4"/>
  <c r="E463" i="4"/>
  <c r="F463" i="4" s="1"/>
  <c r="H463" i="4"/>
  <c r="G463" i="4"/>
  <c r="C465" i="4"/>
  <c r="D464" i="4"/>
  <c r="K416" i="11" l="1"/>
  <c r="J417" i="11"/>
  <c r="I417" i="11"/>
  <c r="H418" i="11"/>
  <c r="I463" i="4"/>
  <c r="E464" i="4"/>
  <c r="F464" i="4" s="1"/>
  <c r="H464" i="4" s="1"/>
  <c r="G464" i="4"/>
  <c r="C466" i="4"/>
  <c r="D465" i="4"/>
  <c r="K417" i="11" l="1"/>
  <c r="J418" i="11"/>
  <c r="H419" i="11"/>
  <c r="I418" i="11"/>
  <c r="I464" i="4"/>
  <c r="E465" i="4"/>
  <c r="F465" i="4" s="1"/>
  <c r="H465" i="4"/>
  <c r="G465" i="4"/>
  <c r="C467" i="4"/>
  <c r="D466" i="4"/>
  <c r="H420" i="11" l="1"/>
  <c r="I419" i="11"/>
  <c r="K418" i="11"/>
  <c r="J419" i="11"/>
  <c r="I465" i="4"/>
  <c r="E466" i="4"/>
  <c r="F466" i="4" s="1"/>
  <c r="G466" i="4"/>
  <c r="H466" i="4"/>
  <c r="C468" i="4"/>
  <c r="D467" i="4"/>
  <c r="K419" i="11" l="1"/>
  <c r="J420" i="11"/>
  <c r="I420" i="11"/>
  <c r="H421" i="11"/>
  <c r="I466" i="4"/>
  <c r="E467" i="4"/>
  <c r="F467" i="4" s="1"/>
  <c r="G467" i="4"/>
  <c r="H467" i="4"/>
  <c r="C469" i="4"/>
  <c r="D468" i="4"/>
  <c r="K420" i="11" l="1"/>
  <c r="J421" i="11"/>
  <c r="H422" i="11"/>
  <c r="I421" i="11"/>
  <c r="C470" i="4"/>
  <c r="D469" i="4"/>
  <c r="I467" i="4"/>
  <c r="G468" i="4"/>
  <c r="E468" i="4"/>
  <c r="F468" i="4" s="1"/>
  <c r="H468" i="4"/>
  <c r="K421" i="11" l="1"/>
  <c r="J422" i="11"/>
  <c r="H423" i="11"/>
  <c r="I422" i="11"/>
  <c r="I468" i="4"/>
  <c r="E469" i="4"/>
  <c r="F469" i="4" s="1"/>
  <c r="G469" i="4"/>
  <c r="H469" i="4"/>
  <c r="C471" i="4"/>
  <c r="D470" i="4"/>
  <c r="K422" i="11" l="1"/>
  <c r="J423" i="11"/>
  <c r="I423" i="11"/>
  <c r="H424" i="11"/>
  <c r="I469" i="4"/>
  <c r="G470" i="4"/>
  <c r="E470" i="4"/>
  <c r="F470" i="4" s="1"/>
  <c r="H470" i="4" s="1"/>
  <c r="C472" i="4"/>
  <c r="D471" i="4"/>
  <c r="K423" i="11" l="1"/>
  <c r="J424" i="11"/>
  <c r="I424" i="11"/>
  <c r="H425" i="11"/>
  <c r="I470" i="4"/>
  <c r="E471" i="4"/>
  <c r="F471" i="4" s="1"/>
  <c r="G471" i="4"/>
  <c r="H471" i="4"/>
  <c r="C473" i="4"/>
  <c r="D472" i="4"/>
  <c r="I425" i="11" l="1"/>
  <c r="H426" i="11"/>
  <c r="K424" i="11"/>
  <c r="J425" i="11"/>
  <c r="I471" i="4"/>
  <c r="G472" i="4"/>
  <c r="E472" i="4"/>
  <c r="F472" i="4" s="1"/>
  <c r="H472" i="4" s="1"/>
  <c r="C474" i="4"/>
  <c r="D473" i="4"/>
  <c r="I426" i="11" l="1"/>
  <c r="H427" i="11"/>
  <c r="K425" i="11"/>
  <c r="J426" i="11"/>
  <c r="E473" i="4"/>
  <c r="F473" i="4" s="1"/>
  <c r="H473" i="4"/>
  <c r="G473" i="4"/>
  <c r="C475" i="4"/>
  <c r="D474" i="4"/>
  <c r="I472" i="4"/>
  <c r="H428" i="11" l="1"/>
  <c r="I427" i="11"/>
  <c r="K426" i="11"/>
  <c r="J427" i="11"/>
  <c r="C476" i="4"/>
  <c r="D475" i="4"/>
  <c r="G474" i="4"/>
  <c r="E474" i="4"/>
  <c r="F474" i="4" s="1"/>
  <c r="H474" i="4"/>
  <c r="I473" i="4"/>
  <c r="K427" i="11" l="1"/>
  <c r="J428" i="11"/>
  <c r="H429" i="11"/>
  <c r="I428" i="11"/>
  <c r="I474" i="4"/>
  <c r="E475" i="4"/>
  <c r="F475" i="4" s="1"/>
  <c r="G475" i="4"/>
  <c r="H475" i="4"/>
  <c r="C477" i="4"/>
  <c r="D476" i="4"/>
  <c r="H430" i="11" l="1"/>
  <c r="I429" i="11"/>
  <c r="K428" i="11"/>
  <c r="J429" i="11"/>
  <c r="G476" i="4"/>
  <c r="H476" i="4"/>
  <c r="E476" i="4"/>
  <c r="F476" i="4" s="1"/>
  <c r="C478" i="4"/>
  <c r="D477" i="4"/>
  <c r="I475" i="4"/>
  <c r="K429" i="11" l="1"/>
  <c r="J430" i="11"/>
  <c r="H431" i="11"/>
  <c r="I430" i="11"/>
  <c r="I476" i="4"/>
  <c r="E477" i="4"/>
  <c r="F477" i="4" s="1"/>
  <c r="G477" i="4"/>
  <c r="H477" i="4"/>
  <c r="C479" i="4"/>
  <c r="D478" i="4"/>
  <c r="I431" i="11" l="1"/>
  <c r="H432" i="11"/>
  <c r="K430" i="11"/>
  <c r="J431" i="11"/>
  <c r="I477" i="4"/>
  <c r="C480" i="4"/>
  <c r="D479" i="4"/>
  <c r="G478" i="4"/>
  <c r="E478" i="4"/>
  <c r="F478" i="4" s="1"/>
  <c r="H478" i="4"/>
  <c r="H433" i="11" l="1"/>
  <c r="I432" i="11"/>
  <c r="K431" i="11"/>
  <c r="J432" i="11"/>
  <c r="I478" i="4"/>
  <c r="E479" i="4"/>
  <c r="F479" i="4" s="1"/>
  <c r="G479" i="4"/>
  <c r="H479" i="4"/>
  <c r="C481" i="4"/>
  <c r="D480" i="4"/>
  <c r="K432" i="11" l="1"/>
  <c r="J433" i="11"/>
  <c r="I433" i="11"/>
  <c r="H434" i="11"/>
  <c r="I479" i="4"/>
  <c r="G480" i="4"/>
  <c r="E480" i="4"/>
  <c r="F480" i="4" s="1"/>
  <c r="H480" i="4"/>
  <c r="C482" i="4"/>
  <c r="D481" i="4"/>
  <c r="H435" i="11" l="1"/>
  <c r="I434" i="11"/>
  <c r="K433" i="11"/>
  <c r="J434" i="11"/>
  <c r="I480" i="4"/>
  <c r="E481" i="4"/>
  <c r="F481" i="4" s="1"/>
  <c r="H481" i="4"/>
  <c r="G481" i="4"/>
  <c r="C483" i="4"/>
  <c r="D482" i="4"/>
  <c r="K434" i="11" l="1"/>
  <c r="J435" i="11"/>
  <c r="H436" i="11"/>
  <c r="I435" i="11"/>
  <c r="C484" i="4"/>
  <c r="D483" i="4"/>
  <c r="G482" i="4"/>
  <c r="H482" i="4"/>
  <c r="E482" i="4"/>
  <c r="F482" i="4" s="1"/>
  <c r="I481" i="4"/>
  <c r="I436" i="11" l="1"/>
  <c r="H437" i="11"/>
  <c r="K435" i="11"/>
  <c r="J436" i="11"/>
  <c r="I482" i="4"/>
  <c r="E483" i="4"/>
  <c r="F483" i="4" s="1"/>
  <c r="G483" i="4"/>
  <c r="H483" i="4"/>
  <c r="C485" i="4"/>
  <c r="D484" i="4"/>
  <c r="I437" i="11" l="1"/>
  <c r="H438" i="11"/>
  <c r="K436" i="11"/>
  <c r="J437" i="11"/>
  <c r="I483" i="4"/>
  <c r="G484" i="4"/>
  <c r="E484" i="4"/>
  <c r="F484" i="4" s="1"/>
  <c r="H484" i="4"/>
  <c r="C486" i="4"/>
  <c r="D485" i="4"/>
  <c r="H439" i="11" l="1"/>
  <c r="I438" i="11"/>
  <c r="K437" i="11"/>
  <c r="J438" i="11"/>
  <c r="I484" i="4"/>
  <c r="E485" i="4"/>
  <c r="F485" i="4" s="1"/>
  <c r="G485" i="4"/>
  <c r="H485" i="4"/>
  <c r="C487" i="4"/>
  <c r="D486" i="4"/>
  <c r="K438" i="11" l="1"/>
  <c r="J439" i="11"/>
  <c r="I439" i="11"/>
  <c r="H440" i="11"/>
  <c r="I485" i="4"/>
  <c r="G486" i="4"/>
  <c r="E486" i="4"/>
  <c r="F486" i="4" s="1"/>
  <c r="H486" i="4"/>
  <c r="C488" i="4"/>
  <c r="D487" i="4"/>
  <c r="I440" i="11" l="1"/>
  <c r="H441" i="11"/>
  <c r="K439" i="11"/>
  <c r="J440" i="11"/>
  <c r="I486" i="4"/>
  <c r="E487" i="4"/>
  <c r="F487" i="4" s="1"/>
  <c r="G487" i="4"/>
  <c r="H487" i="4"/>
  <c r="C489" i="4"/>
  <c r="D488" i="4"/>
  <c r="I441" i="11" l="1"/>
  <c r="H442" i="11"/>
  <c r="K440" i="11"/>
  <c r="J441" i="11"/>
  <c r="I487" i="4"/>
  <c r="G488" i="4"/>
  <c r="H488" i="4"/>
  <c r="E488" i="4"/>
  <c r="F488" i="4" s="1"/>
  <c r="C490" i="4"/>
  <c r="D489" i="4"/>
  <c r="H443" i="11" l="1"/>
  <c r="I442" i="11"/>
  <c r="K441" i="11"/>
  <c r="J442" i="11"/>
  <c r="C491" i="4"/>
  <c r="D490" i="4"/>
  <c r="E489" i="4"/>
  <c r="F489" i="4" s="1"/>
  <c r="G489" i="4"/>
  <c r="H489" i="4"/>
  <c r="I488" i="4"/>
  <c r="K442" i="11" l="1"/>
  <c r="J443" i="11"/>
  <c r="H444" i="11"/>
  <c r="I443" i="11"/>
  <c r="G490" i="4"/>
  <c r="E490" i="4"/>
  <c r="F490" i="4" s="1"/>
  <c r="H490" i="4"/>
  <c r="I489" i="4"/>
  <c r="C492" i="4"/>
  <c r="D491" i="4"/>
  <c r="K443" i="11" l="1"/>
  <c r="J444" i="11"/>
  <c r="I444" i="11"/>
  <c r="H445" i="11"/>
  <c r="I490" i="4"/>
  <c r="E491" i="4"/>
  <c r="F491" i="4" s="1"/>
  <c r="G491" i="4"/>
  <c r="H491" i="4"/>
  <c r="C493" i="4"/>
  <c r="D492" i="4"/>
  <c r="K444" i="11" l="1"/>
  <c r="J445" i="11"/>
  <c r="I445" i="11"/>
  <c r="H446" i="11"/>
  <c r="I491" i="4"/>
  <c r="C494" i="4"/>
  <c r="D493" i="4"/>
  <c r="G492" i="4"/>
  <c r="H492" i="4"/>
  <c r="E492" i="4"/>
  <c r="F492" i="4" s="1"/>
  <c r="I446" i="11" l="1"/>
  <c r="H447" i="11"/>
  <c r="K445" i="11"/>
  <c r="J446" i="11"/>
  <c r="I492" i="4"/>
  <c r="E493" i="4"/>
  <c r="F493" i="4" s="1"/>
  <c r="G493" i="4"/>
  <c r="H493" i="4"/>
  <c r="C495" i="4"/>
  <c r="D494" i="4"/>
  <c r="I447" i="11" l="1"/>
  <c r="H448" i="11"/>
  <c r="K446" i="11"/>
  <c r="J447" i="11"/>
  <c r="I493" i="4"/>
  <c r="G494" i="4"/>
  <c r="E494" i="4"/>
  <c r="F494" i="4" s="1"/>
  <c r="H494" i="4"/>
  <c r="C496" i="4"/>
  <c r="D495" i="4"/>
  <c r="I448" i="11" l="1"/>
  <c r="H449" i="11"/>
  <c r="K447" i="11"/>
  <c r="J448" i="11"/>
  <c r="I494" i="4"/>
  <c r="E495" i="4"/>
  <c r="F495" i="4" s="1"/>
  <c r="G495" i="4"/>
  <c r="H495" i="4"/>
  <c r="C497" i="4"/>
  <c r="D496" i="4"/>
  <c r="I449" i="11" l="1"/>
  <c r="H450" i="11"/>
  <c r="K448" i="11"/>
  <c r="J449" i="11"/>
  <c r="I495" i="4"/>
  <c r="G496" i="4"/>
  <c r="E496" i="4"/>
  <c r="F496" i="4" s="1"/>
  <c r="H496" i="4" s="1"/>
  <c r="C498" i="4"/>
  <c r="D497" i="4"/>
  <c r="I450" i="11" l="1"/>
  <c r="H451" i="11"/>
  <c r="K449" i="11"/>
  <c r="J450" i="11"/>
  <c r="E497" i="4"/>
  <c r="F497" i="4" s="1"/>
  <c r="H497" i="4" s="1"/>
  <c r="G497" i="4"/>
  <c r="C499" i="4"/>
  <c r="D498" i="4"/>
  <c r="I496" i="4"/>
  <c r="H452" i="11" l="1"/>
  <c r="I451" i="11"/>
  <c r="K450" i="11"/>
  <c r="J451" i="11"/>
  <c r="E498" i="4"/>
  <c r="F498" i="4" s="1"/>
  <c r="H498" i="4"/>
  <c r="G498" i="4"/>
  <c r="C500" i="4"/>
  <c r="D499" i="4"/>
  <c r="I497" i="4"/>
  <c r="K451" i="11" l="1"/>
  <c r="J452" i="11"/>
  <c r="I452" i="11"/>
  <c r="H453" i="11"/>
  <c r="I498" i="4"/>
  <c r="E499" i="4"/>
  <c r="F499" i="4" s="1"/>
  <c r="H499" i="4"/>
  <c r="G499" i="4"/>
  <c r="C501" i="4"/>
  <c r="D500" i="4"/>
  <c r="H454" i="11" l="1"/>
  <c r="I453" i="11"/>
  <c r="K452" i="11"/>
  <c r="J453" i="11"/>
  <c r="I499" i="4"/>
  <c r="E500" i="4"/>
  <c r="F500" i="4" s="1"/>
  <c r="H500" i="4" s="1"/>
  <c r="G500" i="4"/>
  <c r="C502" i="4"/>
  <c r="D501" i="4"/>
  <c r="K453" i="11" l="1"/>
  <c r="J454" i="11"/>
  <c r="I454" i="11"/>
  <c r="H455" i="11"/>
  <c r="I500" i="4"/>
  <c r="E501" i="4"/>
  <c r="F501" i="4" s="1"/>
  <c r="H501" i="4"/>
  <c r="G501" i="4"/>
  <c r="C503" i="4"/>
  <c r="D502" i="4"/>
  <c r="K454" i="11" l="1"/>
  <c r="J455" i="11"/>
  <c r="H456" i="11"/>
  <c r="I455" i="11"/>
  <c r="I501" i="4"/>
  <c r="G502" i="4"/>
  <c r="E502" i="4"/>
  <c r="F502" i="4" s="1"/>
  <c r="H502" i="4" s="1"/>
  <c r="C504" i="4"/>
  <c r="D503" i="4"/>
  <c r="K455" i="11" l="1"/>
  <c r="J456" i="11"/>
  <c r="H457" i="11"/>
  <c r="I456" i="11"/>
  <c r="I502" i="4"/>
  <c r="C505" i="4"/>
  <c r="D504" i="4"/>
  <c r="E503" i="4"/>
  <c r="F503" i="4" s="1"/>
  <c r="H503" i="4"/>
  <c r="G503" i="4"/>
  <c r="K456" i="11" l="1"/>
  <c r="J457" i="11"/>
  <c r="I457" i="11"/>
  <c r="H458" i="11"/>
  <c r="I503" i="4"/>
  <c r="E504" i="4"/>
  <c r="F504" i="4" s="1"/>
  <c r="H504" i="4" s="1"/>
  <c r="G504" i="4"/>
  <c r="C506" i="4"/>
  <c r="D505" i="4"/>
  <c r="I458" i="11" l="1"/>
  <c r="H459" i="11"/>
  <c r="K457" i="11"/>
  <c r="J458" i="11"/>
  <c r="I504" i="4"/>
  <c r="E505" i="4"/>
  <c r="F505" i="4" s="1"/>
  <c r="H505" i="4"/>
  <c r="G505" i="4"/>
  <c r="C507" i="4"/>
  <c r="D506" i="4"/>
  <c r="H460" i="11" l="1"/>
  <c r="I459" i="11"/>
  <c r="K458" i="11"/>
  <c r="J459" i="11"/>
  <c r="I505" i="4"/>
  <c r="E506" i="4"/>
  <c r="F506" i="4" s="1"/>
  <c r="H506" i="4" s="1"/>
  <c r="G506" i="4"/>
  <c r="C508" i="4"/>
  <c r="D507" i="4"/>
  <c r="K459" i="11" l="1"/>
  <c r="J460" i="11"/>
  <c r="H461" i="11"/>
  <c r="I460" i="11"/>
  <c r="I506" i="4"/>
  <c r="E507" i="4"/>
  <c r="F507" i="4" s="1"/>
  <c r="G507" i="4"/>
  <c r="H507" i="4"/>
  <c r="C509" i="4"/>
  <c r="D508" i="4"/>
  <c r="I461" i="11" l="1"/>
  <c r="H462" i="11"/>
  <c r="K460" i="11"/>
  <c r="J461" i="11"/>
  <c r="I507" i="4"/>
  <c r="G508" i="4"/>
  <c r="E508" i="4"/>
  <c r="F508" i="4" s="1"/>
  <c r="H508" i="4" s="1"/>
  <c r="C510" i="4"/>
  <c r="D509" i="4"/>
  <c r="I462" i="11" l="1"/>
  <c r="H463" i="11"/>
  <c r="K461" i="11"/>
  <c r="J462" i="11"/>
  <c r="I508" i="4"/>
  <c r="C511" i="4"/>
  <c r="D510" i="4"/>
  <c r="E509" i="4"/>
  <c r="F509" i="4" s="1"/>
  <c r="G509" i="4"/>
  <c r="H509" i="4"/>
  <c r="H464" i="11" l="1"/>
  <c r="I463" i="11"/>
  <c r="K462" i="11"/>
  <c r="J463" i="11"/>
  <c r="I509" i="4"/>
  <c r="G510" i="4"/>
  <c r="E510" i="4"/>
  <c r="F510" i="4" s="1"/>
  <c r="H510" i="4" s="1"/>
  <c r="C512" i="4"/>
  <c r="D511" i="4"/>
  <c r="K463" i="11" l="1"/>
  <c r="J464" i="11"/>
  <c r="H465" i="11"/>
  <c r="I464" i="11"/>
  <c r="I510" i="4"/>
  <c r="E511" i="4"/>
  <c r="F511" i="4" s="1"/>
  <c r="G511" i="4"/>
  <c r="H511" i="4"/>
  <c r="C513" i="4"/>
  <c r="D512" i="4"/>
  <c r="K464" i="11" l="1"/>
  <c r="J465" i="11"/>
  <c r="I465" i="11"/>
  <c r="H466" i="11"/>
  <c r="I511" i="4"/>
  <c r="C514" i="4"/>
  <c r="D513" i="4"/>
  <c r="G512" i="4"/>
  <c r="E512" i="4"/>
  <c r="F512" i="4" s="1"/>
  <c r="H512" i="4"/>
  <c r="H467" i="11" l="1"/>
  <c r="I466" i="11"/>
  <c r="K465" i="11"/>
  <c r="J466" i="11"/>
  <c r="E513" i="4"/>
  <c r="F513" i="4" s="1"/>
  <c r="H513" i="4"/>
  <c r="G513" i="4"/>
  <c r="I512" i="4"/>
  <c r="C515" i="4"/>
  <c r="D514" i="4"/>
  <c r="K466" i="11" l="1"/>
  <c r="J467" i="11"/>
  <c r="I467" i="11"/>
  <c r="H468" i="11"/>
  <c r="G514" i="4"/>
  <c r="H514" i="4"/>
  <c r="E514" i="4"/>
  <c r="F514" i="4" s="1"/>
  <c r="C516" i="4"/>
  <c r="D515" i="4"/>
  <c r="I513" i="4"/>
  <c r="I468" i="11" l="1"/>
  <c r="H469" i="11"/>
  <c r="K467" i="11"/>
  <c r="J468" i="11"/>
  <c r="I514" i="4"/>
  <c r="C517" i="4"/>
  <c r="D516" i="4"/>
  <c r="E515" i="4"/>
  <c r="F515" i="4" s="1"/>
  <c r="G515" i="4"/>
  <c r="H515" i="4"/>
  <c r="H470" i="11" l="1"/>
  <c r="I469" i="11"/>
  <c r="K468" i="11"/>
  <c r="J469" i="11"/>
  <c r="I515" i="4"/>
  <c r="G516" i="4"/>
  <c r="E516" i="4"/>
  <c r="F516" i="4" s="1"/>
  <c r="H516" i="4"/>
  <c r="C518" i="4"/>
  <c r="D517" i="4"/>
  <c r="K469" i="11" l="1"/>
  <c r="J470" i="11"/>
  <c r="I470" i="11"/>
  <c r="H471" i="11"/>
  <c r="I516" i="4"/>
  <c r="E517" i="4"/>
  <c r="F517" i="4" s="1"/>
  <c r="G517" i="4"/>
  <c r="H517" i="4"/>
  <c r="C519" i="4"/>
  <c r="D518" i="4"/>
  <c r="K470" i="11" l="1"/>
  <c r="J471" i="11"/>
  <c r="H472" i="11"/>
  <c r="I471" i="11"/>
  <c r="I517" i="4"/>
  <c r="G518" i="4"/>
  <c r="H518" i="4"/>
  <c r="E518" i="4"/>
  <c r="F518" i="4" s="1"/>
  <c r="C520" i="4"/>
  <c r="D519" i="4"/>
  <c r="K471" i="11" l="1"/>
  <c r="J472" i="11"/>
  <c r="H473" i="11"/>
  <c r="I472" i="11"/>
  <c r="I518" i="4"/>
  <c r="C521" i="4"/>
  <c r="D520" i="4"/>
  <c r="E519" i="4"/>
  <c r="F519" i="4" s="1"/>
  <c r="G519" i="4"/>
  <c r="H519" i="4"/>
  <c r="I473" i="11" l="1"/>
  <c r="H474" i="11"/>
  <c r="K472" i="11"/>
  <c r="J473" i="11"/>
  <c r="I519" i="4"/>
  <c r="G520" i="4"/>
  <c r="E520" i="4"/>
  <c r="F520" i="4" s="1"/>
  <c r="H520" i="4"/>
  <c r="C522" i="4"/>
  <c r="D521" i="4"/>
  <c r="I474" i="11" l="1"/>
  <c r="H475" i="11"/>
  <c r="K473" i="11"/>
  <c r="J474" i="11"/>
  <c r="E521" i="4"/>
  <c r="F521" i="4" s="1"/>
  <c r="G521" i="4"/>
  <c r="H521" i="4"/>
  <c r="C523" i="4"/>
  <c r="D522" i="4"/>
  <c r="I520" i="4"/>
  <c r="I475" i="11" l="1"/>
  <c r="H476" i="11"/>
  <c r="K474" i="11"/>
  <c r="J475" i="11"/>
  <c r="C524" i="4"/>
  <c r="D523" i="4"/>
  <c r="I521" i="4"/>
  <c r="G522" i="4"/>
  <c r="H522" i="4"/>
  <c r="E522" i="4"/>
  <c r="F522" i="4" s="1"/>
  <c r="I476" i="11" l="1"/>
  <c r="H477" i="11"/>
  <c r="K475" i="11"/>
  <c r="J476" i="11"/>
  <c r="I522" i="4"/>
  <c r="E523" i="4"/>
  <c r="F523" i="4" s="1"/>
  <c r="G523" i="4"/>
  <c r="H523" i="4"/>
  <c r="C525" i="4"/>
  <c r="D524" i="4"/>
  <c r="H478" i="11" l="1"/>
  <c r="I477" i="11"/>
  <c r="K476" i="11"/>
  <c r="J477" i="11"/>
  <c r="I523" i="4"/>
  <c r="C526" i="4"/>
  <c r="D525" i="4"/>
  <c r="G524" i="4"/>
  <c r="H524" i="4"/>
  <c r="E524" i="4"/>
  <c r="F524" i="4" s="1"/>
  <c r="K477" i="11" l="1"/>
  <c r="J478" i="11"/>
  <c r="H479" i="11"/>
  <c r="I478" i="11"/>
  <c r="I524" i="4"/>
  <c r="E525" i="4"/>
  <c r="F525" i="4" s="1"/>
  <c r="G525" i="4"/>
  <c r="H525" i="4"/>
  <c r="C527" i="4"/>
  <c r="D526" i="4"/>
  <c r="H480" i="11" l="1"/>
  <c r="I479" i="11"/>
  <c r="K478" i="11"/>
  <c r="J479" i="11"/>
  <c r="I525" i="4"/>
  <c r="G526" i="4"/>
  <c r="E526" i="4"/>
  <c r="F526" i="4" s="1"/>
  <c r="H526" i="4"/>
  <c r="C528" i="4"/>
  <c r="D527" i="4"/>
  <c r="K479" i="11" l="1"/>
  <c r="J480" i="11"/>
  <c r="I480" i="11"/>
  <c r="H481" i="11"/>
  <c r="I526" i="4"/>
  <c r="E527" i="4"/>
  <c r="F527" i="4" s="1"/>
  <c r="G527" i="4"/>
  <c r="H527" i="4"/>
  <c r="C529" i="4"/>
  <c r="D528" i="4"/>
  <c r="K480" i="11" l="1"/>
  <c r="J481" i="11"/>
  <c r="I481" i="11"/>
  <c r="H482" i="11"/>
  <c r="I527" i="4"/>
  <c r="C530" i="4"/>
  <c r="D529" i="4"/>
  <c r="G528" i="4"/>
  <c r="H528" i="4"/>
  <c r="E528" i="4"/>
  <c r="F528" i="4" s="1"/>
  <c r="I482" i="11" l="1"/>
  <c r="H483" i="11"/>
  <c r="K481" i="11"/>
  <c r="J482" i="11"/>
  <c r="I528" i="4"/>
  <c r="E529" i="4"/>
  <c r="F529" i="4" s="1"/>
  <c r="H529" i="4"/>
  <c r="G529" i="4"/>
  <c r="C531" i="4"/>
  <c r="D530" i="4"/>
  <c r="H484" i="11" l="1"/>
  <c r="I483" i="11"/>
  <c r="K482" i="11"/>
  <c r="J483" i="11"/>
  <c r="C532" i="4"/>
  <c r="D531" i="4"/>
  <c r="G530" i="4"/>
  <c r="H530" i="4"/>
  <c r="E530" i="4"/>
  <c r="F530" i="4" s="1"/>
  <c r="I529" i="4"/>
  <c r="K483" i="11" l="1"/>
  <c r="J484" i="11"/>
  <c r="I484" i="11"/>
  <c r="H485" i="11"/>
  <c r="I530" i="4"/>
  <c r="E531" i="4"/>
  <c r="F531" i="4" s="1"/>
  <c r="G531" i="4"/>
  <c r="H531" i="4"/>
  <c r="C533" i="4"/>
  <c r="D532" i="4"/>
  <c r="K484" i="11" l="1"/>
  <c r="J485" i="11"/>
  <c r="I485" i="11"/>
  <c r="H486" i="11"/>
  <c r="I531" i="4"/>
  <c r="G532" i="4"/>
  <c r="E532" i="4"/>
  <c r="F532" i="4" s="1"/>
  <c r="H532" i="4"/>
  <c r="C534" i="4"/>
  <c r="D533" i="4"/>
  <c r="I486" i="11" l="1"/>
  <c r="H487" i="11"/>
  <c r="K485" i="11"/>
  <c r="J486" i="11"/>
  <c r="I532" i="4"/>
  <c r="E533" i="4"/>
  <c r="F533" i="4" s="1"/>
  <c r="G533" i="4"/>
  <c r="H533" i="4"/>
  <c r="C535" i="4"/>
  <c r="D534" i="4"/>
  <c r="I487" i="11" l="1"/>
  <c r="H488" i="11"/>
  <c r="K486" i="11"/>
  <c r="J487" i="11"/>
  <c r="I533" i="4"/>
  <c r="G534" i="4"/>
  <c r="E534" i="4"/>
  <c r="F534" i="4" s="1"/>
  <c r="H534" i="4"/>
  <c r="C536" i="4"/>
  <c r="D535" i="4"/>
  <c r="H489" i="11" l="1"/>
  <c r="I488" i="11"/>
  <c r="K487" i="11"/>
  <c r="J488" i="11"/>
  <c r="I534" i="4"/>
  <c r="E535" i="4"/>
  <c r="F535" i="4" s="1"/>
  <c r="G535" i="4"/>
  <c r="H535" i="4"/>
  <c r="C537" i="4"/>
  <c r="D536" i="4"/>
  <c r="K488" i="11" l="1"/>
  <c r="J489" i="11"/>
  <c r="I489" i="11"/>
  <c r="H490" i="11"/>
  <c r="I535" i="4"/>
  <c r="C538" i="4"/>
  <c r="D537" i="4"/>
  <c r="G536" i="4"/>
  <c r="E536" i="4"/>
  <c r="F536" i="4" s="1"/>
  <c r="H536" i="4" s="1"/>
  <c r="H491" i="11" l="1"/>
  <c r="I490" i="11"/>
  <c r="K489" i="11"/>
  <c r="J490" i="11"/>
  <c r="E537" i="4"/>
  <c r="F537" i="4" s="1"/>
  <c r="H537" i="4"/>
  <c r="G537" i="4"/>
  <c r="I536" i="4"/>
  <c r="C539" i="4"/>
  <c r="D538" i="4"/>
  <c r="K490" i="11" l="1"/>
  <c r="J491" i="11"/>
  <c r="H492" i="11"/>
  <c r="I491" i="11"/>
  <c r="E538" i="4"/>
  <c r="F538" i="4" s="1"/>
  <c r="H538" i="4" s="1"/>
  <c r="G538" i="4"/>
  <c r="C540" i="4"/>
  <c r="D539" i="4"/>
  <c r="I537" i="4"/>
  <c r="K491" i="11" l="1"/>
  <c r="J492" i="11"/>
  <c r="H493" i="11"/>
  <c r="I492" i="11"/>
  <c r="I538" i="4"/>
  <c r="E539" i="4"/>
  <c r="F539" i="4" s="1"/>
  <c r="H539" i="4"/>
  <c r="G539" i="4"/>
  <c r="C541" i="4"/>
  <c r="D540" i="4"/>
  <c r="K492" i="11" l="1"/>
  <c r="J493" i="11"/>
  <c r="I493" i="11"/>
  <c r="H494" i="11"/>
  <c r="I539" i="4"/>
  <c r="E540" i="4"/>
  <c r="F540" i="4" s="1"/>
  <c r="H540" i="4" s="1"/>
  <c r="G540" i="4"/>
  <c r="C542" i="4"/>
  <c r="D541" i="4"/>
  <c r="I494" i="11" l="1"/>
  <c r="H495" i="11"/>
  <c r="K493" i="11"/>
  <c r="J494" i="11"/>
  <c r="I540" i="4"/>
  <c r="E541" i="4"/>
  <c r="F541" i="4" s="1"/>
  <c r="H541" i="4"/>
  <c r="G541" i="4"/>
  <c r="C543" i="4"/>
  <c r="D542" i="4"/>
  <c r="H496" i="11" l="1"/>
  <c r="I495" i="11"/>
  <c r="K494" i="11"/>
  <c r="J495" i="11"/>
  <c r="I541" i="4"/>
  <c r="E542" i="4"/>
  <c r="F542" i="4" s="1"/>
  <c r="H542" i="4"/>
  <c r="G542" i="4"/>
  <c r="C544" i="4"/>
  <c r="D543" i="4"/>
  <c r="K495" i="11" l="1"/>
  <c r="J496" i="11"/>
  <c r="I496" i="11"/>
  <c r="H497" i="11"/>
  <c r="I542" i="4"/>
  <c r="G543" i="4"/>
  <c r="E543" i="4"/>
  <c r="F543" i="4" s="1"/>
  <c r="H543" i="4" s="1"/>
  <c r="C545" i="4"/>
  <c r="D544" i="4"/>
  <c r="K496" i="11" l="1"/>
  <c r="J497" i="11"/>
  <c r="I497" i="11"/>
  <c r="H498" i="11"/>
  <c r="I543" i="4"/>
  <c r="G544" i="4"/>
  <c r="E544" i="4"/>
  <c r="F544" i="4" s="1"/>
  <c r="H544" i="4" s="1"/>
  <c r="C546" i="4"/>
  <c r="D545" i="4"/>
  <c r="K497" i="11" l="1"/>
  <c r="J498" i="11"/>
  <c r="I498" i="11"/>
  <c r="H499" i="11"/>
  <c r="I544" i="4"/>
  <c r="E545" i="4"/>
  <c r="F545" i="4" s="1"/>
  <c r="H545" i="4"/>
  <c r="G545" i="4"/>
  <c r="C547" i="4"/>
  <c r="D546" i="4"/>
  <c r="K498" i="11" l="1"/>
  <c r="J499" i="11"/>
  <c r="H500" i="11"/>
  <c r="I499" i="11"/>
  <c r="I545" i="4"/>
  <c r="E546" i="4"/>
  <c r="F546" i="4" s="1"/>
  <c r="H546" i="4"/>
  <c r="G546" i="4"/>
  <c r="C548" i="4"/>
  <c r="D547" i="4"/>
  <c r="K499" i="11" l="1"/>
  <c r="J500" i="11"/>
  <c r="I500" i="11"/>
  <c r="H501" i="11"/>
  <c r="I546" i="4"/>
  <c r="G547" i="4"/>
  <c r="E547" i="4"/>
  <c r="F547" i="4" s="1"/>
  <c r="H547" i="4"/>
  <c r="C549" i="4"/>
  <c r="D548" i="4"/>
  <c r="I501" i="11" l="1"/>
  <c r="H502" i="11"/>
  <c r="K500" i="11"/>
  <c r="J501" i="11"/>
  <c r="I547" i="4"/>
  <c r="G548" i="4"/>
  <c r="E548" i="4"/>
  <c r="F548" i="4" s="1"/>
  <c r="H548" i="4" s="1"/>
  <c r="C550" i="4"/>
  <c r="D549" i="4"/>
  <c r="H503" i="11" l="1"/>
  <c r="I502" i="11"/>
  <c r="K501" i="11"/>
  <c r="J502" i="11"/>
  <c r="I548" i="4"/>
  <c r="E549" i="4"/>
  <c r="F549" i="4" s="1"/>
  <c r="G549" i="4"/>
  <c r="H549" i="4"/>
  <c r="C551" i="4"/>
  <c r="D550" i="4"/>
  <c r="K502" i="11" l="1"/>
  <c r="J503" i="11"/>
  <c r="I503" i="11"/>
  <c r="H504" i="11"/>
  <c r="I549" i="4"/>
  <c r="E550" i="4"/>
  <c r="F550" i="4" s="1"/>
  <c r="H550" i="4"/>
  <c r="G550" i="4"/>
  <c r="C552" i="4"/>
  <c r="D551" i="4"/>
  <c r="K503" i="11" l="1"/>
  <c r="J504" i="11"/>
  <c r="I504" i="11"/>
  <c r="H505" i="11"/>
  <c r="C553" i="4"/>
  <c r="D552" i="4"/>
  <c r="G551" i="4"/>
  <c r="E551" i="4"/>
  <c r="F551" i="4" s="1"/>
  <c r="H551" i="4"/>
  <c r="I550" i="4"/>
  <c r="I505" i="11" l="1"/>
  <c r="H506" i="11"/>
  <c r="K504" i="11"/>
  <c r="J505" i="11"/>
  <c r="I551" i="4"/>
  <c r="G552" i="4"/>
  <c r="H552" i="4"/>
  <c r="E552" i="4"/>
  <c r="F552" i="4" s="1"/>
  <c r="C554" i="4"/>
  <c r="D553" i="4"/>
  <c r="I506" i="11" l="1"/>
  <c r="H507" i="11"/>
  <c r="K505" i="11"/>
  <c r="J506" i="11"/>
  <c r="I552" i="4"/>
  <c r="E553" i="4"/>
  <c r="F553" i="4" s="1"/>
  <c r="G553" i="4"/>
  <c r="H553" i="4"/>
  <c r="C555" i="4"/>
  <c r="D554" i="4"/>
  <c r="H508" i="11" l="1"/>
  <c r="I507" i="11"/>
  <c r="K506" i="11"/>
  <c r="J507" i="11"/>
  <c r="I553" i="4"/>
  <c r="E554" i="4"/>
  <c r="F554" i="4" s="1"/>
  <c r="H554" i="4"/>
  <c r="G554" i="4"/>
  <c r="C556" i="4"/>
  <c r="D555" i="4"/>
  <c r="K507" i="11" l="1"/>
  <c r="J508" i="11"/>
  <c r="I508" i="11"/>
  <c r="H509" i="11"/>
  <c r="C557" i="4"/>
  <c r="D556" i="4"/>
  <c r="G555" i="4"/>
  <c r="H555" i="4"/>
  <c r="E555" i="4"/>
  <c r="F555" i="4" s="1"/>
  <c r="I554" i="4"/>
  <c r="H510" i="11" l="1"/>
  <c r="I509" i="11"/>
  <c r="K508" i="11"/>
  <c r="J509" i="11"/>
  <c r="G556" i="4"/>
  <c r="H556" i="4"/>
  <c r="E556" i="4"/>
  <c r="F556" i="4" s="1"/>
  <c r="I555" i="4"/>
  <c r="C558" i="4"/>
  <c r="D557" i="4"/>
  <c r="K509" i="11" l="1"/>
  <c r="J510" i="11"/>
  <c r="I510" i="11"/>
  <c r="H511" i="11"/>
  <c r="I556" i="4"/>
  <c r="E557" i="4"/>
  <c r="F557" i="4" s="1"/>
  <c r="G557" i="4"/>
  <c r="H557" i="4"/>
  <c r="C559" i="4"/>
  <c r="D558" i="4"/>
  <c r="K510" i="11" l="1"/>
  <c r="J511" i="11"/>
  <c r="H512" i="11"/>
  <c r="I511" i="11"/>
  <c r="I557" i="4"/>
  <c r="C560" i="4"/>
  <c r="D559" i="4"/>
  <c r="E558" i="4"/>
  <c r="F558" i="4" s="1"/>
  <c r="H558" i="4"/>
  <c r="G558" i="4"/>
  <c r="K511" i="11" l="1"/>
  <c r="J512" i="11"/>
  <c r="H513" i="11"/>
  <c r="I512" i="11"/>
  <c r="I558" i="4"/>
  <c r="G559" i="4"/>
  <c r="E559" i="4"/>
  <c r="F559" i="4" s="1"/>
  <c r="H559" i="4"/>
  <c r="C561" i="4"/>
  <c r="D560" i="4"/>
  <c r="K512" i="11" l="1"/>
  <c r="J513" i="11"/>
  <c r="I513" i="11"/>
  <c r="H514" i="11"/>
  <c r="I559" i="4"/>
  <c r="G560" i="4"/>
  <c r="E560" i="4"/>
  <c r="F560" i="4" s="1"/>
  <c r="H560" i="4"/>
  <c r="C562" i="4"/>
  <c r="D561" i="4"/>
  <c r="I514" i="11" l="1"/>
  <c r="H515" i="11"/>
  <c r="K513" i="11"/>
  <c r="J514" i="11"/>
  <c r="I560" i="4"/>
  <c r="E561" i="4"/>
  <c r="F561" i="4" s="1"/>
  <c r="G561" i="4"/>
  <c r="H561" i="4"/>
  <c r="C563" i="4"/>
  <c r="D562" i="4"/>
  <c r="I515" i="11" l="1"/>
  <c r="H516" i="11"/>
  <c r="K514" i="11"/>
  <c r="J515" i="11"/>
  <c r="I561" i="4"/>
  <c r="E562" i="4"/>
  <c r="F562" i="4" s="1"/>
  <c r="H562" i="4"/>
  <c r="G562" i="4"/>
  <c r="C564" i="4"/>
  <c r="D563" i="4"/>
  <c r="H517" i="11" l="1"/>
  <c r="I516" i="11"/>
  <c r="K515" i="11"/>
  <c r="J516" i="11"/>
  <c r="C565" i="4"/>
  <c r="D564" i="4"/>
  <c r="G563" i="4"/>
  <c r="E563" i="4"/>
  <c r="F563" i="4" s="1"/>
  <c r="H563" i="4"/>
  <c r="I562" i="4"/>
  <c r="K516" i="11" l="1"/>
  <c r="J517" i="11"/>
  <c r="I517" i="11"/>
  <c r="H518" i="11"/>
  <c r="I563" i="4"/>
  <c r="G564" i="4"/>
  <c r="H564" i="4"/>
  <c r="E564" i="4"/>
  <c r="F564" i="4" s="1"/>
  <c r="C566" i="4"/>
  <c r="D565" i="4"/>
  <c r="H519" i="11" l="1"/>
  <c r="I518" i="11"/>
  <c r="K517" i="11"/>
  <c r="J518" i="11"/>
  <c r="I564" i="4"/>
  <c r="E565" i="4"/>
  <c r="F565" i="4" s="1"/>
  <c r="G565" i="4"/>
  <c r="H565" i="4"/>
  <c r="C567" i="4"/>
  <c r="D566" i="4"/>
  <c r="K518" i="11" l="1"/>
  <c r="J519" i="11"/>
  <c r="H520" i="11"/>
  <c r="I519" i="11"/>
  <c r="I565" i="4"/>
  <c r="H566" i="4"/>
  <c r="G566" i="4"/>
  <c r="E566" i="4"/>
  <c r="F566" i="4" s="1"/>
  <c r="C568" i="4"/>
  <c r="D567" i="4"/>
  <c r="I520" i="11" l="1"/>
  <c r="H521" i="11"/>
  <c r="K519" i="11"/>
  <c r="J520" i="11"/>
  <c r="G567" i="4"/>
  <c r="H567" i="4"/>
  <c r="E567" i="4"/>
  <c r="F567" i="4" s="1"/>
  <c r="C569" i="4"/>
  <c r="D568" i="4"/>
  <c r="I566" i="4"/>
  <c r="H522" i="11" l="1"/>
  <c r="I521" i="11"/>
  <c r="K520" i="11"/>
  <c r="J521" i="11"/>
  <c r="I567" i="4"/>
  <c r="E568" i="4"/>
  <c r="F568" i="4" s="1"/>
  <c r="H568" i="4"/>
  <c r="G568" i="4"/>
  <c r="C570" i="4"/>
  <c r="D569" i="4"/>
  <c r="K521" i="11" l="1"/>
  <c r="J522" i="11"/>
  <c r="H523" i="11"/>
  <c r="I522" i="11"/>
  <c r="E569" i="4"/>
  <c r="F569" i="4" s="1"/>
  <c r="G569" i="4"/>
  <c r="H569" i="4"/>
  <c r="C571" i="4"/>
  <c r="D570" i="4"/>
  <c r="I568" i="4"/>
  <c r="K522" i="11" l="1"/>
  <c r="J523" i="11"/>
  <c r="I523" i="11"/>
  <c r="H524" i="11"/>
  <c r="I569" i="4"/>
  <c r="C572" i="4"/>
  <c r="D571" i="4"/>
  <c r="E570" i="4"/>
  <c r="F570" i="4" s="1"/>
  <c r="G570" i="4"/>
  <c r="H570" i="4"/>
  <c r="I524" i="11" l="1"/>
  <c r="H525" i="11"/>
  <c r="K523" i="11"/>
  <c r="J524" i="11"/>
  <c r="I570" i="4"/>
  <c r="G571" i="4"/>
  <c r="E571" i="4"/>
  <c r="F571" i="4" s="1"/>
  <c r="H571" i="4"/>
  <c r="C573" i="4"/>
  <c r="D572" i="4"/>
  <c r="I525" i="11" l="1"/>
  <c r="H526" i="11"/>
  <c r="K524" i="11"/>
  <c r="J525" i="11"/>
  <c r="I571" i="4"/>
  <c r="E572" i="4"/>
  <c r="F572" i="4" s="1"/>
  <c r="H572" i="4" s="1"/>
  <c r="G572" i="4"/>
  <c r="C574" i="4"/>
  <c r="D573" i="4"/>
  <c r="H527" i="11" l="1"/>
  <c r="I526" i="11"/>
  <c r="K525" i="11"/>
  <c r="J526" i="11"/>
  <c r="I572" i="4"/>
  <c r="E573" i="4"/>
  <c r="F573" i="4" s="1"/>
  <c r="G573" i="4"/>
  <c r="H573" i="4"/>
  <c r="C575" i="4"/>
  <c r="D574" i="4"/>
  <c r="K526" i="11" l="1"/>
  <c r="J527" i="11"/>
  <c r="H528" i="11"/>
  <c r="I527" i="11"/>
  <c r="I573" i="4"/>
  <c r="E574" i="4"/>
  <c r="F574" i="4" s="1"/>
  <c r="G574" i="4"/>
  <c r="H574" i="4"/>
  <c r="C576" i="4"/>
  <c r="D575" i="4"/>
  <c r="H529" i="11" l="1"/>
  <c r="I528" i="11"/>
  <c r="K527" i="11"/>
  <c r="J528" i="11"/>
  <c r="G575" i="4"/>
  <c r="E575" i="4"/>
  <c r="F575" i="4" s="1"/>
  <c r="H575" i="4"/>
  <c r="C577" i="4"/>
  <c r="D576" i="4"/>
  <c r="I574" i="4"/>
  <c r="K528" i="11" l="1"/>
  <c r="J529" i="11"/>
  <c r="I529" i="11"/>
  <c r="H530" i="11"/>
  <c r="I575" i="4"/>
  <c r="G576" i="4"/>
  <c r="E576" i="4"/>
  <c r="F576" i="4" s="1"/>
  <c r="H576" i="4"/>
  <c r="C578" i="4"/>
  <c r="D577" i="4"/>
  <c r="H531" i="11" l="1"/>
  <c r="I530" i="11"/>
  <c r="K529" i="11"/>
  <c r="J530" i="11"/>
  <c r="I576" i="4"/>
  <c r="E577" i="4"/>
  <c r="F577" i="4" s="1"/>
  <c r="G577" i="4"/>
  <c r="H577" i="4"/>
  <c r="C579" i="4"/>
  <c r="D578" i="4"/>
  <c r="K530" i="11" l="1"/>
  <c r="J531" i="11"/>
  <c r="H532" i="11"/>
  <c r="I531" i="11"/>
  <c r="I577" i="4"/>
  <c r="E578" i="4"/>
  <c r="F578" i="4" s="1"/>
  <c r="H578" i="4" s="1"/>
  <c r="G578" i="4"/>
  <c r="C580" i="4"/>
  <c r="D579" i="4"/>
  <c r="K531" i="11" l="1"/>
  <c r="J532" i="11"/>
  <c r="I532" i="11"/>
  <c r="H533" i="11"/>
  <c r="I578" i="4"/>
  <c r="G579" i="4"/>
  <c r="E579" i="4"/>
  <c r="F579" i="4" s="1"/>
  <c r="H579" i="4" s="1"/>
  <c r="C581" i="4"/>
  <c r="D580" i="4"/>
  <c r="K532" i="11" l="1"/>
  <c r="J533" i="11"/>
  <c r="H534" i="11"/>
  <c r="I533" i="11"/>
  <c r="I579" i="4"/>
  <c r="E580" i="4"/>
  <c r="F580" i="4" s="1"/>
  <c r="H580" i="4"/>
  <c r="G580" i="4"/>
  <c r="C582" i="4"/>
  <c r="D581" i="4"/>
  <c r="I534" i="11" l="1"/>
  <c r="H535" i="11"/>
  <c r="K533" i="11"/>
  <c r="J534" i="11"/>
  <c r="I580" i="4"/>
  <c r="E581" i="4"/>
  <c r="F581" i="4" s="1"/>
  <c r="H581" i="4"/>
  <c r="G581" i="4"/>
  <c r="C583" i="4"/>
  <c r="D582" i="4"/>
  <c r="I535" i="11" l="1"/>
  <c r="H536" i="11"/>
  <c r="K534" i="11"/>
  <c r="J535" i="11"/>
  <c r="I581" i="4"/>
  <c r="E582" i="4"/>
  <c r="F582" i="4" s="1"/>
  <c r="H582" i="4"/>
  <c r="G582" i="4"/>
  <c r="C584" i="4"/>
  <c r="D583" i="4"/>
  <c r="I536" i="11" l="1"/>
  <c r="H537" i="11"/>
  <c r="K535" i="11"/>
  <c r="J536" i="11"/>
  <c r="I582" i="4"/>
  <c r="E583" i="4"/>
  <c r="F583" i="4" s="1"/>
  <c r="H583" i="4" s="1"/>
  <c r="G583" i="4"/>
  <c r="C585" i="4"/>
  <c r="D584" i="4"/>
  <c r="H538" i="11" l="1"/>
  <c r="I537" i="11"/>
  <c r="K536" i="11"/>
  <c r="J537" i="11"/>
  <c r="I583" i="4"/>
  <c r="E584" i="4"/>
  <c r="F584" i="4" s="1"/>
  <c r="H584" i="4" s="1"/>
  <c r="G584" i="4"/>
  <c r="C586" i="4"/>
  <c r="D585" i="4"/>
  <c r="K537" i="11" l="1"/>
  <c r="J538" i="11"/>
  <c r="H539" i="11"/>
  <c r="I538" i="11"/>
  <c r="I584" i="4"/>
  <c r="E585" i="4"/>
  <c r="F585" i="4" s="1"/>
  <c r="H585" i="4"/>
  <c r="G585" i="4"/>
  <c r="C587" i="4"/>
  <c r="D586" i="4"/>
  <c r="H540" i="11" l="1"/>
  <c r="I539" i="11"/>
  <c r="K538" i="11"/>
  <c r="J539" i="11"/>
  <c r="I585" i="4"/>
  <c r="G586" i="4"/>
  <c r="E586" i="4"/>
  <c r="F586" i="4" s="1"/>
  <c r="H586" i="4" s="1"/>
  <c r="C588" i="4"/>
  <c r="D587" i="4"/>
  <c r="K539" i="11" l="1"/>
  <c r="J540" i="11"/>
  <c r="H541" i="11"/>
  <c r="I540" i="11"/>
  <c r="I586" i="4"/>
  <c r="G587" i="4"/>
  <c r="E587" i="4"/>
  <c r="F587" i="4" s="1"/>
  <c r="H587" i="4" s="1"/>
  <c r="C589" i="4"/>
  <c r="D588" i="4"/>
  <c r="I541" i="11" l="1"/>
  <c r="H542" i="11"/>
  <c r="K540" i="11"/>
  <c r="J541" i="11"/>
  <c r="I587" i="4"/>
  <c r="E588" i="4"/>
  <c r="F588" i="4" s="1"/>
  <c r="G588" i="4"/>
  <c r="H588" i="4"/>
  <c r="C590" i="4"/>
  <c r="D589" i="4"/>
  <c r="H543" i="11" l="1"/>
  <c r="I542" i="11"/>
  <c r="K541" i="11"/>
  <c r="J542" i="11"/>
  <c r="I588" i="4"/>
  <c r="C591" i="4"/>
  <c r="D590" i="4"/>
  <c r="E589" i="4"/>
  <c r="F589" i="4" s="1"/>
  <c r="G589" i="4"/>
  <c r="H589" i="4"/>
  <c r="K542" i="11" l="1"/>
  <c r="J543" i="11"/>
  <c r="I543" i="11"/>
  <c r="H544" i="11"/>
  <c r="I589" i="4"/>
  <c r="E590" i="4"/>
  <c r="F590" i="4" s="1"/>
  <c r="G590" i="4"/>
  <c r="H590" i="4"/>
  <c r="C592" i="4"/>
  <c r="D591" i="4"/>
  <c r="I544" i="11" l="1"/>
  <c r="H545" i="11"/>
  <c r="K543" i="11"/>
  <c r="J544" i="11"/>
  <c r="C593" i="4"/>
  <c r="D592" i="4"/>
  <c r="G591" i="4"/>
  <c r="E591" i="4"/>
  <c r="F591" i="4" s="1"/>
  <c r="H591" i="4"/>
  <c r="I590" i="4"/>
  <c r="H546" i="11" l="1"/>
  <c r="I545" i="11"/>
  <c r="K544" i="11"/>
  <c r="J545" i="11"/>
  <c r="I591" i="4"/>
  <c r="G592" i="4"/>
  <c r="H592" i="4"/>
  <c r="E592" i="4"/>
  <c r="F592" i="4" s="1"/>
  <c r="C594" i="4"/>
  <c r="D593" i="4"/>
  <c r="K545" i="11" l="1"/>
  <c r="J546" i="11"/>
  <c r="H547" i="11"/>
  <c r="I546" i="11"/>
  <c r="E593" i="4"/>
  <c r="F593" i="4" s="1"/>
  <c r="G593" i="4"/>
  <c r="H593" i="4"/>
  <c r="C595" i="4"/>
  <c r="D594" i="4"/>
  <c r="I592" i="4"/>
  <c r="K546" i="11" l="1"/>
  <c r="J547" i="11"/>
  <c r="I547" i="11"/>
  <c r="H548" i="11"/>
  <c r="I593" i="4"/>
  <c r="C596" i="4"/>
  <c r="D595" i="4"/>
  <c r="E594" i="4"/>
  <c r="F594" i="4" s="1"/>
  <c r="G594" i="4"/>
  <c r="H594" i="4"/>
  <c r="I548" i="11" l="1"/>
  <c r="H549" i="11"/>
  <c r="K547" i="11"/>
  <c r="J548" i="11"/>
  <c r="I594" i="4"/>
  <c r="G595" i="4"/>
  <c r="H595" i="4"/>
  <c r="E595" i="4"/>
  <c r="F595" i="4" s="1"/>
  <c r="C597" i="4"/>
  <c r="D596" i="4"/>
  <c r="I549" i="11" l="1"/>
  <c r="H550" i="11"/>
  <c r="K548" i="11"/>
  <c r="J549" i="11"/>
  <c r="I595" i="4"/>
  <c r="C598" i="4"/>
  <c r="D597" i="4"/>
  <c r="G596" i="4"/>
  <c r="H596" i="4"/>
  <c r="E596" i="4"/>
  <c r="F596" i="4" s="1"/>
  <c r="H551" i="11" l="1"/>
  <c r="I550" i="11"/>
  <c r="K549" i="11"/>
  <c r="J550" i="11"/>
  <c r="I596" i="4"/>
  <c r="E597" i="4"/>
  <c r="F597" i="4" s="1"/>
  <c r="G597" i="4"/>
  <c r="H597" i="4"/>
  <c r="C599" i="4"/>
  <c r="D598" i="4"/>
  <c r="K550" i="11" l="1"/>
  <c r="J551" i="11"/>
  <c r="H552" i="11"/>
  <c r="I551" i="11"/>
  <c r="I597" i="4"/>
  <c r="E598" i="4"/>
  <c r="F598" i="4" s="1"/>
  <c r="G598" i="4"/>
  <c r="H598" i="4"/>
  <c r="C600" i="4"/>
  <c r="D599" i="4"/>
  <c r="K551" i="11" l="1"/>
  <c r="J552" i="11"/>
  <c r="I552" i="11"/>
  <c r="H553" i="11"/>
  <c r="G599" i="4"/>
  <c r="E599" i="4"/>
  <c r="F599" i="4" s="1"/>
  <c r="H599" i="4"/>
  <c r="C601" i="4"/>
  <c r="D600" i="4"/>
  <c r="I598" i="4"/>
  <c r="I553" i="11" l="1"/>
  <c r="H554" i="11"/>
  <c r="K552" i="11"/>
  <c r="J553" i="11"/>
  <c r="I599" i="4"/>
  <c r="E600" i="4"/>
  <c r="F600" i="4" s="1"/>
  <c r="H600" i="4"/>
  <c r="G600" i="4"/>
  <c r="C602" i="4"/>
  <c r="D601" i="4"/>
  <c r="I554" i="11" l="1"/>
  <c r="H555" i="11"/>
  <c r="K553" i="11"/>
  <c r="J554" i="11"/>
  <c r="C603" i="4"/>
  <c r="D602" i="4"/>
  <c r="E601" i="4"/>
  <c r="F601" i="4" s="1"/>
  <c r="G601" i="4"/>
  <c r="H601" i="4"/>
  <c r="I600" i="4"/>
  <c r="I555" i="11" l="1"/>
  <c r="H556" i="11"/>
  <c r="K554" i="11"/>
  <c r="J555" i="11"/>
  <c r="I601" i="4"/>
  <c r="E602" i="4"/>
  <c r="F602" i="4" s="1"/>
  <c r="G602" i="4"/>
  <c r="H602" i="4"/>
  <c r="C604" i="4"/>
  <c r="D603" i="4"/>
  <c r="I556" i="11" l="1"/>
  <c r="H557" i="11"/>
  <c r="K555" i="11"/>
  <c r="J556" i="11"/>
  <c r="G603" i="4"/>
  <c r="E603" i="4"/>
  <c r="F603" i="4" s="1"/>
  <c r="H603" i="4"/>
  <c r="C605" i="4"/>
  <c r="D604" i="4"/>
  <c r="I602" i="4"/>
  <c r="I557" i="11" l="1"/>
  <c r="H558" i="11"/>
  <c r="K556" i="11"/>
  <c r="J557" i="11"/>
  <c r="I603" i="4"/>
  <c r="G604" i="4"/>
  <c r="E604" i="4"/>
  <c r="F604" i="4" s="1"/>
  <c r="H604" i="4"/>
  <c r="C606" i="4"/>
  <c r="D605" i="4"/>
  <c r="I558" i="11" l="1"/>
  <c r="H559" i="11"/>
  <c r="K557" i="11"/>
  <c r="J558" i="11"/>
  <c r="I604" i="4"/>
  <c r="E605" i="4"/>
  <c r="F605" i="4" s="1"/>
  <c r="G605" i="4"/>
  <c r="H605" i="4"/>
  <c r="C607" i="4"/>
  <c r="D606" i="4"/>
  <c r="H560" i="11" l="1"/>
  <c r="I559" i="11"/>
  <c r="K558" i="11"/>
  <c r="J559" i="11"/>
  <c r="I605" i="4"/>
  <c r="E606" i="4"/>
  <c r="F606" i="4" s="1"/>
  <c r="G606" i="4"/>
  <c r="H606" i="4"/>
  <c r="C608" i="4"/>
  <c r="D607" i="4"/>
  <c r="K559" i="11" l="1"/>
  <c r="J560" i="11"/>
  <c r="H561" i="11"/>
  <c r="I560" i="11"/>
  <c r="I606" i="4"/>
  <c r="G607" i="4"/>
  <c r="H607" i="4"/>
  <c r="E607" i="4"/>
  <c r="F607" i="4" s="1"/>
  <c r="C609" i="4"/>
  <c r="D608" i="4"/>
  <c r="H562" i="11" l="1"/>
  <c r="I561" i="11"/>
  <c r="K560" i="11"/>
  <c r="J561" i="11"/>
  <c r="I607" i="4"/>
  <c r="G608" i="4"/>
  <c r="E608" i="4"/>
  <c r="F608" i="4" s="1"/>
  <c r="H608" i="4"/>
  <c r="C610" i="4"/>
  <c r="D609" i="4"/>
  <c r="K561" i="11" l="1"/>
  <c r="J562" i="11"/>
  <c r="I562" i="11"/>
  <c r="H563" i="11"/>
  <c r="I608" i="4"/>
  <c r="E609" i="4"/>
  <c r="F609" i="4" s="1"/>
  <c r="G609" i="4"/>
  <c r="H609" i="4"/>
  <c r="C611" i="4"/>
  <c r="D610" i="4"/>
  <c r="H564" i="11" l="1"/>
  <c r="I563" i="11"/>
  <c r="K562" i="11"/>
  <c r="J563" i="11"/>
  <c r="I609" i="4"/>
  <c r="G610" i="4"/>
  <c r="E610" i="4"/>
  <c r="F610" i="4" s="1"/>
  <c r="H610" i="4"/>
  <c r="C612" i="4"/>
  <c r="D611" i="4"/>
  <c r="K563" i="11" l="1"/>
  <c r="J564" i="11"/>
  <c r="H565" i="11"/>
  <c r="I564" i="11"/>
  <c r="I610" i="4"/>
  <c r="G611" i="4"/>
  <c r="E611" i="4"/>
  <c r="F611" i="4" s="1"/>
  <c r="H611" i="4" s="1"/>
  <c r="C613" i="4"/>
  <c r="D612" i="4"/>
  <c r="K564" i="11" l="1"/>
  <c r="J565" i="11"/>
  <c r="I565" i="11"/>
  <c r="H566" i="11"/>
  <c r="I611" i="4"/>
  <c r="G612" i="4"/>
  <c r="E612" i="4"/>
  <c r="F612" i="4" s="1"/>
  <c r="H612" i="4"/>
  <c r="C614" i="4"/>
  <c r="D613" i="4"/>
  <c r="K565" i="11" l="1"/>
  <c r="J566" i="11"/>
  <c r="I566" i="11"/>
  <c r="H567" i="11"/>
  <c r="I612" i="4"/>
  <c r="E613" i="4"/>
  <c r="F613" i="4" s="1"/>
  <c r="G613" i="4"/>
  <c r="H613" i="4"/>
  <c r="C615" i="4"/>
  <c r="D614" i="4"/>
  <c r="I567" i="11" l="1"/>
  <c r="H568" i="11"/>
  <c r="K566" i="11"/>
  <c r="J567" i="11"/>
  <c r="I613" i="4"/>
  <c r="E614" i="4"/>
  <c r="F614" i="4" s="1"/>
  <c r="G614" i="4"/>
  <c r="H614" i="4"/>
  <c r="C616" i="4"/>
  <c r="D615" i="4"/>
  <c r="I568" i="11" l="1"/>
  <c r="H569" i="11"/>
  <c r="K567" i="11"/>
  <c r="J568" i="11"/>
  <c r="I614" i="4"/>
  <c r="G615" i="4"/>
  <c r="E615" i="4"/>
  <c r="F615" i="4" s="1"/>
  <c r="H615" i="4" s="1"/>
  <c r="C617" i="4"/>
  <c r="D616" i="4"/>
  <c r="H570" i="11" l="1"/>
  <c r="I569" i="11"/>
  <c r="K568" i="11"/>
  <c r="J569" i="11"/>
  <c r="I615" i="4"/>
  <c r="G616" i="4"/>
  <c r="E616" i="4"/>
  <c r="F616" i="4" s="1"/>
  <c r="H616" i="4"/>
  <c r="C618" i="4"/>
  <c r="D617" i="4"/>
  <c r="K569" i="11" l="1"/>
  <c r="J570" i="11"/>
  <c r="I570" i="11"/>
  <c r="H571" i="11"/>
  <c r="I616" i="4"/>
  <c r="E617" i="4"/>
  <c r="F617" i="4" s="1"/>
  <c r="G617" i="4"/>
  <c r="H617" i="4"/>
  <c r="C619" i="4"/>
  <c r="D618" i="4"/>
  <c r="K570" i="11" l="1"/>
  <c r="J571" i="11"/>
  <c r="H572" i="11"/>
  <c r="I571" i="11"/>
  <c r="I617" i="4"/>
  <c r="C620" i="4"/>
  <c r="D619" i="4"/>
  <c r="E618" i="4"/>
  <c r="F618" i="4" s="1"/>
  <c r="H618" i="4" s="1"/>
  <c r="G618" i="4"/>
  <c r="K571" i="11" l="1"/>
  <c r="J572" i="11"/>
  <c r="H573" i="11"/>
  <c r="I572" i="11"/>
  <c r="I618" i="4"/>
  <c r="E619" i="4"/>
  <c r="F619" i="4" s="1"/>
  <c r="H619" i="4" s="1"/>
  <c r="G619" i="4"/>
  <c r="C621" i="4"/>
  <c r="D620" i="4"/>
  <c r="K572" i="11" l="1"/>
  <c r="J573" i="11"/>
  <c r="H574" i="11"/>
  <c r="I573" i="11"/>
  <c r="I619" i="4"/>
  <c r="E620" i="4"/>
  <c r="F620" i="4" s="1"/>
  <c r="H620" i="4"/>
  <c r="G620" i="4"/>
  <c r="C622" i="4"/>
  <c r="D621" i="4"/>
  <c r="I574" i="11" l="1"/>
  <c r="H575" i="11"/>
  <c r="K573" i="11"/>
  <c r="J574" i="11"/>
  <c r="I620" i="4"/>
  <c r="E621" i="4"/>
  <c r="F621" i="4" s="1"/>
  <c r="H621" i="4"/>
  <c r="G621" i="4"/>
  <c r="C623" i="4"/>
  <c r="D622" i="4"/>
  <c r="I575" i="11" l="1"/>
  <c r="H576" i="11"/>
  <c r="K574" i="11"/>
  <c r="J575" i="11"/>
  <c r="I621" i="4"/>
  <c r="G622" i="4"/>
  <c r="E622" i="4"/>
  <c r="F622" i="4" s="1"/>
  <c r="H622" i="4" s="1"/>
  <c r="C624" i="4"/>
  <c r="D623" i="4"/>
  <c r="I576" i="11" l="1"/>
  <c r="H577" i="11"/>
  <c r="K575" i="11"/>
  <c r="J576" i="11"/>
  <c r="I622" i="4"/>
  <c r="E623" i="4"/>
  <c r="F623" i="4" s="1"/>
  <c r="H623" i="4" s="1"/>
  <c r="G623" i="4"/>
  <c r="C625" i="4"/>
  <c r="D624" i="4"/>
  <c r="H578" i="11" l="1"/>
  <c r="I577" i="11"/>
  <c r="K576" i="11"/>
  <c r="J577" i="11"/>
  <c r="I623" i="4"/>
  <c r="E624" i="4"/>
  <c r="F624" i="4" s="1"/>
  <c r="H624" i="4"/>
  <c r="G624" i="4"/>
  <c r="C626" i="4"/>
  <c r="D625" i="4"/>
  <c r="K577" i="11" l="1"/>
  <c r="J578" i="11"/>
  <c r="I578" i="11"/>
  <c r="H579" i="11"/>
  <c r="I624" i="4"/>
  <c r="C627" i="4"/>
  <c r="D626" i="4"/>
  <c r="E625" i="4"/>
  <c r="F625" i="4" s="1"/>
  <c r="H625" i="4"/>
  <c r="G625" i="4"/>
  <c r="I579" i="11" l="1"/>
  <c r="H580" i="11"/>
  <c r="K578" i="11"/>
  <c r="J579" i="11"/>
  <c r="I625" i="4"/>
  <c r="E626" i="4"/>
  <c r="F626" i="4" s="1"/>
  <c r="H626" i="4"/>
  <c r="G626" i="4"/>
  <c r="C628" i="4"/>
  <c r="D627" i="4"/>
  <c r="I580" i="11" l="1"/>
  <c r="H581" i="11"/>
  <c r="K579" i="11"/>
  <c r="J580" i="11"/>
  <c r="I626" i="4"/>
  <c r="G627" i="4"/>
  <c r="E627" i="4"/>
  <c r="F627" i="4" s="1"/>
  <c r="H627" i="4"/>
  <c r="C629" i="4"/>
  <c r="D628" i="4"/>
  <c r="I581" i="11" l="1"/>
  <c r="H582" i="11"/>
  <c r="K580" i="11"/>
  <c r="J581" i="11"/>
  <c r="I627" i="4"/>
  <c r="G628" i="4"/>
  <c r="E628" i="4"/>
  <c r="F628" i="4" s="1"/>
  <c r="H628" i="4"/>
  <c r="C630" i="4"/>
  <c r="D629" i="4"/>
  <c r="I582" i="11" l="1"/>
  <c r="H583" i="11"/>
  <c r="K581" i="11"/>
  <c r="J582" i="11"/>
  <c r="I628" i="4"/>
  <c r="C631" i="4"/>
  <c r="D630" i="4"/>
  <c r="G629" i="4"/>
  <c r="E629" i="4"/>
  <c r="F629" i="4" s="1"/>
  <c r="H629" i="4"/>
  <c r="I583" i="11" l="1"/>
  <c r="H584" i="11"/>
  <c r="K582" i="11"/>
  <c r="J583" i="11"/>
  <c r="I629" i="4"/>
  <c r="E630" i="4"/>
  <c r="F630" i="4" s="1"/>
  <c r="G630" i="4"/>
  <c r="H630" i="4"/>
  <c r="C632" i="4"/>
  <c r="D631" i="4"/>
  <c r="H585" i="11" l="1"/>
  <c r="I584" i="11"/>
  <c r="K583" i="11"/>
  <c r="J584" i="11"/>
  <c r="I630" i="4"/>
  <c r="G631" i="4"/>
  <c r="H631" i="4"/>
  <c r="E631" i="4"/>
  <c r="F631" i="4" s="1"/>
  <c r="C633" i="4"/>
  <c r="D632" i="4"/>
  <c r="K584" i="11" l="1"/>
  <c r="J585" i="11"/>
  <c r="H586" i="11"/>
  <c r="I585" i="11"/>
  <c r="I631" i="4"/>
  <c r="G632" i="4"/>
  <c r="E632" i="4"/>
  <c r="F632" i="4" s="1"/>
  <c r="H632" i="4"/>
  <c r="C634" i="4"/>
  <c r="D633" i="4"/>
  <c r="K585" i="11" l="1"/>
  <c r="J586" i="11"/>
  <c r="I586" i="11"/>
  <c r="H587" i="11"/>
  <c r="I632" i="4"/>
  <c r="G633" i="4"/>
  <c r="H633" i="4"/>
  <c r="E633" i="4"/>
  <c r="F633" i="4" s="1"/>
  <c r="C635" i="4"/>
  <c r="D634" i="4"/>
  <c r="I587" i="11" l="1"/>
  <c r="H588" i="11"/>
  <c r="K586" i="11"/>
  <c r="J587" i="11"/>
  <c r="I633" i="4"/>
  <c r="E634" i="4"/>
  <c r="F634" i="4" s="1"/>
  <c r="G634" i="4"/>
  <c r="H634" i="4"/>
  <c r="C636" i="4"/>
  <c r="D635" i="4"/>
  <c r="H589" i="11" l="1"/>
  <c r="I588" i="11"/>
  <c r="K587" i="11"/>
  <c r="J588" i="11"/>
  <c r="I634" i="4"/>
  <c r="G635" i="4"/>
  <c r="E635" i="4"/>
  <c r="F635" i="4" s="1"/>
  <c r="H635" i="4"/>
  <c r="C637" i="4"/>
  <c r="D636" i="4"/>
  <c r="K588" i="11" l="1"/>
  <c r="J589" i="11"/>
  <c r="I589" i="11"/>
  <c r="H590" i="11"/>
  <c r="I635" i="4"/>
  <c r="G636" i="4"/>
  <c r="E636" i="4"/>
  <c r="F636" i="4" s="1"/>
  <c r="H636" i="4"/>
  <c r="C638" i="4"/>
  <c r="D637" i="4"/>
  <c r="I590" i="11" l="1"/>
  <c r="H591" i="11"/>
  <c r="K589" i="11"/>
  <c r="J590" i="11"/>
  <c r="I636" i="4"/>
  <c r="G637" i="4"/>
  <c r="H637" i="4"/>
  <c r="E637" i="4"/>
  <c r="F637" i="4" s="1"/>
  <c r="C639" i="4"/>
  <c r="D638" i="4"/>
  <c r="I591" i="11" l="1"/>
  <c r="H592" i="11"/>
  <c r="K590" i="11"/>
  <c r="J591" i="11"/>
  <c r="I637" i="4"/>
  <c r="H638" i="4"/>
  <c r="G638" i="4"/>
  <c r="E638" i="4"/>
  <c r="F638" i="4" s="1"/>
  <c r="C640" i="4"/>
  <c r="D639" i="4"/>
  <c r="I592" i="11" l="1"/>
  <c r="H593" i="11"/>
  <c r="K591" i="11"/>
  <c r="J592" i="11"/>
  <c r="C641" i="4"/>
  <c r="D640" i="4"/>
  <c r="G639" i="4"/>
  <c r="E639" i="4"/>
  <c r="F639" i="4" s="1"/>
  <c r="H639" i="4"/>
  <c r="I638" i="4"/>
  <c r="I593" i="11" l="1"/>
  <c r="H594" i="11"/>
  <c r="K592" i="11"/>
  <c r="J593" i="11"/>
  <c r="I639" i="4"/>
  <c r="G640" i="4"/>
  <c r="E640" i="4"/>
  <c r="F640" i="4" s="1"/>
  <c r="H640" i="4"/>
  <c r="C642" i="4"/>
  <c r="D641" i="4"/>
  <c r="H595" i="11" l="1"/>
  <c r="I594" i="11"/>
  <c r="K593" i="11"/>
  <c r="J594" i="11"/>
  <c r="I640" i="4"/>
  <c r="C643" i="4"/>
  <c r="D642" i="4"/>
  <c r="G641" i="4"/>
  <c r="H641" i="4"/>
  <c r="E641" i="4"/>
  <c r="F641" i="4" s="1"/>
  <c r="K594" i="11" l="1"/>
  <c r="J595" i="11"/>
  <c r="I595" i="11"/>
  <c r="H596" i="11"/>
  <c r="I641" i="4"/>
  <c r="G642" i="4"/>
  <c r="E642" i="4"/>
  <c r="F642" i="4" s="1"/>
  <c r="H642" i="4"/>
  <c r="C644" i="4"/>
  <c r="D643" i="4"/>
  <c r="H597" i="11" l="1"/>
  <c r="I596" i="11"/>
  <c r="K595" i="11"/>
  <c r="J596" i="11"/>
  <c r="I642" i="4"/>
  <c r="G643" i="4"/>
  <c r="E643" i="4"/>
  <c r="F643" i="4" s="1"/>
  <c r="H643" i="4"/>
  <c r="C645" i="4"/>
  <c r="D644" i="4"/>
  <c r="K596" i="11" l="1"/>
  <c r="J597" i="11"/>
  <c r="H598" i="11"/>
  <c r="I597" i="11"/>
  <c r="G644" i="4"/>
  <c r="E644" i="4"/>
  <c r="F644" i="4" s="1"/>
  <c r="H644" i="4"/>
  <c r="C646" i="4"/>
  <c r="D645" i="4"/>
  <c r="I643" i="4"/>
  <c r="K597" i="11" l="1"/>
  <c r="J598" i="11"/>
  <c r="H599" i="11"/>
  <c r="I598" i="11"/>
  <c r="I644" i="4"/>
  <c r="C647" i="4"/>
  <c r="D646" i="4"/>
  <c r="G645" i="4"/>
  <c r="E645" i="4"/>
  <c r="F645" i="4" s="1"/>
  <c r="H645" i="4"/>
  <c r="K598" i="11" l="1"/>
  <c r="J599" i="11"/>
  <c r="H600" i="11"/>
  <c r="I599" i="11"/>
  <c r="I645" i="4"/>
  <c r="G646" i="4"/>
  <c r="E646" i="4"/>
  <c r="F646" i="4" s="1"/>
  <c r="H646" i="4"/>
  <c r="C648" i="4"/>
  <c r="D647" i="4"/>
  <c r="K599" i="11" l="1"/>
  <c r="J600" i="11"/>
  <c r="H601" i="11"/>
  <c r="I600" i="11"/>
  <c r="I646" i="4"/>
  <c r="G647" i="4"/>
  <c r="E647" i="4"/>
  <c r="F647" i="4" s="1"/>
  <c r="H647" i="4"/>
  <c r="C649" i="4"/>
  <c r="D648" i="4"/>
  <c r="K600" i="11" l="1"/>
  <c r="J601" i="11"/>
  <c r="I601" i="11"/>
  <c r="H602" i="11"/>
  <c r="I647" i="4"/>
  <c r="G648" i="4"/>
  <c r="E648" i="4"/>
  <c r="F648" i="4" s="1"/>
  <c r="H648" i="4"/>
  <c r="C650" i="4"/>
  <c r="D649" i="4"/>
  <c r="H603" i="11" l="1"/>
  <c r="I602" i="11"/>
  <c r="K601" i="11"/>
  <c r="J602" i="11"/>
  <c r="I648" i="4"/>
  <c r="C651" i="4"/>
  <c r="D650" i="4"/>
  <c r="G649" i="4"/>
  <c r="E649" i="4"/>
  <c r="F649" i="4" s="1"/>
  <c r="H649" i="4" s="1"/>
  <c r="K602" i="11" l="1"/>
  <c r="J603" i="11"/>
  <c r="I603" i="11"/>
  <c r="H604" i="11"/>
  <c r="I649" i="4"/>
  <c r="E650" i="4"/>
  <c r="F650" i="4" s="1"/>
  <c r="G650" i="4"/>
  <c r="H650" i="4"/>
  <c r="C652" i="4"/>
  <c r="D651" i="4"/>
  <c r="K603" i="11" l="1"/>
  <c r="J604" i="11"/>
  <c r="H605" i="11"/>
  <c r="I604" i="11"/>
  <c r="I650" i="4"/>
  <c r="C653" i="4"/>
  <c r="D652" i="4"/>
  <c r="G651" i="4"/>
  <c r="E651" i="4"/>
  <c r="F651" i="4" s="1"/>
  <c r="H651" i="4" s="1"/>
  <c r="K604" i="11" l="1"/>
  <c r="J605" i="11"/>
  <c r="H606" i="11"/>
  <c r="I605" i="11"/>
  <c r="G652" i="4"/>
  <c r="E652" i="4"/>
  <c r="F652" i="4" s="1"/>
  <c r="H652" i="4"/>
  <c r="I651" i="4"/>
  <c r="C654" i="4"/>
  <c r="D653" i="4"/>
  <c r="I606" i="11" l="1"/>
  <c r="H607" i="11"/>
  <c r="K605" i="11"/>
  <c r="J606" i="11"/>
  <c r="C655" i="4"/>
  <c r="D654" i="4"/>
  <c r="G653" i="4"/>
  <c r="E653" i="4"/>
  <c r="F653" i="4" s="1"/>
  <c r="H653" i="4"/>
  <c r="I652" i="4"/>
  <c r="I607" i="11" l="1"/>
  <c r="H608" i="11"/>
  <c r="K606" i="11"/>
  <c r="J607" i="11"/>
  <c r="I653" i="4"/>
  <c r="E654" i="4"/>
  <c r="F654" i="4" s="1"/>
  <c r="H654" i="4" s="1"/>
  <c r="G654" i="4"/>
  <c r="C656" i="4"/>
  <c r="D655" i="4"/>
  <c r="H609" i="11" l="1"/>
  <c r="I608" i="11"/>
  <c r="K607" i="11"/>
  <c r="J608" i="11"/>
  <c r="I654" i="4"/>
  <c r="G655" i="4"/>
  <c r="E655" i="4"/>
  <c r="F655" i="4" s="1"/>
  <c r="H655" i="4"/>
  <c r="C657" i="4"/>
  <c r="D656" i="4"/>
  <c r="K608" i="11" l="1"/>
  <c r="J609" i="11"/>
  <c r="H610" i="11"/>
  <c r="I609" i="11"/>
  <c r="I655" i="4"/>
  <c r="G656" i="4"/>
  <c r="E656" i="4"/>
  <c r="F656" i="4" s="1"/>
  <c r="H656" i="4"/>
  <c r="C658" i="4"/>
  <c r="D657" i="4"/>
  <c r="K609" i="11" l="1"/>
  <c r="J610" i="11"/>
  <c r="H611" i="11"/>
  <c r="I610" i="11"/>
  <c r="C659" i="4"/>
  <c r="D658" i="4"/>
  <c r="G657" i="4"/>
  <c r="E657" i="4"/>
  <c r="F657" i="4" s="1"/>
  <c r="H657" i="4" s="1"/>
  <c r="I656" i="4"/>
  <c r="I611" i="11" l="1"/>
  <c r="H612" i="11"/>
  <c r="K610" i="11"/>
  <c r="J611" i="11"/>
  <c r="I657" i="4"/>
  <c r="E658" i="4"/>
  <c r="F658" i="4" s="1"/>
  <c r="G658" i="4"/>
  <c r="H658" i="4"/>
  <c r="C660" i="4"/>
  <c r="D659" i="4"/>
  <c r="H613" i="11" l="1"/>
  <c r="I612" i="11"/>
  <c r="K611" i="11"/>
  <c r="J612" i="11"/>
  <c r="I658" i="4"/>
  <c r="E659" i="4"/>
  <c r="F659" i="4" s="1"/>
  <c r="H659" i="4" s="1"/>
  <c r="G659" i="4"/>
  <c r="C661" i="4"/>
  <c r="D660" i="4"/>
  <c r="K612" i="11" l="1"/>
  <c r="J613" i="11"/>
  <c r="H614" i="11"/>
  <c r="I613" i="11"/>
  <c r="I659" i="4"/>
  <c r="E660" i="4"/>
  <c r="F660" i="4" s="1"/>
  <c r="H660" i="4" s="1"/>
  <c r="G660" i="4"/>
  <c r="C662" i="4"/>
  <c r="D661" i="4"/>
  <c r="I614" i="11" l="1"/>
  <c r="H615" i="11"/>
  <c r="K613" i="11"/>
  <c r="J614" i="11"/>
  <c r="I660" i="4"/>
  <c r="E661" i="4"/>
  <c r="F661" i="4" s="1"/>
  <c r="H661" i="4" s="1"/>
  <c r="G661" i="4"/>
  <c r="C663" i="4"/>
  <c r="D662" i="4"/>
  <c r="I615" i="11" l="1"/>
  <c r="H616" i="11"/>
  <c r="K614" i="11"/>
  <c r="J615" i="11"/>
  <c r="I661" i="4"/>
  <c r="E662" i="4"/>
  <c r="F662" i="4" s="1"/>
  <c r="H662" i="4" s="1"/>
  <c r="G662" i="4"/>
  <c r="C664" i="4"/>
  <c r="D663" i="4"/>
  <c r="I616" i="11" l="1"/>
  <c r="H617" i="11"/>
  <c r="K615" i="11"/>
  <c r="J616" i="11"/>
  <c r="I662" i="4"/>
  <c r="E663" i="4"/>
  <c r="F663" i="4" s="1"/>
  <c r="H663" i="4" s="1"/>
  <c r="G663" i="4"/>
  <c r="C665" i="4"/>
  <c r="D664" i="4"/>
  <c r="H618" i="11" l="1"/>
  <c r="I617" i="11"/>
  <c r="K616" i="11"/>
  <c r="J617" i="11"/>
  <c r="I663" i="4"/>
  <c r="E664" i="4"/>
  <c r="F664" i="4" s="1"/>
  <c r="H664" i="4" s="1"/>
  <c r="G664" i="4"/>
  <c r="C666" i="4"/>
  <c r="D665" i="4"/>
  <c r="K617" i="11" l="1"/>
  <c r="J618" i="11"/>
  <c r="I618" i="11"/>
  <c r="H619" i="11"/>
  <c r="I664" i="4"/>
  <c r="E665" i="4"/>
  <c r="F665" i="4" s="1"/>
  <c r="H665" i="4" s="1"/>
  <c r="G665" i="4"/>
  <c r="C667" i="4"/>
  <c r="D666" i="4"/>
  <c r="K618" i="11" l="1"/>
  <c r="J619" i="11"/>
  <c r="H620" i="11"/>
  <c r="I619" i="11"/>
  <c r="I665" i="4"/>
  <c r="E666" i="4"/>
  <c r="F666" i="4" s="1"/>
  <c r="H666" i="4"/>
  <c r="G666" i="4"/>
  <c r="C668" i="4"/>
  <c r="D667" i="4"/>
  <c r="H621" i="11" l="1"/>
  <c r="I620" i="11"/>
  <c r="K619" i="11"/>
  <c r="J620" i="11"/>
  <c r="I666" i="4"/>
  <c r="H667" i="4"/>
  <c r="G667" i="4"/>
  <c r="E667" i="4"/>
  <c r="F667" i="4" s="1"/>
  <c r="C669" i="4"/>
  <c r="D668" i="4"/>
  <c r="K620" i="11" l="1"/>
  <c r="J621" i="11"/>
  <c r="H622" i="11"/>
  <c r="I621" i="11"/>
  <c r="I667" i="4"/>
  <c r="G668" i="4"/>
  <c r="E668" i="4"/>
  <c r="F668" i="4" s="1"/>
  <c r="H668" i="4"/>
  <c r="C670" i="4"/>
  <c r="D669" i="4"/>
  <c r="K621" i="11" l="1"/>
  <c r="J622" i="11"/>
  <c r="I622" i="11"/>
  <c r="H623" i="11"/>
  <c r="G669" i="4"/>
  <c r="E669" i="4"/>
  <c r="F669" i="4" s="1"/>
  <c r="H669" i="4"/>
  <c r="C671" i="4"/>
  <c r="D670" i="4"/>
  <c r="I668" i="4"/>
  <c r="I623" i="11" l="1"/>
  <c r="H624" i="11"/>
  <c r="K622" i="11"/>
  <c r="J623" i="11"/>
  <c r="I669" i="4"/>
  <c r="E670" i="4"/>
  <c r="F670" i="4" s="1"/>
  <c r="G670" i="4"/>
  <c r="H670" i="4"/>
  <c r="C672" i="4"/>
  <c r="D671" i="4"/>
  <c r="I624" i="11" l="1"/>
  <c r="H625" i="11"/>
  <c r="K623" i="11"/>
  <c r="J624" i="11"/>
  <c r="I670" i="4"/>
  <c r="G671" i="4"/>
  <c r="E671" i="4"/>
  <c r="F671" i="4" s="1"/>
  <c r="H671" i="4"/>
  <c r="C673" i="4"/>
  <c r="D672" i="4"/>
  <c r="H626" i="11" l="1"/>
  <c r="I625" i="11"/>
  <c r="K624" i="11"/>
  <c r="J625" i="11"/>
  <c r="I671" i="4"/>
  <c r="G672" i="4"/>
  <c r="E672" i="4"/>
  <c r="F672" i="4" s="1"/>
  <c r="H672" i="4"/>
  <c r="C674" i="4"/>
  <c r="D673" i="4"/>
  <c r="K625" i="11" l="1"/>
  <c r="J626" i="11"/>
  <c r="I626" i="11"/>
  <c r="H627" i="11"/>
  <c r="G673" i="4"/>
  <c r="E673" i="4"/>
  <c r="F673" i="4" s="1"/>
  <c r="H673" i="4"/>
  <c r="C675" i="4"/>
  <c r="D674" i="4"/>
  <c r="I672" i="4"/>
  <c r="I627" i="11" l="1"/>
  <c r="H628" i="11"/>
  <c r="K626" i="11"/>
  <c r="J627" i="11"/>
  <c r="I673" i="4"/>
  <c r="E674" i="4"/>
  <c r="F674" i="4" s="1"/>
  <c r="G674" i="4"/>
  <c r="H674" i="4"/>
  <c r="C676" i="4"/>
  <c r="D675" i="4"/>
  <c r="I628" i="11" l="1"/>
  <c r="H629" i="11"/>
  <c r="K627" i="11"/>
  <c r="J628" i="11"/>
  <c r="I674" i="4"/>
  <c r="G675" i="4"/>
  <c r="H675" i="4"/>
  <c r="E675" i="4"/>
  <c r="F675" i="4" s="1"/>
  <c r="C677" i="4"/>
  <c r="D676" i="4"/>
  <c r="H630" i="11" l="1"/>
  <c r="I629" i="11"/>
  <c r="K628" i="11"/>
  <c r="J629" i="11"/>
  <c r="E676" i="4"/>
  <c r="F676" i="4" s="1"/>
  <c r="G676" i="4"/>
  <c r="H676" i="4"/>
  <c r="C678" i="4"/>
  <c r="D677" i="4"/>
  <c r="I675" i="4"/>
  <c r="K629" i="11" l="1"/>
  <c r="J630" i="11"/>
  <c r="H631" i="11"/>
  <c r="I630" i="11"/>
  <c r="G677" i="4"/>
  <c r="E677" i="4"/>
  <c r="F677" i="4" s="1"/>
  <c r="H677" i="4"/>
  <c r="C679" i="4"/>
  <c r="D678" i="4"/>
  <c r="I676" i="4"/>
  <c r="K630" i="11" l="1"/>
  <c r="J631" i="11"/>
  <c r="H632" i="11"/>
  <c r="I631" i="11"/>
  <c r="I677" i="4"/>
  <c r="E678" i="4"/>
  <c r="F678" i="4" s="1"/>
  <c r="G678" i="4"/>
  <c r="H678" i="4"/>
  <c r="C680" i="4"/>
  <c r="D679" i="4"/>
  <c r="K631" i="11" l="1"/>
  <c r="J632" i="11"/>
  <c r="I632" i="11"/>
  <c r="H633" i="11"/>
  <c r="C681" i="4"/>
  <c r="D680" i="4"/>
  <c r="G679" i="4"/>
  <c r="E679" i="4"/>
  <c r="F679" i="4" s="1"/>
  <c r="H679" i="4"/>
  <c r="I678" i="4"/>
  <c r="H634" i="11" l="1"/>
  <c r="I633" i="11"/>
  <c r="K632" i="11"/>
  <c r="J633" i="11"/>
  <c r="I679" i="4"/>
  <c r="E680" i="4"/>
  <c r="F680" i="4" s="1"/>
  <c r="G680" i="4"/>
  <c r="H680" i="4"/>
  <c r="C682" i="4"/>
  <c r="D681" i="4"/>
  <c r="K633" i="11" l="1"/>
  <c r="J634" i="11"/>
  <c r="I634" i="11"/>
  <c r="H635" i="11"/>
  <c r="I680" i="4"/>
  <c r="G681" i="4"/>
  <c r="E681" i="4"/>
  <c r="F681" i="4" s="1"/>
  <c r="H681" i="4"/>
  <c r="C683" i="4"/>
  <c r="D682" i="4"/>
  <c r="I635" i="11" l="1"/>
  <c r="H636" i="11"/>
  <c r="K634" i="11"/>
  <c r="J635" i="11"/>
  <c r="I681" i="4"/>
  <c r="E682" i="4"/>
  <c r="F682" i="4" s="1"/>
  <c r="G682" i="4"/>
  <c r="H682" i="4"/>
  <c r="C684" i="4"/>
  <c r="D683" i="4"/>
  <c r="I636" i="11" l="1"/>
  <c r="H637" i="11"/>
  <c r="K635" i="11"/>
  <c r="J636" i="11"/>
  <c r="I682" i="4"/>
  <c r="G683" i="4"/>
  <c r="E683" i="4"/>
  <c r="F683" i="4" s="1"/>
  <c r="H683" i="4"/>
  <c r="C685" i="4"/>
  <c r="D684" i="4"/>
  <c r="H638" i="11" l="1"/>
  <c r="I637" i="11"/>
  <c r="K636" i="11"/>
  <c r="J637" i="11"/>
  <c r="E684" i="4"/>
  <c r="F684" i="4" s="1"/>
  <c r="H684" i="4"/>
  <c r="G684" i="4"/>
  <c r="C686" i="4"/>
  <c r="D685" i="4"/>
  <c r="I683" i="4"/>
  <c r="K637" i="11" l="1"/>
  <c r="J638" i="11"/>
  <c r="H639" i="11"/>
  <c r="I638" i="11"/>
  <c r="C687" i="4"/>
  <c r="D686" i="4"/>
  <c r="G685" i="4"/>
  <c r="E685" i="4"/>
  <c r="F685" i="4" s="1"/>
  <c r="H685" i="4"/>
  <c r="I684" i="4"/>
  <c r="H640" i="11" l="1"/>
  <c r="I639" i="11"/>
  <c r="K638" i="11"/>
  <c r="J639" i="11"/>
  <c r="I685" i="4"/>
  <c r="E686" i="4"/>
  <c r="F686" i="4" s="1"/>
  <c r="G686" i="4"/>
  <c r="H686" i="4"/>
  <c r="C688" i="4"/>
  <c r="D687" i="4"/>
  <c r="K639" i="11" l="1"/>
  <c r="J640" i="11"/>
  <c r="H641" i="11"/>
  <c r="I640" i="11"/>
  <c r="I686" i="4"/>
  <c r="G687" i="4"/>
  <c r="E687" i="4"/>
  <c r="F687" i="4" s="1"/>
  <c r="H687" i="4" s="1"/>
  <c r="C689" i="4"/>
  <c r="D688" i="4"/>
  <c r="H642" i="11" l="1"/>
  <c r="I641" i="11"/>
  <c r="K640" i="11"/>
  <c r="J641" i="11"/>
  <c r="I687" i="4"/>
  <c r="E688" i="4"/>
  <c r="F688" i="4" s="1"/>
  <c r="G688" i="4"/>
  <c r="H688" i="4"/>
  <c r="C690" i="4"/>
  <c r="D689" i="4"/>
  <c r="K641" i="11" l="1"/>
  <c r="J642" i="11"/>
  <c r="I642" i="11"/>
  <c r="H643" i="11"/>
  <c r="I688" i="4"/>
  <c r="C691" i="4"/>
  <c r="D690" i="4"/>
  <c r="G689" i="4"/>
  <c r="E689" i="4"/>
  <c r="F689" i="4" s="1"/>
  <c r="H689" i="4"/>
  <c r="H644" i="11" l="1"/>
  <c r="I643" i="11"/>
  <c r="K642" i="11"/>
  <c r="J643" i="11"/>
  <c r="I689" i="4"/>
  <c r="E690" i="4"/>
  <c r="F690" i="4" s="1"/>
  <c r="G690" i="4"/>
  <c r="H690" i="4"/>
  <c r="C692" i="4"/>
  <c r="D691" i="4"/>
  <c r="K643" i="11" l="1"/>
  <c r="J644" i="11"/>
  <c r="I644" i="11"/>
  <c r="H645" i="11"/>
  <c r="I690" i="4"/>
  <c r="G691" i="4"/>
  <c r="E691" i="4"/>
  <c r="F691" i="4" s="1"/>
  <c r="H691" i="4" s="1"/>
  <c r="C693" i="4"/>
  <c r="D692" i="4"/>
  <c r="I645" i="11" l="1"/>
  <c r="H646" i="11"/>
  <c r="K644" i="11"/>
  <c r="J645" i="11"/>
  <c r="I691" i="4"/>
  <c r="E692" i="4"/>
  <c r="F692" i="4" s="1"/>
  <c r="H692" i="4"/>
  <c r="G692" i="4"/>
  <c r="C694" i="4"/>
  <c r="D693" i="4"/>
  <c r="H647" i="11" l="1"/>
  <c r="I646" i="11"/>
  <c r="K645" i="11"/>
  <c r="J646" i="11"/>
  <c r="C695" i="4"/>
  <c r="D694" i="4"/>
  <c r="G693" i="4"/>
  <c r="E693" i="4"/>
  <c r="F693" i="4" s="1"/>
  <c r="H693" i="4"/>
  <c r="I692" i="4"/>
  <c r="K646" i="11" l="1"/>
  <c r="J647" i="11"/>
  <c r="I647" i="11"/>
  <c r="H648" i="11"/>
  <c r="I693" i="4"/>
  <c r="E694" i="4"/>
  <c r="F694" i="4" s="1"/>
  <c r="G694" i="4"/>
  <c r="H694" i="4"/>
  <c r="C696" i="4"/>
  <c r="D695" i="4"/>
  <c r="K647" i="11" l="1"/>
  <c r="J648" i="11"/>
  <c r="I648" i="11"/>
  <c r="H649" i="11"/>
  <c r="C697" i="4"/>
  <c r="D696" i="4"/>
  <c r="I694" i="4"/>
  <c r="G695" i="4"/>
  <c r="E695" i="4"/>
  <c r="F695" i="4" s="1"/>
  <c r="H695" i="4"/>
  <c r="I649" i="11" l="1"/>
  <c r="H650" i="11"/>
  <c r="K648" i="11"/>
  <c r="J649" i="11"/>
  <c r="I695" i="4"/>
  <c r="E696" i="4"/>
  <c r="F696" i="4" s="1"/>
  <c r="G696" i="4"/>
  <c r="H696" i="4"/>
  <c r="C698" i="4"/>
  <c r="D697" i="4"/>
  <c r="I650" i="11" l="1"/>
  <c r="H651" i="11"/>
  <c r="K649" i="11"/>
  <c r="J650" i="11"/>
  <c r="I696" i="4"/>
  <c r="G697" i="4"/>
  <c r="E697" i="4"/>
  <c r="F697" i="4" s="1"/>
  <c r="H697" i="4" s="1"/>
  <c r="C699" i="4"/>
  <c r="D698" i="4"/>
  <c r="I651" i="11" l="1"/>
  <c r="H652" i="11"/>
  <c r="K650" i="11"/>
  <c r="J651" i="11"/>
  <c r="I697" i="4"/>
  <c r="E698" i="4"/>
  <c r="F698" i="4" s="1"/>
  <c r="H698" i="4"/>
  <c r="G698" i="4"/>
  <c r="C700" i="4"/>
  <c r="D699" i="4"/>
  <c r="H653" i="11" l="1"/>
  <c r="I652" i="11"/>
  <c r="K651" i="11"/>
  <c r="J652" i="11"/>
  <c r="I698" i="4"/>
  <c r="E699" i="4"/>
  <c r="F699" i="4" s="1"/>
  <c r="H699" i="4" s="1"/>
  <c r="G699" i="4"/>
  <c r="C701" i="4"/>
  <c r="D700" i="4"/>
  <c r="K652" i="11" l="1"/>
  <c r="J653" i="11"/>
  <c r="I653" i="11"/>
  <c r="H654" i="11"/>
  <c r="I699" i="4"/>
  <c r="E700" i="4"/>
  <c r="F700" i="4" s="1"/>
  <c r="H700" i="4"/>
  <c r="G700" i="4"/>
  <c r="C702" i="4"/>
  <c r="D701" i="4"/>
  <c r="K653" i="11" l="1"/>
  <c r="J654" i="11"/>
  <c r="H655" i="11"/>
  <c r="I654" i="11"/>
  <c r="I700" i="4"/>
  <c r="E701" i="4"/>
  <c r="F701" i="4" s="1"/>
  <c r="H701" i="4" s="1"/>
  <c r="G701" i="4"/>
  <c r="C703" i="4"/>
  <c r="D702" i="4"/>
  <c r="K654" i="11" l="1"/>
  <c r="J655" i="11"/>
  <c r="H656" i="11"/>
  <c r="I655" i="11"/>
  <c r="I701" i="4"/>
  <c r="E702" i="4"/>
  <c r="F702" i="4" s="1"/>
  <c r="H702" i="4"/>
  <c r="G702" i="4"/>
  <c r="C704" i="4"/>
  <c r="D703" i="4"/>
  <c r="I656" i="11" l="1"/>
  <c r="H657" i="11"/>
  <c r="K655" i="11"/>
  <c r="J656" i="11"/>
  <c r="I702" i="4"/>
  <c r="E703" i="4"/>
  <c r="F703" i="4" s="1"/>
  <c r="H703" i="4" s="1"/>
  <c r="G703" i="4"/>
  <c r="C705" i="4"/>
  <c r="D704" i="4"/>
  <c r="I657" i="11" l="1"/>
  <c r="H658" i="11"/>
  <c r="K656" i="11"/>
  <c r="J657" i="11"/>
  <c r="I703" i="4"/>
  <c r="E704" i="4"/>
  <c r="F704" i="4" s="1"/>
  <c r="H704" i="4"/>
  <c r="G704" i="4"/>
  <c r="C706" i="4"/>
  <c r="D705" i="4"/>
  <c r="I658" i="11" l="1"/>
  <c r="H659" i="11"/>
  <c r="K657" i="11"/>
  <c r="J658" i="11"/>
  <c r="I704" i="4"/>
  <c r="E705" i="4"/>
  <c r="F705" i="4" s="1"/>
  <c r="H705" i="4"/>
  <c r="G705" i="4"/>
  <c r="C707" i="4"/>
  <c r="D706" i="4"/>
  <c r="I659" i="11" l="1"/>
  <c r="H660" i="11"/>
  <c r="K658" i="11"/>
  <c r="J659" i="11"/>
  <c r="I705" i="4"/>
  <c r="E706" i="4"/>
  <c r="F706" i="4" s="1"/>
  <c r="H706" i="4"/>
  <c r="G706" i="4"/>
  <c r="C708" i="4"/>
  <c r="D707" i="4"/>
  <c r="I660" i="11" l="1"/>
  <c r="H661" i="11"/>
  <c r="K659" i="11"/>
  <c r="J660" i="11"/>
  <c r="I706" i="4"/>
  <c r="G707" i="4"/>
  <c r="E707" i="4"/>
  <c r="F707" i="4" s="1"/>
  <c r="H707" i="4"/>
  <c r="C709" i="4"/>
  <c r="D708" i="4"/>
  <c r="H662" i="11" l="1"/>
  <c r="I661" i="11"/>
  <c r="K660" i="11"/>
  <c r="J661" i="11"/>
  <c r="C710" i="4"/>
  <c r="D709" i="4"/>
  <c r="E708" i="4"/>
  <c r="F708" i="4" s="1"/>
  <c r="H708" i="4"/>
  <c r="G708" i="4"/>
  <c r="I707" i="4"/>
  <c r="K661" i="11" l="1"/>
  <c r="J662" i="11"/>
  <c r="I662" i="11"/>
  <c r="H663" i="11"/>
  <c r="I708" i="4"/>
  <c r="G709" i="4"/>
  <c r="E709" i="4"/>
  <c r="F709" i="4" s="1"/>
  <c r="H709" i="4"/>
  <c r="C711" i="4"/>
  <c r="D710" i="4"/>
  <c r="I663" i="11" l="1"/>
  <c r="H664" i="11"/>
  <c r="K662" i="11"/>
  <c r="J663" i="11"/>
  <c r="I709" i="4"/>
  <c r="E710" i="4"/>
  <c r="F710" i="4" s="1"/>
  <c r="G710" i="4"/>
  <c r="H710" i="4"/>
  <c r="C712" i="4"/>
  <c r="D711" i="4"/>
  <c r="I664" i="11" l="1"/>
  <c r="H665" i="11"/>
  <c r="K663" i="11"/>
  <c r="J664" i="11"/>
  <c r="I710" i="4"/>
  <c r="G711" i="4"/>
  <c r="E711" i="4"/>
  <c r="F711" i="4" s="1"/>
  <c r="H711" i="4"/>
  <c r="C713" i="4"/>
  <c r="D712" i="4"/>
  <c r="H666" i="11" l="1"/>
  <c r="I665" i="11"/>
  <c r="K664" i="11"/>
  <c r="J665" i="11"/>
  <c r="I711" i="4"/>
  <c r="E712" i="4"/>
  <c r="F712" i="4" s="1"/>
  <c r="G712" i="4"/>
  <c r="H712" i="4"/>
  <c r="C714" i="4"/>
  <c r="D713" i="4"/>
  <c r="K665" i="11" l="1"/>
  <c r="J666" i="11"/>
  <c r="I666" i="11"/>
  <c r="H667" i="11"/>
  <c r="I712" i="4"/>
  <c r="G713" i="4"/>
  <c r="H713" i="4"/>
  <c r="E713" i="4"/>
  <c r="F713" i="4" s="1"/>
  <c r="C715" i="4"/>
  <c r="D714" i="4"/>
  <c r="I667" i="11" l="1"/>
  <c r="H668" i="11"/>
  <c r="K666" i="11"/>
  <c r="J667" i="11"/>
  <c r="I713" i="4"/>
  <c r="E714" i="4"/>
  <c r="F714" i="4" s="1"/>
  <c r="G714" i="4"/>
  <c r="H714" i="4"/>
  <c r="C716" i="4"/>
  <c r="D715" i="4"/>
  <c r="I668" i="11" l="1"/>
  <c r="H669" i="11"/>
  <c r="K667" i="11"/>
  <c r="J668" i="11"/>
  <c r="I714" i="4"/>
  <c r="G715" i="4"/>
  <c r="E715" i="4"/>
  <c r="F715" i="4" s="1"/>
  <c r="H715" i="4"/>
  <c r="C717" i="4"/>
  <c r="D716" i="4"/>
  <c r="H670" i="11" l="1"/>
  <c r="I669" i="11"/>
  <c r="K668" i="11"/>
  <c r="J669" i="11"/>
  <c r="E716" i="4"/>
  <c r="F716" i="4" s="1"/>
  <c r="G716" i="4"/>
  <c r="H716" i="4"/>
  <c r="C718" i="4"/>
  <c r="D717" i="4"/>
  <c r="I715" i="4"/>
  <c r="K669" i="11" l="1"/>
  <c r="J670" i="11"/>
  <c r="H671" i="11"/>
  <c r="I670" i="11"/>
  <c r="C719" i="4"/>
  <c r="D718" i="4"/>
  <c r="I716" i="4"/>
  <c r="G717" i="4"/>
  <c r="H717" i="4"/>
  <c r="E717" i="4"/>
  <c r="F717" i="4" s="1"/>
  <c r="K670" i="11" l="1"/>
  <c r="J671" i="11"/>
  <c r="I671" i="11"/>
  <c r="H672" i="11"/>
  <c r="I717" i="4"/>
  <c r="E718" i="4"/>
  <c r="F718" i="4" s="1"/>
  <c r="H718" i="4"/>
  <c r="G718" i="4"/>
  <c r="C720" i="4"/>
  <c r="D719" i="4"/>
  <c r="K671" i="11" l="1"/>
  <c r="J672" i="11"/>
  <c r="I672" i="11"/>
  <c r="H673" i="11"/>
  <c r="C721" i="4"/>
  <c r="D720" i="4"/>
  <c r="G719" i="4"/>
  <c r="H719" i="4"/>
  <c r="E719" i="4"/>
  <c r="F719" i="4" s="1"/>
  <c r="I718" i="4"/>
  <c r="H674" i="11" l="1"/>
  <c r="I673" i="11"/>
  <c r="K672" i="11"/>
  <c r="J673" i="11"/>
  <c r="I719" i="4"/>
  <c r="E720" i="4"/>
  <c r="F720" i="4" s="1"/>
  <c r="G720" i="4"/>
  <c r="H720" i="4"/>
  <c r="C722" i="4"/>
  <c r="D721" i="4"/>
  <c r="K673" i="11" l="1"/>
  <c r="J674" i="11"/>
  <c r="I674" i="11"/>
  <c r="H675" i="11"/>
  <c r="I720" i="4"/>
  <c r="C723" i="4"/>
  <c r="D722" i="4"/>
  <c r="G721" i="4"/>
  <c r="E721" i="4"/>
  <c r="F721" i="4" s="1"/>
  <c r="H721" i="4"/>
  <c r="H676" i="11" l="1"/>
  <c r="I675" i="11"/>
  <c r="K674" i="11"/>
  <c r="J675" i="11"/>
  <c r="I721" i="4"/>
  <c r="E722" i="4"/>
  <c r="F722" i="4" s="1"/>
  <c r="G722" i="4"/>
  <c r="H722" i="4"/>
  <c r="C724" i="4"/>
  <c r="D723" i="4"/>
  <c r="K675" i="11" l="1"/>
  <c r="J676" i="11"/>
  <c r="I676" i="11"/>
  <c r="H677" i="11"/>
  <c r="I722" i="4"/>
  <c r="G723" i="4"/>
  <c r="H723" i="4"/>
  <c r="E723" i="4"/>
  <c r="F723" i="4" s="1"/>
  <c r="C725" i="4"/>
  <c r="D724" i="4"/>
  <c r="K676" i="11" l="1"/>
  <c r="J677" i="11"/>
  <c r="I677" i="11"/>
  <c r="H678" i="11"/>
  <c r="C726" i="4"/>
  <c r="D725" i="4"/>
  <c r="E724" i="4"/>
  <c r="F724" i="4" s="1"/>
  <c r="H724" i="4"/>
  <c r="G724" i="4"/>
  <c r="I723" i="4"/>
  <c r="H679" i="11" l="1"/>
  <c r="I678" i="11"/>
  <c r="K677" i="11"/>
  <c r="J678" i="11"/>
  <c r="I724" i="4"/>
  <c r="G725" i="4"/>
  <c r="E725" i="4"/>
  <c r="F725" i="4" s="1"/>
  <c r="H725" i="4"/>
  <c r="C727" i="4"/>
  <c r="D726" i="4"/>
  <c r="K678" i="11" l="1"/>
  <c r="J679" i="11"/>
  <c r="H680" i="11"/>
  <c r="I679" i="11"/>
  <c r="I725" i="4"/>
  <c r="E726" i="4"/>
  <c r="F726" i="4" s="1"/>
  <c r="G726" i="4"/>
  <c r="H726" i="4"/>
  <c r="C728" i="4"/>
  <c r="D727" i="4"/>
  <c r="I680" i="11" l="1"/>
  <c r="H681" i="11"/>
  <c r="K679" i="11"/>
  <c r="J680" i="11"/>
  <c r="C729" i="4"/>
  <c r="D728" i="4"/>
  <c r="I726" i="4"/>
  <c r="G727" i="4"/>
  <c r="E727" i="4"/>
  <c r="F727" i="4" s="1"/>
  <c r="H727" i="4"/>
  <c r="H682" i="11" l="1"/>
  <c r="I681" i="11"/>
  <c r="K680" i="11"/>
  <c r="J681" i="11"/>
  <c r="I727" i="4"/>
  <c r="E728" i="4"/>
  <c r="F728" i="4" s="1"/>
  <c r="G728" i="4"/>
  <c r="H728" i="4"/>
  <c r="C730" i="4"/>
  <c r="D729" i="4"/>
  <c r="K681" i="11" l="1"/>
  <c r="J682" i="11"/>
  <c r="I682" i="11"/>
  <c r="H683" i="11"/>
  <c r="I728" i="4"/>
  <c r="G729" i="4"/>
  <c r="E729" i="4"/>
  <c r="F729" i="4" s="1"/>
  <c r="H729" i="4" s="1"/>
  <c r="C731" i="4"/>
  <c r="D730" i="4"/>
  <c r="I683" i="11" l="1"/>
  <c r="H684" i="11"/>
  <c r="K682" i="11"/>
  <c r="J683" i="11"/>
  <c r="I729" i="4"/>
  <c r="E730" i="4"/>
  <c r="F730" i="4" s="1"/>
  <c r="G730" i="4"/>
  <c r="H730" i="4"/>
  <c r="C732" i="4"/>
  <c r="D731" i="4"/>
  <c r="H685" i="11" l="1"/>
  <c r="I684" i="11"/>
  <c r="K683" i="11"/>
  <c r="J684" i="11"/>
  <c r="I730" i="4"/>
  <c r="C733" i="4"/>
  <c r="D732" i="4"/>
  <c r="G731" i="4"/>
  <c r="H731" i="4"/>
  <c r="E731" i="4"/>
  <c r="F731" i="4" s="1"/>
  <c r="K684" i="11" l="1"/>
  <c r="J685" i="11"/>
  <c r="H686" i="11"/>
  <c r="I685" i="11"/>
  <c r="E732" i="4"/>
  <c r="F732" i="4" s="1"/>
  <c r="G732" i="4"/>
  <c r="H732" i="4"/>
  <c r="I731" i="4"/>
  <c r="C734" i="4"/>
  <c r="D733" i="4"/>
  <c r="K685" i="11" l="1"/>
  <c r="J686" i="11"/>
  <c r="H687" i="11"/>
  <c r="I686" i="11"/>
  <c r="C735" i="4"/>
  <c r="D734" i="4"/>
  <c r="G733" i="4"/>
  <c r="E733" i="4"/>
  <c r="F733" i="4" s="1"/>
  <c r="H733" i="4" s="1"/>
  <c r="I732" i="4"/>
  <c r="H688" i="11" l="1"/>
  <c r="I687" i="11"/>
  <c r="K686" i="11"/>
  <c r="J687" i="11"/>
  <c r="I733" i="4"/>
  <c r="E734" i="4"/>
  <c r="F734" i="4" s="1"/>
  <c r="G734" i="4"/>
  <c r="H734" i="4"/>
  <c r="C736" i="4"/>
  <c r="D735" i="4"/>
  <c r="K687" i="11" l="1"/>
  <c r="J688" i="11"/>
  <c r="I688" i="11"/>
  <c r="H689" i="11"/>
  <c r="I734" i="4"/>
  <c r="G735" i="4"/>
  <c r="E735" i="4"/>
  <c r="F735" i="4" s="1"/>
  <c r="H735" i="4" s="1"/>
  <c r="C737" i="4"/>
  <c r="D736" i="4"/>
  <c r="I689" i="11" l="1"/>
  <c r="H690" i="11"/>
  <c r="K688" i="11"/>
  <c r="J689" i="11"/>
  <c r="I735" i="4"/>
  <c r="E736" i="4"/>
  <c r="F736" i="4" s="1"/>
  <c r="G736" i="4"/>
  <c r="H736" i="4"/>
  <c r="C738" i="4"/>
  <c r="D737" i="4"/>
  <c r="I690" i="11" l="1"/>
  <c r="H691" i="11"/>
  <c r="K689" i="11"/>
  <c r="J690" i="11"/>
  <c r="C739" i="4"/>
  <c r="D738" i="4"/>
  <c r="I736" i="4"/>
  <c r="G737" i="4"/>
  <c r="E737" i="4"/>
  <c r="F737" i="4" s="1"/>
  <c r="H737" i="4"/>
  <c r="I691" i="11" l="1"/>
  <c r="H692" i="11"/>
  <c r="K690" i="11"/>
  <c r="J691" i="11"/>
  <c r="I737" i="4"/>
  <c r="E738" i="4"/>
  <c r="F738" i="4" s="1"/>
  <c r="H738" i="4"/>
  <c r="G738" i="4"/>
  <c r="C740" i="4"/>
  <c r="D739" i="4"/>
  <c r="I692" i="11" l="1"/>
  <c r="H693" i="11"/>
  <c r="K691" i="11"/>
  <c r="J692" i="11"/>
  <c r="I738" i="4"/>
  <c r="E739" i="4"/>
  <c r="F739" i="4" s="1"/>
  <c r="H739" i="4" s="1"/>
  <c r="G739" i="4"/>
  <c r="C741" i="4"/>
  <c r="D740" i="4"/>
  <c r="I693" i="11" l="1"/>
  <c r="H694" i="11"/>
  <c r="K692" i="11"/>
  <c r="J693" i="11"/>
  <c r="I739" i="4"/>
  <c r="E740" i="4"/>
  <c r="F740" i="4" s="1"/>
  <c r="H740" i="4"/>
  <c r="G740" i="4"/>
  <c r="C742" i="4"/>
  <c r="D741" i="4"/>
  <c r="H695" i="11" l="1"/>
  <c r="I694" i="11"/>
  <c r="K693" i="11"/>
  <c r="J694" i="11"/>
  <c r="I740" i="4"/>
  <c r="E741" i="4"/>
  <c r="F741" i="4" s="1"/>
  <c r="H741" i="4"/>
  <c r="G741" i="4"/>
  <c r="C743" i="4"/>
  <c r="D742" i="4"/>
  <c r="K694" i="11" l="1"/>
  <c r="J695" i="11"/>
  <c r="H696" i="11"/>
  <c r="I695" i="11"/>
  <c r="I741" i="4"/>
  <c r="E742" i="4"/>
  <c r="F742" i="4" s="1"/>
  <c r="H742" i="4"/>
  <c r="G742" i="4"/>
  <c r="C744" i="4"/>
  <c r="D743" i="4"/>
  <c r="H697" i="11" l="1"/>
  <c r="I696" i="11"/>
  <c r="K695" i="11"/>
  <c r="J696" i="11"/>
  <c r="I742" i="4"/>
  <c r="C745" i="4"/>
  <c r="D744" i="4"/>
  <c r="G743" i="4"/>
  <c r="H743" i="4"/>
  <c r="E743" i="4"/>
  <c r="F743" i="4" s="1"/>
  <c r="K696" i="11" l="1"/>
  <c r="J697" i="11"/>
  <c r="H698" i="11"/>
  <c r="I697" i="11"/>
  <c r="I743" i="4"/>
  <c r="E744" i="4"/>
  <c r="F744" i="4" s="1"/>
  <c r="H744" i="4"/>
  <c r="G744" i="4"/>
  <c r="C746" i="4"/>
  <c r="D745" i="4"/>
  <c r="I698" i="11" l="1"/>
  <c r="H699" i="11"/>
  <c r="K697" i="11"/>
  <c r="J698" i="11"/>
  <c r="I744" i="4"/>
  <c r="H745" i="4"/>
  <c r="E745" i="4"/>
  <c r="F745" i="4" s="1"/>
  <c r="G745" i="4"/>
  <c r="C747" i="4"/>
  <c r="D746" i="4"/>
  <c r="H700" i="11" l="1"/>
  <c r="I699" i="11"/>
  <c r="K698" i="11"/>
  <c r="J699" i="11"/>
  <c r="I745" i="4"/>
  <c r="E746" i="4"/>
  <c r="F746" i="4" s="1"/>
  <c r="H746" i="4"/>
  <c r="G746" i="4"/>
  <c r="C748" i="4"/>
  <c r="D747" i="4"/>
  <c r="K699" i="11" l="1"/>
  <c r="J700" i="11"/>
  <c r="I700" i="11"/>
  <c r="H701" i="11"/>
  <c r="I746" i="4"/>
  <c r="G747" i="4"/>
  <c r="E747" i="4"/>
  <c r="F747" i="4" s="1"/>
  <c r="H747" i="4"/>
  <c r="C749" i="4"/>
  <c r="D748" i="4"/>
  <c r="I701" i="11" l="1"/>
  <c r="H702" i="11"/>
  <c r="K700" i="11"/>
  <c r="J701" i="11"/>
  <c r="E748" i="4"/>
  <c r="F748" i="4" s="1"/>
  <c r="G748" i="4"/>
  <c r="H748" i="4"/>
  <c r="C750" i="4"/>
  <c r="D749" i="4"/>
  <c r="I747" i="4"/>
  <c r="I702" i="11" l="1"/>
  <c r="H703" i="11"/>
  <c r="K701" i="11"/>
  <c r="J702" i="11"/>
  <c r="G749" i="4"/>
  <c r="H749" i="4"/>
  <c r="E749" i="4"/>
  <c r="F749" i="4" s="1"/>
  <c r="C751" i="4"/>
  <c r="D750" i="4"/>
  <c r="I748" i="4"/>
  <c r="H704" i="11" l="1"/>
  <c r="I703" i="11"/>
  <c r="K702" i="11"/>
  <c r="J703" i="11"/>
  <c r="I749" i="4"/>
  <c r="E750" i="4"/>
  <c r="F750" i="4" s="1"/>
  <c r="G750" i="4"/>
  <c r="H750" i="4"/>
  <c r="C752" i="4"/>
  <c r="D751" i="4"/>
  <c r="K703" i="11" l="1"/>
  <c r="J704" i="11"/>
  <c r="I704" i="11"/>
  <c r="H705" i="11"/>
  <c r="C753" i="4"/>
  <c r="D752" i="4"/>
  <c r="I750" i="4"/>
  <c r="G751" i="4"/>
  <c r="H751" i="4"/>
  <c r="E751" i="4"/>
  <c r="F751" i="4" s="1"/>
  <c r="K704" i="11" l="1"/>
  <c r="J705" i="11"/>
  <c r="I705" i="11"/>
  <c r="H706" i="11"/>
  <c r="I751" i="4"/>
  <c r="E752" i="4"/>
  <c r="F752" i="4" s="1"/>
  <c r="G752" i="4"/>
  <c r="H752" i="4"/>
  <c r="C754" i="4"/>
  <c r="D753" i="4"/>
  <c r="K705" i="11" l="1"/>
  <c r="J706" i="11"/>
  <c r="H707" i="11"/>
  <c r="I706" i="11"/>
  <c r="I752" i="4"/>
  <c r="G753" i="4"/>
  <c r="E753" i="4"/>
  <c r="F753" i="4" s="1"/>
  <c r="H753" i="4"/>
  <c r="C755" i="4"/>
  <c r="D754" i="4"/>
  <c r="K706" i="11" l="1"/>
  <c r="J707" i="11"/>
  <c r="I707" i="11"/>
  <c r="H708" i="11"/>
  <c r="I753" i="4"/>
  <c r="E754" i="4"/>
  <c r="F754" i="4" s="1"/>
  <c r="G754" i="4"/>
  <c r="H754" i="4"/>
  <c r="C756" i="4"/>
  <c r="D755" i="4"/>
  <c r="K707" i="11" l="1"/>
  <c r="J708" i="11"/>
  <c r="I708" i="11"/>
  <c r="H709" i="11"/>
  <c r="C757" i="4"/>
  <c r="D756" i="4"/>
  <c r="I754" i="4"/>
  <c r="G755" i="4"/>
  <c r="E755" i="4"/>
  <c r="F755" i="4" s="1"/>
  <c r="H755" i="4"/>
  <c r="I709" i="11" l="1"/>
  <c r="H710" i="11"/>
  <c r="K708" i="11"/>
  <c r="J709" i="11"/>
  <c r="E756" i="4"/>
  <c r="F756" i="4" s="1"/>
  <c r="H756" i="4"/>
  <c r="G756" i="4"/>
  <c r="I755" i="4"/>
  <c r="C758" i="4"/>
  <c r="D757" i="4"/>
  <c r="I710" i="11" l="1"/>
  <c r="H711" i="11"/>
  <c r="K709" i="11"/>
  <c r="J710" i="11"/>
  <c r="G757" i="4"/>
  <c r="E757" i="4"/>
  <c r="F757" i="4" s="1"/>
  <c r="H757" i="4"/>
  <c r="C759" i="4"/>
  <c r="D758" i="4"/>
  <c r="I756" i="4"/>
  <c r="H712" i="11" l="1"/>
  <c r="I711" i="11"/>
  <c r="K710" i="11"/>
  <c r="J711" i="11"/>
  <c r="I757" i="4"/>
  <c r="C760" i="4"/>
  <c r="D759" i="4"/>
  <c r="E758" i="4"/>
  <c r="F758" i="4" s="1"/>
  <c r="G758" i="4"/>
  <c r="H758" i="4"/>
  <c r="K711" i="11" l="1"/>
  <c r="J712" i="11"/>
  <c r="I712" i="11"/>
  <c r="H713" i="11"/>
  <c r="I758" i="4"/>
  <c r="G759" i="4"/>
  <c r="H759" i="4"/>
  <c r="E759" i="4"/>
  <c r="F759" i="4" s="1"/>
  <c r="C761" i="4"/>
  <c r="D760" i="4"/>
  <c r="H714" i="11" l="1"/>
  <c r="I713" i="11"/>
  <c r="K712" i="11"/>
  <c r="J713" i="11"/>
  <c r="I759" i="4"/>
  <c r="C762" i="4"/>
  <c r="D761" i="4"/>
  <c r="E760" i="4"/>
  <c r="F760" i="4" s="1"/>
  <c r="G760" i="4"/>
  <c r="H760" i="4"/>
  <c r="K713" i="11" l="1"/>
  <c r="J714" i="11"/>
  <c r="H715" i="11"/>
  <c r="I714" i="11"/>
  <c r="I760" i="4"/>
  <c r="G761" i="4"/>
  <c r="H761" i="4"/>
  <c r="E761" i="4"/>
  <c r="F761" i="4" s="1"/>
  <c r="C763" i="4"/>
  <c r="D762" i="4"/>
  <c r="H716" i="11" l="1"/>
  <c r="I715" i="11"/>
  <c r="K714" i="11"/>
  <c r="J715" i="11"/>
  <c r="I761" i="4"/>
  <c r="C764" i="4"/>
  <c r="D763" i="4"/>
  <c r="E762" i="4"/>
  <c r="F762" i="4" s="1"/>
  <c r="G762" i="4"/>
  <c r="H762" i="4"/>
  <c r="K715" i="11" l="1"/>
  <c r="J716" i="11"/>
  <c r="I716" i="11"/>
  <c r="H717" i="11"/>
  <c r="I762" i="4"/>
  <c r="G763" i="4"/>
  <c r="E763" i="4"/>
  <c r="F763" i="4" s="1"/>
  <c r="H763" i="4" s="1"/>
  <c r="C765" i="4"/>
  <c r="D764" i="4"/>
  <c r="K716" i="11" l="1"/>
  <c r="J717" i="11"/>
  <c r="I717" i="11"/>
  <c r="H718" i="11"/>
  <c r="E764" i="4"/>
  <c r="F764" i="4" s="1"/>
  <c r="H764" i="4"/>
  <c r="G764" i="4"/>
  <c r="C766" i="4"/>
  <c r="D765" i="4"/>
  <c r="I763" i="4"/>
  <c r="K717" i="11" l="1"/>
  <c r="J718" i="11"/>
  <c r="H719" i="11"/>
  <c r="I718" i="11"/>
  <c r="C767" i="4"/>
  <c r="D766" i="4"/>
  <c r="G765" i="4"/>
  <c r="E765" i="4"/>
  <c r="F765" i="4" s="1"/>
  <c r="H765" i="4"/>
  <c r="I764" i="4"/>
  <c r="H720" i="11" l="1"/>
  <c r="I719" i="11"/>
  <c r="K718" i="11"/>
  <c r="J719" i="11"/>
  <c r="I765" i="4"/>
  <c r="E766" i="4"/>
  <c r="F766" i="4" s="1"/>
  <c r="G766" i="4"/>
  <c r="H766" i="4"/>
  <c r="C768" i="4"/>
  <c r="D767" i="4"/>
  <c r="K719" i="11" l="1"/>
  <c r="J720" i="11"/>
  <c r="I720" i="11"/>
  <c r="H721" i="11"/>
  <c r="I766" i="4"/>
  <c r="G767" i="4"/>
  <c r="E767" i="4"/>
  <c r="F767" i="4" s="1"/>
  <c r="H767" i="4" s="1"/>
  <c r="C769" i="4"/>
  <c r="D768" i="4"/>
  <c r="H722" i="11" l="1"/>
  <c r="I721" i="11"/>
  <c r="K720" i="11"/>
  <c r="J721" i="11"/>
  <c r="I767" i="4"/>
  <c r="E768" i="4"/>
  <c r="F768" i="4" s="1"/>
  <c r="G768" i="4"/>
  <c r="H768" i="4"/>
  <c r="C770" i="4"/>
  <c r="D769" i="4"/>
  <c r="K721" i="11" l="1"/>
  <c r="J722" i="11"/>
  <c r="I722" i="11"/>
  <c r="H723" i="11"/>
  <c r="I768" i="4"/>
  <c r="G769" i="4"/>
  <c r="E769" i="4"/>
  <c r="F769" i="4" s="1"/>
  <c r="H769" i="4"/>
  <c r="C771" i="4"/>
  <c r="D770" i="4"/>
  <c r="H724" i="11" l="1"/>
  <c r="I723" i="11"/>
  <c r="K722" i="11"/>
  <c r="J723" i="11"/>
  <c r="I769" i="4"/>
  <c r="E770" i="4"/>
  <c r="F770" i="4" s="1"/>
  <c r="G770" i="4"/>
  <c r="H770" i="4"/>
  <c r="C772" i="4"/>
  <c r="D771" i="4"/>
  <c r="K723" i="11" l="1"/>
  <c r="J724" i="11"/>
  <c r="H725" i="11"/>
  <c r="I724" i="11"/>
  <c r="I770" i="4"/>
  <c r="G771" i="4"/>
  <c r="E771" i="4"/>
  <c r="F771" i="4" s="1"/>
  <c r="H771" i="4" s="1"/>
  <c r="C773" i="4"/>
  <c r="D772" i="4"/>
  <c r="K724" i="11" l="1"/>
  <c r="J725" i="11"/>
  <c r="H726" i="11"/>
  <c r="I725" i="11"/>
  <c r="E772" i="4"/>
  <c r="F772" i="4" s="1"/>
  <c r="G772" i="4"/>
  <c r="H772" i="4"/>
  <c r="C774" i="4"/>
  <c r="D773" i="4"/>
  <c r="I771" i="4"/>
  <c r="K725" i="11" l="1"/>
  <c r="J726" i="11"/>
  <c r="I726" i="11"/>
  <c r="H727" i="11"/>
  <c r="C775" i="4"/>
  <c r="D774" i="4"/>
  <c r="G773" i="4"/>
  <c r="E773" i="4"/>
  <c r="F773" i="4" s="1"/>
  <c r="H773" i="4"/>
  <c r="I772" i="4"/>
  <c r="I727" i="11" l="1"/>
  <c r="H728" i="11"/>
  <c r="K726" i="11"/>
  <c r="J727" i="11"/>
  <c r="I773" i="4"/>
  <c r="E774" i="4"/>
  <c r="F774" i="4" s="1"/>
  <c r="G774" i="4"/>
  <c r="H774" i="4"/>
  <c r="C776" i="4"/>
  <c r="D775" i="4"/>
  <c r="H729" i="11" l="1"/>
  <c r="I728" i="11"/>
  <c r="K727" i="11"/>
  <c r="J728" i="11"/>
  <c r="G775" i="4"/>
  <c r="E775" i="4"/>
  <c r="F775" i="4" s="1"/>
  <c r="H775" i="4" s="1"/>
  <c r="C777" i="4"/>
  <c r="D776" i="4"/>
  <c r="I774" i="4"/>
  <c r="K728" i="11" l="1"/>
  <c r="J729" i="11"/>
  <c r="I729" i="11"/>
  <c r="H730" i="11"/>
  <c r="I775" i="4"/>
  <c r="C778" i="4"/>
  <c r="D777" i="4"/>
  <c r="E776" i="4"/>
  <c r="F776" i="4" s="1"/>
  <c r="G776" i="4"/>
  <c r="H776" i="4"/>
  <c r="I730" i="11" l="1"/>
  <c r="H731" i="11"/>
  <c r="K729" i="11"/>
  <c r="J730" i="11"/>
  <c r="I776" i="4"/>
  <c r="G777" i="4"/>
  <c r="E777" i="4"/>
  <c r="F777" i="4" s="1"/>
  <c r="H777" i="4"/>
  <c r="C779" i="4"/>
  <c r="D778" i="4"/>
  <c r="H732" i="11" l="1"/>
  <c r="I731" i="11"/>
  <c r="K730" i="11"/>
  <c r="J731" i="11"/>
  <c r="I777" i="4"/>
  <c r="E778" i="4"/>
  <c r="F778" i="4" s="1"/>
  <c r="H778" i="4"/>
  <c r="G778" i="4"/>
  <c r="C780" i="4"/>
  <c r="D779" i="4"/>
  <c r="K731" i="11" l="1"/>
  <c r="J732" i="11"/>
  <c r="H733" i="11"/>
  <c r="I732" i="11"/>
  <c r="I778" i="4"/>
  <c r="E779" i="4"/>
  <c r="F779" i="4" s="1"/>
  <c r="H779" i="4" s="1"/>
  <c r="G779" i="4"/>
  <c r="C781" i="4"/>
  <c r="D780" i="4"/>
  <c r="I733" i="11" l="1"/>
  <c r="H734" i="11"/>
  <c r="K732" i="11"/>
  <c r="J733" i="11"/>
  <c r="I779" i="4"/>
  <c r="E780" i="4"/>
  <c r="F780" i="4" s="1"/>
  <c r="H780" i="4"/>
  <c r="G780" i="4"/>
  <c r="C782" i="4"/>
  <c r="D781" i="4"/>
  <c r="H735" i="11" l="1"/>
  <c r="I734" i="11"/>
  <c r="K733" i="11"/>
  <c r="J734" i="11"/>
  <c r="I780" i="4"/>
  <c r="H781" i="4"/>
  <c r="E781" i="4"/>
  <c r="F781" i="4" s="1"/>
  <c r="G781" i="4"/>
  <c r="C783" i="4"/>
  <c r="D782" i="4"/>
  <c r="K734" i="11" l="1"/>
  <c r="J735" i="11"/>
  <c r="H736" i="11"/>
  <c r="I735" i="11"/>
  <c r="I781" i="4"/>
  <c r="E782" i="4"/>
  <c r="F782" i="4" s="1"/>
  <c r="H782" i="4"/>
  <c r="G782" i="4"/>
  <c r="C784" i="4"/>
  <c r="D783" i="4"/>
  <c r="K735" i="11" l="1"/>
  <c r="J736" i="11"/>
  <c r="H737" i="11"/>
  <c r="I736" i="11"/>
  <c r="I782" i="4"/>
  <c r="H783" i="4"/>
  <c r="G783" i="4"/>
  <c r="E783" i="4"/>
  <c r="F783" i="4" s="1"/>
  <c r="C785" i="4"/>
  <c r="D784" i="4"/>
  <c r="I737" i="11" l="1"/>
  <c r="H738" i="11"/>
  <c r="K736" i="11"/>
  <c r="J737" i="11"/>
  <c r="I783" i="4"/>
  <c r="C786" i="4"/>
  <c r="D785" i="4"/>
  <c r="E784" i="4"/>
  <c r="F784" i="4" s="1"/>
  <c r="H784" i="4"/>
  <c r="G784" i="4"/>
  <c r="H739" i="11" l="1"/>
  <c r="I738" i="11"/>
  <c r="K737" i="11"/>
  <c r="J738" i="11"/>
  <c r="I784" i="4"/>
  <c r="E785" i="4"/>
  <c r="F785" i="4" s="1"/>
  <c r="H785" i="4"/>
  <c r="G785" i="4"/>
  <c r="C787" i="4"/>
  <c r="D786" i="4"/>
  <c r="K738" i="11" l="1"/>
  <c r="J739" i="11"/>
  <c r="I739" i="11"/>
  <c r="H740" i="11"/>
  <c r="I785" i="4"/>
  <c r="E786" i="4"/>
  <c r="F786" i="4" s="1"/>
  <c r="H786" i="4"/>
  <c r="G786" i="4"/>
  <c r="C788" i="4"/>
  <c r="D787" i="4"/>
  <c r="I740" i="11" l="1"/>
  <c r="H741" i="11"/>
  <c r="K739" i="11"/>
  <c r="J740" i="11"/>
  <c r="I786" i="4"/>
  <c r="G787" i="4"/>
  <c r="H787" i="4"/>
  <c r="E787" i="4"/>
  <c r="F787" i="4" s="1"/>
  <c r="C789" i="4"/>
  <c r="D788" i="4"/>
  <c r="I741" i="11" l="1"/>
  <c r="H742" i="11"/>
  <c r="K740" i="11"/>
  <c r="J741" i="11"/>
  <c r="E788" i="4"/>
  <c r="F788" i="4" s="1"/>
  <c r="H788" i="4"/>
  <c r="G788" i="4"/>
  <c r="C790" i="4"/>
  <c r="D789" i="4"/>
  <c r="I787" i="4"/>
  <c r="H743" i="11" l="1"/>
  <c r="I742" i="11"/>
  <c r="K741" i="11"/>
  <c r="J742" i="11"/>
  <c r="G789" i="4"/>
  <c r="E789" i="4"/>
  <c r="F789" i="4" s="1"/>
  <c r="H789" i="4"/>
  <c r="C791" i="4"/>
  <c r="D790" i="4"/>
  <c r="I788" i="4"/>
  <c r="K742" i="11" l="1"/>
  <c r="J743" i="11"/>
  <c r="I743" i="11"/>
  <c r="H744" i="11"/>
  <c r="I789" i="4"/>
  <c r="E790" i="4"/>
  <c r="F790" i="4" s="1"/>
  <c r="G790" i="4"/>
  <c r="H790" i="4"/>
  <c r="C792" i="4"/>
  <c r="D791" i="4"/>
  <c r="I744" i="11" l="1"/>
  <c r="H745" i="11"/>
  <c r="K743" i="11"/>
  <c r="J744" i="11"/>
  <c r="C793" i="4"/>
  <c r="D792" i="4"/>
  <c r="I790" i="4"/>
  <c r="G791" i="4"/>
  <c r="E791" i="4"/>
  <c r="F791" i="4" s="1"/>
  <c r="H791" i="4"/>
  <c r="I745" i="11" l="1"/>
  <c r="H746" i="11"/>
  <c r="K744" i="11"/>
  <c r="J745" i="11"/>
  <c r="I791" i="4"/>
  <c r="E792" i="4"/>
  <c r="F792" i="4" s="1"/>
  <c r="G792" i="4"/>
  <c r="H792" i="4"/>
  <c r="C794" i="4"/>
  <c r="D793" i="4"/>
  <c r="I746" i="11" l="1"/>
  <c r="H747" i="11"/>
  <c r="K745" i="11"/>
  <c r="J746" i="11"/>
  <c r="I792" i="4"/>
  <c r="G793" i="4"/>
  <c r="E793" i="4"/>
  <c r="F793" i="4" s="1"/>
  <c r="H793" i="4"/>
  <c r="C795" i="4"/>
  <c r="D794" i="4"/>
  <c r="I747" i="11" l="1"/>
  <c r="H748" i="11"/>
  <c r="K746" i="11"/>
  <c r="J747" i="11"/>
  <c r="I793" i="4"/>
  <c r="C796" i="4"/>
  <c r="D795" i="4"/>
  <c r="E794" i="4"/>
  <c r="F794" i="4" s="1"/>
  <c r="G794" i="4"/>
  <c r="H794" i="4"/>
  <c r="I748" i="11" l="1"/>
  <c r="H749" i="11"/>
  <c r="K747" i="11"/>
  <c r="J748" i="11"/>
  <c r="I794" i="4"/>
  <c r="G795" i="4"/>
  <c r="E795" i="4"/>
  <c r="F795" i="4" s="1"/>
  <c r="H795" i="4"/>
  <c r="C797" i="4"/>
  <c r="D796" i="4"/>
  <c r="I749" i="11" l="1"/>
  <c r="H750" i="11"/>
  <c r="K748" i="11"/>
  <c r="J749" i="11"/>
  <c r="E796" i="4"/>
  <c r="F796" i="4" s="1"/>
  <c r="G796" i="4"/>
  <c r="H796" i="4"/>
  <c r="C798" i="4"/>
  <c r="D797" i="4"/>
  <c r="I795" i="4"/>
  <c r="H751" i="11" l="1"/>
  <c r="I750" i="11"/>
  <c r="K749" i="11"/>
  <c r="J750" i="11"/>
  <c r="C799" i="4"/>
  <c r="D798" i="4"/>
  <c r="G797" i="4"/>
  <c r="H797" i="4"/>
  <c r="E797" i="4"/>
  <c r="F797" i="4" s="1"/>
  <c r="I796" i="4"/>
  <c r="K750" i="11" l="1"/>
  <c r="J751" i="11"/>
  <c r="I751" i="11"/>
  <c r="H752" i="11"/>
  <c r="I797" i="4"/>
  <c r="E798" i="4"/>
  <c r="F798" i="4" s="1"/>
  <c r="G798" i="4"/>
  <c r="H798" i="4"/>
  <c r="C800" i="4"/>
  <c r="D799" i="4"/>
  <c r="K751" i="11" l="1"/>
  <c r="J752" i="11"/>
  <c r="I752" i="11"/>
  <c r="H753" i="11"/>
  <c r="C801" i="4"/>
  <c r="D800" i="4"/>
  <c r="I798" i="4"/>
  <c r="G799" i="4"/>
  <c r="E799" i="4"/>
  <c r="F799" i="4" s="1"/>
  <c r="H799" i="4"/>
  <c r="H754" i="11" l="1"/>
  <c r="I753" i="11"/>
  <c r="K752" i="11"/>
  <c r="J753" i="11"/>
  <c r="I799" i="4"/>
  <c r="E800" i="4"/>
  <c r="F800" i="4" s="1"/>
  <c r="G800" i="4"/>
  <c r="H800" i="4"/>
  <c r="C802" i="4"/>
  <c r="D801" i="4"/>
  <c r="K753" i="11" l="1"/>
  <c r="J754" i="11"/>
  <c r="I754" i="11"/>
  <c r="H755" i="11"/>
  <c r="I800" i="4"/>
  <c r="C803" i="4"/>
  <c r="D802" i="4"/>
  <c r="G801" i="4"/>
  <c r="E801" i="4"/>
  <c r="F801" i="4" s="1"/>
  <c r="H801" i="4" s="1"/>
  <c r="H756" i="11" l="1"/>
  <c r="I755" i="11"/>
  <c r="K754" i="11"/>
  <c r="J755" i="11"/>
  <c r="I801" i="4"/>
  <c r="E802" i="4"/>
  <c r="F802" i="4" s="1"/>
  <c r="G802" i="4"/>
  <c r="H802" i="4"/>
  <c r="C804" i="4"/>
  <c r="D803" i="4"/>
  <c r="K755" i="11" l="1"/>
  <c r="J756" i="11"/>
  <c r="I756" i="11"/>
  <c r="H757" i="11"/>
  <c r="I802" i="4"/>
  <c r="G803" i="4"/>
  <c r="E803" i="4"/>
  <c r="F803" i="4" s="1"/>
  <c r="H803" i="4"/>
  <c r="C805" i="4"/>
  <c r="D804" i="4"/>
  <c r="H758" i="11" l="1"/>
  <c r="I757" i="11"/>
  <c r="K756" i="11"/>
  <c r="J757" i="11"/>
  <c r="E804" i="4"/>
  <c r="F804" i="4" s="1"/>
  <c r="H804" i="4"/>
  <c r="G804" i="4"/>
  <c r="C806" i="4"/>
  <c r="D805" i="4"/>
  <c r="I803" i="4"/>
  <c r="K757" i="11" l="1"/>
  <c r="J758" i="11"/>
  <c r="H759" i="11"/>
  <c r="I758" i="11"/>
  <c r="G805" i="4"/>
  <c r="E805" i="4"/>
  <c r="F805" i="4" s="1"/>
  <c r="H805" i="4"/>
  <c r="C807" i="4"/>
  <c r="D806" i="4"/>
  <c r="I804" i="4"/>
  <c r="K758" i="11" l="1"/>
  <c r="J759" i="11"/>
  <c r="H760" i="11"/>
  <c r="I759" i="11"/>
  <c r="I805" i="4"/>
  <c r="C808" i="4"/>
  <c r="D807" i="4"/>
  <c r="E806" i="4"/>
  <c r="F806" i="4" s="1"/>
  <c r="G806" i="4"/>
  <c r="H806" i="4"/>
  <c r="H761" i="11" l="1"/>
  <c r="I760" i="11"/>
  <c r="K759" i="11"/>
  <c r="J760" i="11"/>
  <c r="I806" i="4"/>
  <c r="G807" i="4"/>
  <c r="E807" i="4"/>
  <c r="F807" i="4" s="1"/>
  <c r="H807" i="4"/>
  <c r="C809" i="4"/>
  <c r="D808" i="4"/>
  <c r="K760" i="11" l="1"/>
  <c r="J761" i="11"/>
  <c r="I761" i="11"/>
  <c r="H762" i="11"/>
  <c r="I807" i="4"/>
  <c r="E808" i="4"/>
  <c r="F808" i="4" s="1"/>
  <c r="G808" i="4"/>
  <c r="H808" i="4"/>
  <c r="C810" i="4"/>
  <c r="D809" i="4"/>
  <c r="K761" i="11" l="1"/>
  <c r="J762" i="11"/>
  <c r="H763" i="11"/>
  <c r="I762" i="11"/>
  <c r="I808" i="4"/>
  <c r="G809" i="4"/>
  <c r="E809" i="4"/>
  <c r="F809" i="4" s="1"/>
  <c r="H809" i="4"/>
  <c r="C811" i="4"/>
  <c r="D810" i="4"/>
  <c r="K762" i="11" l="1"/>
  <c r="J763" i="11"/>
  <c r="H764" i="11"/>
  <c r="I763" i="11"/>
  <c r="I809" i="4"/>
  <c r="E810" i="4"/>
  <c r="F810" i="4" s="1"/>
  <c r="G810" i="4"/>
  <c r="H810" i="4"/>
  <c r="C812" i="4"/>
  <c r="D811" i="4"/>
  <c r="I764" i="11" l="1"/>
  <c r="H765" i="11"/>
  <c r="K763" i="11"/>
  <c r="J764" i="11"/>
  <c r="I810" i="4"/>
  <c r="G811" i="4"/>
  <c r="E811" i="4"/>
  <c r="F811" i="4" s="1"/>
  <c r="H811" i="4" s="1"/>
  <c r="C813" i="4"/>
  <c r="D812" i="4"/>
  <c r="H766" i="11" l="1"/>
  <c r="I765" i="11"/>
  <c r="K764" i="11"/>
  <c r="J765" i="11"/>
  <c r="C814" i="4"/>
  <c r="D813" i="4"/>
  <c r="E812" i="4"/>
  <c r="F812" i="4" s="1"/>
  <c r="G812" i="4"/>
  <c r="H812" i="4"/>
  <c r="I811" i="4"/>
  <c r="K765" i="11" l="1"/>
  <c r="J766" i="11"/>
  <c r="I766" i="11"/>
  <c r="H767" i="11"/>
  <c r="I812" i="4"/>
  <c r="G813" i="4"/>
  <c r="E813" i="4"/>
  <c r="F813" i="4" s="1"/>
  <c r="H813" i="4"/>
  <c r="C815" i="4"/>
  <c r="D814" i="4"/>
  <c r="H768" i="11" l="1"/>
  <c r="I767" i="11"/>
  <c r="K766" i="11"/>
  <c r="J767" i="11"/>
  <c r="I813" i="4"/>
  <c r="E814" i="4"/>
  <c r="F814" i="4" s="1"/>
  <c r="G814" i="4"/>
  <c r="H814" i="4"/>
  <c r="C816" i="4"/>
  <c r="D815" i="4"/>
  <c r="K767" i="11" l="1"/>
  <c r="J768" i="11"/>
  <c r="I768" i="11"/>
  <c r="H769" i="11"/>
  <c r="I814" i="4"/>
  <c r="C817" i="4"/>
  <c r="D816" i="4"/>
  <c r="E815" i="4"/>
  <c r="F815" i="4" s="1"/>
  <c r="G815" i="4"/>
  <c r="H815" i="4"/>
  <c r="I769" i="11" l="1"/>
  <c r="H770" i="11"/>
  <c r="K768" i="11"/>
  <c r="J769" i="11"/>
  <c r="I815" i="4"/>
  <c r="G816" i="4"/>
  <c r="E816" i="4"/>
  <c r="F816" i="4" s="1"/>
  <c r="H816" i="4" s="1"/>
  <c r="C818" i="4"/>
  <c r="D817" i="4"/>
  <c r="I770" i="11" l="1"/>
  <c r="H771" i="11"/>
  <c r="K769" i="11"/>
  <c r="J770" i="11"/>
  <c r="C819" i="4"/>
  <c r="D818" i="4"/>
  <c r="G817" i="4"/>
  <c r="E817" i="4"/>
  <c r="F817" i="4" s="1"/>
  <c r="H817" i="4" s="1"/>
  <c r="I816" i="4"/>
  <c r="I771" i="11" l="1"/>
  <c r="H772" i="11"/>
  <c r="K770" i="11"/>
  <c r="J771" i="11"/>
  <c r="I817" i="4"/>
  <c r="E818" i="4"/>
  <c r="F818" i="4" s="1"/>
  <c r="H818" i="4"/>
  <c r="G818" i="4"/>
  <c r="C820" i="4"/>
  <c r="D819" i="4"/>
  <c r="I772" i="11" l="1"/>
  <c r="H773" i="11"/>
  <c r="K771" i="11"/>
  <c r="J772" i="11"/>
  <c r="I818" i="4"/>
  <c r="E819" i="4"/>
  <c r="F819" i="4" s="1"/>
  <c r="H819" i="4"/>
  <c r="G819" i="4"/>
  <c r="C821" i="4"/>
  <c r="D820" i="4"/>
  <c r="H774" i="11" l="1"/>
  <c r="I773" i="11"/>
  <c r="K772" i="11"/>
  <c r="J773" i="11"/>
  <c r="I819" i="4"/>
  <c r="H820" i="4"/>
  <c r="G820" i="4"/>
  <c r="E820" i="4"/>
  <c r="F820" i="4" s="1"/>
  <c r="C822" i="4"/>
  <c r="D821" i="4"/>
  <c r="K773" i="11" l="1"/>
  <c r="J774" i="11"/>
  <c r="I774" i="11"/>
  <c r="H775" i="11"/>
  <c r="I820" i="4"/>
  <c r="H821" i="4"/>
  <c r="G821" i="4"/>
  <c r="E821" i="4"/>
  <c r="F821" i="4" s="1"/>
  <c r="C823" i="4"/>
  <c r="D822" i="4"/>
  <c r="K774" i="11" l="1"/>
  <c r="J775" i="11"/>
  <c r="I775" i="11"/>
  <c r="H776" i="11"/>
  <c r="I821" i="4"/>
  <c r="G822" i="4"/>
  <c r="H822" i="4"/>
  <c r="E822" i="4"/>
  <c r="F822" i="4" s="1"/>
  <c r="C824" i="4"/>
  <c r="D823" i="4"/>
  <c r="K775" i="11" l="1"/>
  <c r="J776" i="11"/>
  <c r="H777" i="11"/>
  <c r="I776" i="11"/>
  <c r="I822" i="4"/>
  <c r="C825" i="4"/>
  <c r="D824" i="4"/>
  <c r="H823" i="4"/>
  <c r="E823" i="4"/>
  <c r="F823" i="4" s="1"/>
  <c r="G823" i="4"/>
  <c r="K776" i="11" l="1"/>
  <c r="J777" i="11"/>
  <c r="I777" i="11"/>
  <c r="H778" i="11"/>
  <c r="I823" i="4"/>
  <c r="H824" i="4"/>
  <c r="E824" i="4"/>
  <c r="F824" i="4" s="1"/>
  <c r="G824" i="4"/>
  <c r="C826" i="4"/>
  <c r="D825" i="4"/>
  <c r="I778" i="11" l="1"/>
  <c r="H779" i="11"/>
  <c r="K777" i="11"/>
  <c r="J778" i="11"/>
  <c r="I824" i="4"/>
  <c r="G825" i="4"/>
  <c r="H825" i="4"/>
  <c r="E825" i="4"/>
  <c r="F825" i="4" s="1"/>
  <c r="C827" i="4"/>
  <c r="D826" i="4"/>
  <c r="H780" i="11" l="1"/>
  <c r="I779" i="11"/>
  <c r="K778" i="11"/>
  <c r="J779" i="11"/>
  <c r="I825" i="4"/>
  <c r="G826" i="4"/>
  <c r="E826" i="4"/>
  <c r="F826" i="4" s="1"/>
  <c r="H826" i="4"/>
  <c r="C828" i="4"/>
  <c r="D827" i="4"/>
  <c r="K779" i="11" l="1"/>
  <c r="J780" i="11"/>
  <c r="I780" i="11"/>
  <c r="H781" i="11"/>
  <c r="I826" i="4"/>
  <c r="G827" i="4"/>
  <c r="E827" i="4"/>
  <c r="F827" i="4" s="1"/>
  <c r="H827" i="4"/>
  <c r="C829" i="4"/>
  <c r="D828" i="4"/>
  <c r="I781" i="11" l="1"/>
  <c r="H782" i="11"/>
  <c r="K780" i="11"/>
  <c r="J781" i="11"/>
  <c r="I827" i="4"/>
  <c r="C830" i="4"/>
  <c r="D829" i="4"/>
  <c r="E828" i="4"/>
  <c r="F828" i="4" s="1"/>
  <c r="G828" i="4"/>
  <c r="H828" i="4"/>
  <c r="H783" i="11" l="1"/>
  <c r="I782" i="11"/>
  <c r="K781" i="11"/>
  <c r="J782" i="11"/>
  <c r="I828" i="4"/>
  <c r="E829" i="4"/>
  <c r="F829" i="4" s="1"/>
  <c r="G829" i="4"/>
  <c r="H829" i="4"/>
  <c r="C831" i="4"/>
  <c r="D830" i="4"/>
  <c r="K782" i="11" l="1"/>
  <c r="J783" i="11"/>
  <c r="I783" i="11"/>
  <c r="H784" i="11"/>
  <c r="I829" i="4"/>
  <c r="E830" i="4"/>
  <c r="F830" i="4" s="1"/>
  <c r="G830" i="4"/>
  <c r="H830" i="4"/>
  <c r="C832" i="4"/>
  <c r="D831" i="4"/>
  <c r="K783" i="11" l="1"/>
  <c r="J784" i="11"/>
  <c r="H785" i="11"/>
  <c r="I784" i="11"/>
  <c r="G831" i="4"/>
  <c r="E831" i="4"/>
  <c r="F831" i="4" s="1"/>
  <c r="H831" i="4"/>
  <c r="C833" i="4"/>
  <c r="D832" i="4"/>
  <c r="I830" i="4"/>
  <c r="I785" i="11" l="1"/>
  <c r="H786" i="11"/>
  <c r="K784" i="11"/>
  <c r="J785" i="11"/>
  <c r="I831" i="4"/>
  <c r="C834" i="4"/>
  <c r="D833" i="4"/>
  <c r="E832" i="4"/>
  <c r="F832" i="4" s="1"/>
  <c r="G832" i="4"/>
  <c r="H832" i="4"/>
  <c r="I786" i="11" l="1"/>
  <c r="H787" i="11"/>
  <c r="K785" i="11"/>
  <c r="J786" i="11"/>
  <c r="I832" i="4"/>
  <c r="G833" i="4"/>
  <c r="H833" i="4"/>
  <c r="E833" i="4"/>
  <c r="F833" i="4" s="1"/>
  <c r="C835" i="4"/>
  <c r="D834" i="4"/>
  <c r="H788" i="11" l="1"/>
  <c r="I787" i="11"/>
  <c r="K786" i="11"/>
  <c r="J787" i="11"/>
  <c r="I833" i="4"/>
  <c r="E834" i="4"/>
  <c r="F834" i="4" s="1"/>
  <c r="G834" i="4"/>
  <c r="H834" i="4"/>
  <c r="C836" i="4"/>
  <c r="D835" i="4"/>
  <c r="K787" i="11" l="1"/>
  <c r="J788" i="11"/>
  <c r="I788" i="11"/>
  <c r="H789" i="11"/>
  <c r="I834" i="4"/>
  <c r="C837" i="4"/>
  <c r="D836" i="4"/>
  <c r="G835" i="4"/>
  <c r="E835" i="4"/>
  <c r="F835" i="4" s="1"/>
  <c r="H835" i="4"/>
  <c r="I789" i="11" l="1"/>
  <c r="H790" i="11"/>
  <c r="K788" i="11"/>
  <c r="J789" i="11"/>
  <c r="I835" i="4"/>
  <c r="G836" i="4"/>
  <c r="E836" i="4"/>
  <c r="F836" i="4" s="1"/>
  <c r="H836" i="4"/>
  <c r="C838" i="4"/>
  <c r="D837" i="4"/>
  <c r="I790" i="11" l="1"/>
  <c r="H791" i="11"/>
  <c r="K789" i="11"/>
  <c r="J790" i="11"/>
  <c r="E837" i="4"/>
  <c r="F837" i="4" s="1"/>
  <c r="H837" i="4"/>
  <c r="G837" i="4"/>
  <c r="C839" i="4"/>
  <c r="D838" i="4"/>
  <c r="I836" i="4"/>
  <c r="I791" i="11" l="1"/>
  <c r="H792" i="11"/>
  <c r="K790" i="11"/>
  <c r="J791" i="11"/>
  <c r="C840" i="4"/>
  <c r="D839" i="4"/>
  <c r="G838" i="4"/>
  <c r="E838" i="4"/>
  <c r="F838" i="4" s="1"/>
  <c r="H838" i="4"/>
  <c r="I837" i="4"/>
  <c r="H793" i="11" l="1"/>
  <c r="I792" i="11"/>
  <c r="K791" i="11"/>
  <c r="J792" i="11"/>
  <c r="I838" i="4"/>
  <c r="G839" i="4"/>
  <c r="E839" i="4"/>
  <c r="F839" i="4" s="1"/>
  <c r="H839" i="4"/>
  <c r="C841" i="4"/>
  <c r="D840" i="4"/>
  <c r="K792" i="11" l="1"/>
  <c r="J793" i="11"/>
  <c r="I793" i="11"/>
  <c r="H794" i="11"/>
  <c r="I839" i="4"/>
  <c r="C842" i="4"/>
  <c r="D841" i="4"/>
  <c r="E840" i="4"/>
  <c r="F840" i="4" s="1"/>
  <c r="H840" i="4"/>
  <c r="G840" i="4"/>
  <c r="K793" i="11" l="1"/>
  <c r="J794" i="11"/>
  <c r="I794" i="11"/>
  <c r="H795" i="11"/>
  <c r="I840" i="4"/>
  <c r="E841" i="4"/>
  <c r="F841" i="4" s="1"/>
  <c r="G841" i="4"/>
  <c r="H841" i="4"/>
  <c r="C843" i="4"/>
  <c r="D842" i="4"/>
  <c r="K794" i="11" l="1"/>
  <c r="J795" i="11"/>
  <c r="H796" i="11"/>
  <c r="I795" i="11"/>
  <c r="I841" i="4"/>
  <c r="E842" i="4"/>
  <c r="F842" i="4" s="1"/>
  <c r="G842" i="4"/>
  <c r="H842" i="4"/>
  <c r="C844" i="4"/>
  <c r="D843" i="4"/>
  <c r="I796" i="11" l="1"/>
  <c r="H797" i="11"/>
  <c r="K795" i="11"/>
  <c r="J796" i="11"/>
  <c r="C845" i="4"/>
  <c r="D844" i="4"/>
  <c r="I842" i="4"/>
  <c r="G843" i="4"/>
  <c r="E843" i="4"/>
  <c r="F843" i="4" s="1"/>
  <c r="H843" i="4" s="1"/>
  <c r="H798" i="11" l="1"/>
  <c r="I797" i="11"/>
  <c r="K796" i="11"/>
  <c r="J797" i="11"/>
  <c r="I843" i="4"/>
  <c r="E844" i="4"/>
  <c r="F844" i="4" s="1"/>
  <c r="H844" i="4"/>
  <c r="G844" i="4"/>
  <c r="C846" i="4"/>
  <c r="D845" i="4"/>
  <c r="K797" i="11" l="1"/>
  <c r="J798" i="11"/>
  <c r="H799" i="11"/>
  <c r="I798" i="11"/>
  <c r="C847" i="4"/>
  <c r="D846" i="4"/>
  <c r="I844" i="4"/>
  <c r="E845" i="4"/>
  <c r="F845" i="4" s="1"/>
  <c r="H845" i="4"/>
  <c r="G845" i="4"/>
  <c r="K798" i="11" l="1"/>
  <c r="J799" i="11"/>
  <c r="H800" i="11"/>
  <c r="I799" i="11"/>
  <c r="E846" i="4"/>
  <c r="F846" i="4" s="1"/>
  <c r="H846" i="4"/>
  <c r="G846" i="4"/>
  <c r="I845" i="4"/>
  <c r="C848" i="4"/>
  <c r="D847" i="4"/>
  <c r="K799" i="11" l="1"/>
  <c r="J800" i="11"/>
  <c r="H801" i="11"/>
  <c r="I800" i="11"/>
  <c r="G847" i="4"/>
  <c r="E847" i="4"/>
  <c r="F847" i="4" s="1"/>
  <c r="H847" i="4" s="1"/>
  <c r="C849" i="4"/>
  <c r="D848" i="4"/>
  <c r="I846" i="4"/>
  <c r="K800" i="11" l="1"/>
  <c r="J801" i="11"/>
  <c r="H802" i="11"/>
  <c r="I801" i="11"/>
  <c r="C850" i="4"/>
  <c r="D849" i="4"/>
  <c r="I847" i="4"/>
  <c r="E848" i="4"/>
  <c r="F848" i="4" s="1"/>
  <c r="H848" i="4"/>
  <c r="G848" i="4"/>
  <c r="K801" i="11" l="1"/>
  <c r="J802" i="11"/>
  <c r="H803" i="11"/>
  <c r="I802" i="11"/>
  <c r="I848" i="4"/>
  <c r="E849" i="4"/>
  <c r="F849" i="4" s="1"/>
  <c r="G849" i="4"/>
  <c r="H849" i="4"/>
  <c r="C851" i="4"/>
  <c r="D850" i="4"/>
  <c r="I803" i="11" l="1"/>
  <c r="H804" i="11"/>
  <c r="K802" i="11"/>
  <c r="J803" i="11"/>
  <c r="C852" i="4"/>
  <c r="D851" i="4"/>
  <c r="E850" i="4"/>
  <c r="F850" i="4" s="1"/>
  <c r="G850" i="4"/>
  <c r="H850" i="4"/>
  <c r="I849" i="4"/>
  <c r="I804" i="11" l="1"/>
  <c r="H805" i="11"/>
  <c r="K803" i="11"/>
  <c r="J804" i="11"/>
  <c r="I850" i="4"/>
  <c r="E851" i="4"/>
  <c r="F851" i="4" s="1"/>
  <c r="H851" i="4" s="1"/>
  <c r="G851" i="4"/>
  <c r="C853" i="4"/>
  <c r="D852" i="4"/>
  <c r="I805" i="11" l="1"/>
  <c r="H806" i="11"/>
  <c r="K804" i="11"/>
  <c r="J805" i="11"/>
  <c r="I851" i="4"/>
  <c r="E852" i="4"/>
  <c r="F852" i="4" s="1"/>
  <c r="G852" i="4"/>
  <c r="H852" i="4"/>
  <c r="C854" i="4"/>
  <c r="D853" i="4"/>
  <c r="I806" i="11" l="1"/>
  <c r="H807" i="11"/>
  <c r="K805" i="11"/>
  <c r="J806" i="11"/>
  <c r="C855" i="4"/>
  <c r="D854" i="4"/>
  <c r="I852" i="4"/>
  <c r="E853" i="4"/>
  <c r="F853" i="4" s="1"/>
  <c r="H853" i="4"/>
  <c r="G853" i="4"/>
  <c r="I807" i="11" l="1"/>
  <c r="H808" i="11"/>
  <c r="K806" i="11"/>
  <c r="J807" i="11"/>
  <c r="E854" i="4"/>
  <c r="F854" i="4" s="1"/>
  <c r="H854" i="4" s="1"/>
  <c r="G854" i="4"/>
  <c r="I853" i="4"/>
  <c r="C856" i="4"/>
  <c r="D855" i="4"/>
  <c r="I808" i="11" l="1"/>
  <c r="H809" i="11"/>
  <c r="K807" i="11"/>
  <c r="J808" i="11"/>
  <c r="I854" i="4"/>
  <c r="C857" i="4"/>
  <c r="D856" i="4"/>
  <c r="G855" i="4"/>
  <c r="E855" i="4"/>
  <c r="F855" i="4" s="1"/>
  <c r="H855" i="4"/>
  <c r="H810" i="11" l="1"/>
  <c r="I809" i="11"/>
  <c r="K808" i="11"/>
  <c r="J809" i="11"/>
  <c r="I855" i="4"/>
  <c r="E856" i="4"/>
  <c r="F856" i="4" s="1"/>
  <c r="G856" i="4"/>
  <c r="H856" i="4"/>
  <c r="C858" i="4"/>
  <c r="D857" i="4"/>
  <c r="K809" i="11" l="1"/>
  <c r="J810" i="11"/>
  <c r="H811" i="11"/>
  <c r="I810" i="11"/>
  <c r="E857" i="4"/>
  <c r="F857" i="4" s="1"/>
  <c r="G857" i="4"/>
  <c r="H857" i="4"/>
  <c r="C859" i="4"/>
  <c r="D858" i="4"/>
  <c r="I856" i="4"/>
  <c r="K810" i="11" l="1"/>
  <c r="J811" i="11"/>
  <c r="H812" i="11"/>
  <c r="I811" i="11"/>
  <c r="I857" i="4"/>
  <c r="H858" i="4"/>
  <c r="E858" i="4"/>
  <c r="F858" i="4" s="1"/>
  <c r="G858" i="4"/>
  <c r="C860" i="4"/>
  <c r="D859" i="4"/>
  <c r="K811" i="11" l="1"/>
  <c r="J812" i="11"/>
  <c r="I812" i="11"/>
  <c r="H813" i="11"/>
  <c r="I858" i="4"/>
  <c r="E859" i="4"/>
  <c r="F859" i="4" s="1"/>
  <c r="H859" i="4"/>
  <c r="G859" i="4"/>
  <c r="C861" i="4"/>
  <c r="D860" i="4"/>
  <c r="K812" i="11" l="1"/>
  <c r="J813" i="11"/>
  <c r="I813" i="11"/>
  <c r="H814" i="11"/>
  <c r="I859" i="4"/>
  <c r="C862" i="4"/>
  <c r="D861" i="4"/>
  <c r="E860" i="4"/>
  <c r="F860" i="4" s="1"/>
  <c r="H860" i="4"/>
  <c r="G860" i="4"/>
  <c r="I814" i="11" l="1"/>
  <c r="H815" i="11"/>
  <c r="K813" i="11"/>
  <c r="J814" i="11"/>
  <c r="I860" i="4"/>
  <c r="H861" i="4"/>
  <c r="E861" i="4"/>
  <c r="F861" i="4" s="1"/>
  <c r="G861" i="4"/>
  <c r="C863" i="4"/>
  <c r="D862" i="4"/>
  <c r="H816" i="11" l="1"/>
  <c r="I815" i="11"/>
  <c r="K814" i="11"/>
  <c r="J815" i="11"/>
  <c r="I861" i="4"/>
  <c r="G862" i="4"/>
  <c r="H862" i="4"/>
  <c r="E862" i="4"/>
  <c r="F862" i="4" s="1"/>
  <c r="C864" i="4"/>
  <c r="D863" i="4"/>
  <c r="K815" i="11" l="1"/>
  <c r="J816" i="11"/>
  <c r="H817" i="11"/>
  <c r="I816" i="11"/>
  <c r="I862" i="4"/>
  <c r="C865" i="4"/>
  <c r="D864" i="4"/>
  <c r="H863" i="4"/>
  <c r="E863" i="4"/>
  <c r="F863" i="4" s="1"/>
  <c r="G863" i="4"/>
  <c r="K816" i="11" l="1"/>
  <c r="J817" i="11"/>
  <c r="H818" i="11"/>
  <c r="I817" i="11"/>
  <c r="I863" i="4"/>
  <c r="H864" i="4"/>
  <c r="G864" i="4"/>
  <c r="E864" i="4"/>
  <c r="F864" i="4" s="1"/>
  <c r="C866" i="4"/>
  <c r="D865" i="4"/>
  <c r="K817" i="11" l="1"/>
  <c r="J818" i="11"/>
  <c r="H819" i="11"/>
  <c r="I818" i="11"/>
  <c r="I864" i="4"/>
  <c r="H865" i="4"/>
  <c r="E865" i="4"/>
  <c r="F865" i="4" s="1"/>
  <c r="G865" i="4"/>
  <c r="C867" i="4"/>
  <c r="D866" i="4"/>
  <c r="K818" i="11" l="1"/>
  <c r="J819" i="11"/>
  <c r="H820" i="11"/>
  <c r="I819" i="11"/>
  <c r="I865" i="4"/>
  <c r="E866" i="4"/>
  <c r="F866" i="4" s="1"/>
  <c r="H866" i="4"/>
  <c r="G866" i="4"/>
  <c r="C868" i="4"/>
  <c r="D867" i="4"/>
  <c r="I820" i="11" l="1"/>
  <c r="H821" i="11"/>
  <c r="K819" i="11"/>
  <c r="J820" i="11"/>
  <c r="I866" i="4"/>
  <c r="E867" i="4"/>
  <c r="F867" i="4" s="1"/>
  <c r="H867" i="4"/>
  <c r="G867" i="4"/>
  <c r="C869" i="4"/>
  <c r="D868" i="4"/>
  <c r="H822" i="11" l="1"/>
  <c r="I821" i="11"/>
  <c r="K820" i="11"/>
  <c r="J821" i="11"/>
  <c r="E868" i="4"/>
  <c r="F868" i="4" s="1"/>
  <c r="H868" i="4"/>
  <c r="G868" i="4"/>
  <c r="C870" i="4"/>
  <c r="D869" i="4"/>
  <c r="I867" i="4"/>
  <c r="K821" i="11" l="1"/>
  <c r="J822" i="11"/>
  <c r="I822" i="11"/>
  <c r="H823" i="11"/>
  <c r="G869" i="4"/>
  <c r="E869" i="4"/>
  <c r="F869" i="4" s="1"/>
  <c r="H869" i="4"/>
  <c r="C871" i="4"/>
  <c r="D870" i="4"/>
  <c r="I868" i="4"/>
  <c r="I823" i="11" l="1"/>
  <c r="H824" i="11"/>
  <c r="K822" i="11"/>
  <c r="J823" i="11"/>
  <c r="I869" i="4"/>
  <c r="E870" i="4"/>
  <c r="F870" i="4" s="1"/>
  <c r="G870" i="4"/>
  <c r="H870" i="4"/>
  <c r="C872" i="4"/>
  <c r="D871" i="4"/>
  <c r="H825" i="11" l="1"/>
  <c r="I824" i="11"/>
  <c r="K823" i="11"/>
  <c r="J824" i="11"/>
  <c r="I870" i="4"/>
  <c r="G871" i="4"/>
  <c r="H871" i="4"/>
  <c r="E871" i="4"/>
  <c r="F871" i="4" s="1"/>
  <c r="C873" i="4"/>
  <c r="D872" i="4"/>
  <c r="K824" i="11" l="1"/>
  <c r="J825" i="11"/>
  <c r="I825" i="11"/>
  <c r="H826" i="11"/>
  <c r="I871" i="4"/>
  <c r="H872" i="4"/>
  <c r="G872" i="4"/>
  <c r="E872" i="4"/>
  <c r="F872" i="4" s="1"/>
  <c r="C874" i="4"/>
  <c r="D873" i="4"/>
  <c r="K825" i="11" l="1"/>
  <c r="J826" i="11"/>
  <c r="I826" i="11"/>
  <c r="H827" i="11"/>
  <c r="C875" i="4"/>
  <c r="D874" i="4"/>
  <c r="H873" i="4"/>
  <c r="E873" i="4"/>
  <c r="F873" i="4" s="1"/>
  <c r="G873" i="4"/>
  <c r="I872" i="4"/>
  <c r="H828" i="11" l="1"/>
  <c r="I827" i="11"/>
  <c r="K826" i="11"/>
  <c r="J827" i="11"/>
  <c r="I873" i="4"/>
  <c r="E874" i="4"/>
  <c r="F874" i="4" s="1"/>
  <c r="G874" i="4"/>
  <c r="H874" i="4"/>
  <c r="C876" i="4"/>
  <c r="D875" i="4"/>
  <c r="K827" i="11" l="1"/>
  <c r="J828" i="11"/>
  <c r="I828" i="11"/>
  <c r="H829" i="11"/>
  <c r="C877" i="4"/>
  <c r="D876" i="4"/>
  <c r="G875" i="4"/>
  <c r="H875" i="4"/>
  <c r="E875" i="4"/>
  <c r="F875" i="4" s="1"/>
  <c r="I874" i="4"/>
  <c r="K828" i="11" l="1"/>
  <c r="J829" i="11"/>
  <c r="H830" i="11"/>
  <c r="I829" i="11"/>
  <c r="G876" i="4"/>
  <c r="E876" i="4"/>
  <c r="F876" i="4" s="1"/>
  <c r="H876" i="4"/>
  <c r="I875" i="4"/>
  <c r="C878" i="4"/>
  <c r="D877" i="4"/>
  <c r="K829" i="11" l="1"/>
  <c r="J830" i="11"/>
  <c r="I830" i="11"/>
  <c r="H831" i="11"/>
  <c r="I876" i="4"/>
  <c r="E877" i="4"/>
  <c r="F877" i="4" s="1"/>
  <c r="G877" i="4"/>
  <c r="H877" i="4"/>
  <c r="C879" i="4"/>
  <c r="D878" i="4"/>
  <c r="K830" i="11" l="1"/>
  <c r="J831" i="11"/>
  <c r="H832" i="11"/>
  <c r="I831" i="11"/>
  <c r="I877" i="4"/>
  <c r="E878" i="4"/>
  <c r="F878" i="4" s="1"/>
  <c r="G878" i="4"/>
  <c r="H878" i="4"/>
  <c r="C880" i="4"/>
  <c r="D879" i="4"/>
  <c r="H833" i="11" l="1"/>
  <c r="I832" i="11"/>
  <c r="K831" i="11"/>
  <c r="J832" i="11"/>
  <c r="I878" i="4"/>
  <c r="E879" i="4"/>
  <c r="F879" i="4" s="1"/>
  <c r="H879" i="4"/>
  <c r="G879" i="4"/>
  <c r="C881" i="4"/>
  <c r="D880" i="4"/>
  <c r="K832" i="11" l="1"/>
  <c r="J833" i="11"/>
  <c r="I833" i="11"/>
  <c r="H834" i="11"/>
  <c r="G880" i="4"/>
  <c r="E880" i="4"/>
  <c r="F880" i="4" s="1"/>
  <c r="H880" i="4" s="1"/>
  <c r="C882" i="4"/>
  <c r="D881" i="4"/>
  <c r="I879" i="4"/>
  <c r="K833" i="11" l="1"/>
  <c r="J834" i="11"/>
  <c r="H835" i="11"/>
  <c r="I834" i="11"/>
  <c r="E881" i="4"/>
  <c r="F881" i="4" s="1"/>
  <c r="H881" i="4" s="1"/>
  <c r="G881" i="4"/>
  <c r="C883" i="4"/>
  <c r="D882" i="4"/>
  <c r="I880" i="4"/>
  <c r="K834" i="11" l="1"/>
  <c r="J835" i="11"/>
  <c r="I835" i="11"/>
  <c r="H836" i="11"/>
  <c r="C884" i="4"/>
  <c r="D883" i="4"/>
  <c r="E882" i="4"/>
  <c r="F882" i="4" s="1"/>
  <c r="G882" i="4"/>
  <c r="H882" i="4"/>
  <c r="I881" i="4"/>
  <c r="I836" i="11" l="1"/>
  <c r="H837" i="11"/>
  <c r="K835" i="11"/>
  <c r="J836" i="11"/>
  <c r="I882" i="4"/>
  <c r="E883" i="4"/>
  <c r="F883" i="4" s="1"/>
  <c r="G883" i="4"/>
  <c r="H883" i="4"/>
  <c r="C885" i="4"/>
  <c r="D884" i="4"/>
  <c r="H838" i="11" l="1"/>
  <c r="I837" i="11"/>
  <c r="K836" i="11"/>
  <c r="J837" i="11"/>
  <c r="I883" i="4"/>
  <c r="G884" i="4"/>
  <c r="E884" i="4"/>
  <c r="F884" i="4" s="1"/>
  <c r="H884" i="4"/>
  <c r="C886" i="4"/>
  <c r="D885" i="4"/>
  <c r="K837" i="11" l="1"/>
  <c r="J838" i="11"/>
  <c r="I838" i="11"/>
  <c r="H839" i="11"/>
  <c r="I884" i="4"/>
  <c r="E885" i="4"/>
  <c r="F885" i="4" s="1"/>
  <c r="G885" i="4"/>
  <c r="H885" i="4"/>
  <c r="C887" i="4"/>
  <c r="D886" i="4"/>
  <c r="K838" i="11" l="1"/>
  <c r="J839" i="11"/>
  <c r="H840" i="11"/>
  <c r="I839" i="11"/>
  <c r="I885" i="4"/>
  <c r="E886" i="4"/>
  <c r="F886" i="4" s="1"/>
  <c r="G886" i="4"/>
  <c r="H886" i="4"/>
  <c r="C888" i="4"/>
  <c r="D887" i="4"/>
  <c r="H841" i="11" l="1"/>
  <c r="I840" i="11"/>
  <c r="K839" i="11"/>
  <c r="J840" i="11"/>
  <c r="C889" i="4"/>
  <c r="D888" i="4"/>
  <c r="I886" i="4"/>
  <c r="E887" i="4"/>
  <c r="F887" i="4" s="1"/>
  <c r="H887" i="4"/>
  <c r="G887" i="4"/>
  <c r="K840" i="11" l="1"/>
  <c r="J841" i="11"/>
  <c r="I841" i="11"/>
  <c r="H842" i="11"/>
  <c r="I887" i="4"/>
  <c r="G888" i="4"/>
  <c r="E888" i="4"/>
  <c r="F888" i="4" s="1"/>
  <c r="H888" i="4" s="1"/>
  <c r="C890" i="4"/>
  <c r="D889" i="4"/>
  <c r="K841" i="11" l="1"/>
  <c r="J842" i="11"/>
  <c r="H843" i="11"/>
  <c r="I842" i="11"/>
  <c r="C891" i="4"/>
  <c r="D890" i="4"/>
  <c r="G889" i="4"/>
  <c r="E889" i="4"/>
  <c r="F889" i="4" s="1"/>
  <c r="H889" i="4" s="1"/>
  <c r="I888" i="4"/>
  <c r="K842" i="11" l="1"/>
  <c r="J843" i="11"/>
  <c r="H844" i="11"/>
  <c r="I843" i="11"/>
  <c r="E890" i="4"/>
  <c r="F890" i="4" s="1"/>
  <c r="G890" i="4"/>
  <c r="H890" i="4"/>
  <c r="I889" i="4"/>
  <c r="C892" i="4"/>
  <c r="D891" i="4"/>
  <c r="K843" i="11" l="1"/>
  <c r="J844" i="11"/>
  <c r="I844" i="11"/>
  <c r="H845" i="11"/>
  <c r="C893" i="4"/>
  <c r="D892" i="4"/>
  <c r="I890" i="4"/>
  <c r="G891" i="4"/>
  <c r="E891" i="4"/>
  <c r="F891" i="4" s="1"/>
  <c r="H891" i="4" s="1"/>
  <c r="K844" i="11" l="1"/>
  <c r="J845" i="11"/>
  <c r="H846" i="11"/>
  <c r="I845" i="11"/>
  <c r="I891" i="4"/>
  <c r="G892" i="4"/>
  <c r="E892" i="4"/>
  <c r="F892" i="4" s="1"/>
  <c r="H892" i="4" s="1"/>
  <c r="C894" i="4"/>
  <c r="D893" i="4"/>
  <c r="K845" i="11" l="1"/>
  <c r="J846" i="11"/>
  <c r="I846" i="11"/>
  <c r="H847" i="11"/>
  <c r="I892" i="4"/>
  <c r="C895" i="4"/>
  <c r="D894" i="4"/>
  <c r="E893" i="4"/>
  <c r="F893" i="4" s="1"/>
  <c r="G893" i="4"/>
  <c r="H893" i="4"/>
  <c r="K846" i="11" l="1"/>
  <c r="J847" i="11"/>
  <c r="I847" i="11"/>
  <c r="H848" i="11"/>
  <c r="I893" i="4"/>
  <c r="E894" i="4"/>
  <c r="F894" i="4" s="1"/>
  <c r="G894" i="4"/>
  <c r="H894" i="4"/>
  <c r="C896" i="4"/>
  <c r="D895" i="4"/>
  <c r="I848" i="11" l="1"/>
  <c r="H849" i="11"/>
  <c r="K847" i="11"/>
  <c r="J848" i="11"/>
  <c r="E895" i="4"/>
  <c r="F895" i="4" s="1"/>
  <c r="G895" i="4"/>
  <c r="H895" i="4"/>
  <c r="C897" i="4"/>
  <c r="D896" i="4"/>
  <c r="I894" i="4"/>
  <c r="I849" i="11" l="1"/>
  <c r="H850" i="11"/>
  <c r="K848" i="11"/>
  <c r="J849" i="11"/>
  <c r="C898" i="4"/>
  <c r="D897" i="4"/>
  <c r="H896" i="4"/>
  <c r="G896" i="4"/>
  <c r="E896" i="4"/>
  <c r="F896" i="4" s="1"/>
  <c r="I895" i="4"/>
  <c r="I850" i="11" l="1"/>
  <c r="H851" i="11"/>
  <c r="K849" i="11"/>
  <c r="J850" i="11"/>
  <c r="I896" i="4"/>
  <c r="G897" i="4"/>
  <c r="H897" i="4"/>
  <c r="E897" i="4"/>
  <c r="F897" i="4" s="1"/>
  <c r="C899" i="4"/>
  <c r="D898" i="4"/>
  <c r="H852" i="11" l="1"/>
  <c r="I851" i="11"/>
  <c r="K850" i="11"/>
  <c r="J851" i="11"/>
  <c r="I897" i="4"/>
  <c r="C900" i="4"/>
  <c r="D899" i="4"/>
  <c r="E898" i="4"/>
  <c r="F898" i="4" s="1"/>
  <c r="H898" i="4"/>
  <c r="G898" i="4"/>
  <c r="K851" i="11" l="1"/>
  <c r="J852" i="11"/>
  <c r="I852" i="11"/>
  <c r="H853" i="11"/>
  <c r="I898" i="4"/>
  <c r="E899" i="4"/>
  <c r="F899" i="4" s="1"/>
  <c r="H899" i="4"/>
  <c r="G899" i="4"/>
  <c r="C901" i="4"/>
  <c r="D900" i="4"/>
  <c r="K852" i="11" l="1"/>
  <c r="J853" i="11"/>
  <c r="H854" i="11"/>
  <c r="I853" i="11"/>
  <c r="I899" i="4"/>
  <c r="G900" i="4"/>
  <c r="H900" i="4"/>
  <c r="E900" i="4"/>
  <c r="F900" i="4" s="1"/>
  <c r="C902" i="4"/>
  <c r="D901" i="4"/>
  <c r="K853" i="11" l="1"/>
  <c r="J854" i="11"/>
  <c r="H855" i="11"/>
  <c r="I854" i="11"/>
  <c r="C903" i="4"/>
  <c r="D902" i="4"/>
  <c r="I900" i="4"/>
  <c r="E901" i="4"/>
  <c r="F901" i="4" s="1"/>
  <c r="G901" i="4"/>
  <c r="H901" i="4"/>
  <c r="K854" i="11" l="1"/>
  <c r="J855" i="11"/>
  <c r="H856" i="11"/>
  <c r="I855" i="11"/>
  <c r="I901" i="4"/>
  <c r="E902" i="4"/>
  <c r="F902" i="4" s="1"/>
  <c r="H902" i="4"/>
  <c r="G902" i="4"/>
  <c r="C904" i="4"/>
  <c r="D903" i="4"/>
  <c r="H857" i="11" l="1"/>
  <c r="I856" i="11"/>
  <c r="K855" i="11"/>
  <c r="J856" i="11"/>
  <c r="I902" i="4"/>
  <c r="E903" i="4"/>
  <c r="F903" i="4" s="1"/>
  <c r="H903" i="4"/>
  <c r="G903" i="4"/>
  <c r="C905" i="4"/>
  <c r="D904" i="4"/>
  <c r="K856" i="11" l="1"/>
  <c r="J857" i="11"/>
  <c r="I857" i="11"/>
  <c r="H858" i="11"/>
  <c r="I903" i="4"/>
  <c r="H904" i="4"/>
  <c r="E904" i="4"/>
  <c r="F904" i="4" s="1"/>
  <c r="G904" i="4"/>
  <c r="C906" i="4"/>
  <c r="D905" i="4"/>
  <c r="I858" i="11" l="1"/>
  <c r="H859" i="11"/>
  <c r="K857" i="11"/>
  <c r="J858" i="11"/>
  <c r="I904" i="4"/>
  <c r="E905" i="4"/>
  <c r="F905" i="4" s="1"/>
  <c r="G905" i="4"/>
  <c r="H905" i="4"/>
  <c r="C907" i="4"/>
  <c r="D906" i="4"/>
  <c r="I859" i="11" l="1"/>
  <c r="H860" i="11"/>
  <c r="K858" i="11"/>
  <c r="J859" i="11"/>
  <c r="I905" i="4"/>
  <c r="E906" i="4"/>
  <c r="F906" i="4" s="1"/>
  <c r="H906" i="4"/>
  <c r="G906" i="4"/>
  <c r="C908" i="4"/>
  <c r="D907" i="4"/>
  <c r="H861" i="11" l="1"/>
  <c r="I860" i="11"/>
  <c r="K859" i="11"/>
  <c r="J860" i="11"/>
  <c r="I906" i="4"/>
  <c r="H907" i="4"/>
  <c r="G907" i="4"/>
  <c r="E907" i="4"/>
  <c r="F907" i="4" s="1"/>
  <c r="C909" i="4"/>
  <c r="D908" i="4"/>
  <c r="K860" i="11" l="1"/>
  <c r="J861" i="11"/>
  <c r="I861" i="11"/>
  <c r="H862" i="11"/>
  <c r="I907" i="4"/>
  <c r="C910" i="4"/>
  <c r="D909" i="4"/>
  <c r="E908" i="4"/>
  <c r="F908" i="4" s="1"/>
  <c r="H908" i="4"/>
  <c r="G908" i="4"/>
  <c r="K861" i="11" l="1"/>
  <c r="J862" i="11"/>
  <c r="H863" i="11"/>
  <c r="I862" i="11"/>
  <c r="I908" i="4"/>
  <c r="H909" i="4"/>
  <c r="E909" i="4"/>
  <c r="F909" i="4" s="1"/>
  <c r="G909" i="4"/>
  <c r="C911" i="4"/>
  <c r="D910" i="4"/>
  <c r="H864" i="11" l="1"/>
  <c r="I863" i="11"/>
  <c r="K862" i="11"/>
  <c r="J863" i="11"/>
  <c r="E910" i="4"/>
  <c r="F910" i="4" s="1"/>
  <c r="G910" i="4"/>
  <c r="H910" i="4"/>
  <c r="I909" i="4"/>
  <c r="C912" i="4"/>
  <c r="D911" i="4"/>
  <c r="K863" i="11" l="1"/>
  <c r="J864" i="11"/>
  <c r="I864" i="11"/>
  <c r="H865" i="11"/>
  <c r="I910" i="4"/>
  <c r="C913" i="4"/>
  <c r="D912" i="4"/>
  <c r="E911" i="4"/>
  <c r="F911" i="4" s="1"/>
  <c r="G911" i="4"/>
  <c r="H911" i="4"/>
  <c r="I865" i="11" l="1"/>
  <c r="H866" i="11"/>
  <c r="K864" i="11"/>
  <c r="J865" i="11"/>
  <c r="I911" i="4"/>
  <c r="H912" i="4"/>
  <c r="G912" i="4"/>
  <c r="E912" i="4"/>
  <c r="F912" i="4" s="1"/>
  <c r="C914" i="4"/>
  <c r="D913" i="4"/>
  <c r="H867" i="11" l="1"/>
  <c r="I866" i="11"/>
  <c r="K865" i="11"/>
  <c r="J866" i="11"/>
  <c r="G913" i="4"/>
  <c r="E913" i="4"/>
  <c r="F913" i="4" s="1"/>
  <c r="H913" i="4" s="1"/>
  <c r="C915" i="4"/>
  <c r="D914" i="4"/>
  <c r="I912" i="4"/>
  <c r="K866" i="11" l="1"/>
  <c r="J867" i="11"/>
  <c r="H868" i="11"/>
  <c r="I867" i="11"/>
  <c r="E914" i="4"/>
  <c r="F914" i="4" s="1"/>
  <c r="H914" i="4"/>
  <c r="G914" i="4"/>
  <c r="C916" i="4"/>
  <c r="D915" i="4"/>
  <c r="I913" i="4"/>
  <c r="K867" i="11" l="1"/>
  <c r="J868" i="11"/>
  <c r="H869" i="11"/>
  <c r="I868" i="11"/>
  <c r="G915" i="4"/>
  <c r="E915" i="4"/>
  <c r="F915" i="4" s="1"/>
  <c r="H915" i="4"/>
  <c r="C917" i="4"/>
  <c r="D916" i="4"/>
  <c r="I914" i="4"/>
  <c r="K868" i="11" l="1"/>
  <c r="J869" i="11"/>
  <c r="H870" i="11"/>
  <c r="I869" i="11"/>
  <c r="I915" i="4"/>
  <c r="G916" i="4"/>
  <c r="E916" i="4"/>
  <c r="F916" i="4" s="1"/>
  <c r="H916" i="4" s="1"/>
  <c r="C918" i="4"/>
  <c r="D917" i="4"/>
  <c r="K869" i="11" l="1"/>
  <c r="J870" i="11"/>
  <c r="H871" i="11"/>
  <c r="I870" i="11"/>
  <c r="I916" i="4"/>
  <c r="E917" i="4"/>
  <c r="F917" i="4" s="1"/>
  <c r="H917" i="4"/>
  <c r="G917" i="4"/>
  <c r="C919" i="4"/>
  <c r="D918" i="4"/>
  <c r="I871" i="11" l="1"/>
  <c r="H872" i="11"/>
  <c r="K870" i="11"/>
  <c r="J871" i="11"/>
  <c r="C920" i="4"/>
  <c r="D919" i="4"/>
  <c r="E918" i="4"/>
  <c r="F918" i="4" s="1"/>
  <c r="G918" i="4"/>
  <c r="H918" i="4"/>
  <c r="I917" i="4"/>
  <c r="I872" i="11" l="1"/>
  <c r="H873" i="11"/>
  <c r="K871" i="11"/>
  <c r="J872" i="11"/>
  <c r="I918" i="4"/>
  <c r="G919" i="4"/>
  <c r="E919" i="4"/>
  <c r="F919" i="4" s="1"/>
  <c r="H919" i="4"/>
  <c r="C921" i="4"/>
  <c r="D920" i="4"/>
  <c r="I873" i="11" l="1"/>
  <c r="H874" i="11"/>
  <c r="K872" i="11"/>
  <c r="J873" i="11"/>
  <c r="I919" i="4"/>
  <c r="E920" i="4"/>
  <c r="F920" i="4" s="1"/>
  <c r="G920" i="4"/>
  <c r="H920" i="4"/>
  <c r="C922" i="4"/>
  <c r="D921" i="4"/>
  <c r="H875" i="11" l="1"/>
  <c r="I874" i="11"/>
  <c r="K873" i="11"/>
  <c r="J874" i="11"/>
  <c r="E921" i="4"/>
  <c r="F921" i="4" s="1"/>
  <c r="G921" i="4"/>
  <c r="H921" i="4"/>
  <c r="C923" i="4"/>
  <c r="D922" i="4"/>
  <c r="I920" i="4"/>
  <c r="K874" i="11" l="1"/>
  <c r="J875" i="11"/>
  <c r="H876" i="11"/>
  <c r="I875" i="11"/>
  <c r="E922" i="4"/>
  <c r="F922" i="4" s="1"/>
  <c r="G922" i="4"/>
  <c r="H922" i="4"/>
  <c r="C924" i="4"/>
  <c r="D923" i="4"/>
  <c r="I921" i="4"/>
  <c r="K875" i="11" l="1"/>
  <c r="J876" i="11"/>
  <c r="I876" i="11"/>
  <c r="H877" i="11"/>
  <c r="I922" i="4"/>
  <c r="C925" i="4"/>
  <c r="D924" i="4"/>
  <c r="G923" i="4"/>
  <c r="E923" i="4"/>
  <c r="F923" i="4" s="1"/>
  <c r="H923" i="4" s="1"/>
  <c r="I877" i="11" l="1"/>
  <c r="H878" i="11"/>
  <c r="K876" i="11"/>
  <c r="J877" i="11"/>
  <c r="I923" i="4"/>
  <c r="E924" i="4"/>
  <c r="F924" i="4" s="1"/>
  <c r="H924" i="4" s="1"/>
  <c r="G924" i="4"/>
  <c r="C926" i="4"/>
  <c r="D925" i="4"/>
  <c r="I878" i="11" l="1"/>
  <c r="H879" i="11"/>
  <c r="K877" i="11"/>
  <c r="J878" i="11"/>
  <c r="I924" i="4"/>
  <c r="C927" i="4"/>
  <c r="D926" i="4"/>
  <c r="E925" i="4"/>
  <c r="F925" i="4" s="1"/>
  <c r="G925" i="4"/>
  <c r="H925" i="4"/>
  <c r="I879" i="11" l="1"/>
  <c r="H880" i="11"/>
  <c r="K878" i="11"/>
  <c r="J879" i="11"/>
  <c r="I925" i="4"/>
  <c r="E926" i="4"/>
  <c r="F926" i="4" s="1"/>
  <c r="G926" i="4"/>
  <c r="H926" i="4"/>
  <c r="C928" i="4"/>
  <c r="D927" i="4"/>
  <c r="I880" i="11" l="1"/>
  <c r="H881" i="11"/>
  <c r="K879" i="11"/>
  <c r="J880" i="11"/>
  <c r="C929" i="4"/>
  <c r="D928" i="4"/>
  <c r="I926" i="4"/>
  <c r="E927" i="4"/>
  <c r="F927" i="4" s="1"/>
  <c r="G927" i="4"/>
  <c r="H927" i="4"/>
  <c r="H882" i="11" l="1"/>
  <c r="I881" i="11"/>
  <c r="K880" i="11"/>
  <c r="J881" i="11"/>
  <c r="I927" i="4"/>
  <c r="G928" i="4"/>
  <c r="E928" i="4"/>
  <c r="F928" i="4" s="1"/>
  <c r="H928" i="4"/>
  <c r="C930" i="4"/>
  <c r="D929" i="4"/>
  <c r="K881" i="11" l="1"/>
  <c r="J882" i="11"/>
  <c r="I882" i="11"/>
  <c r="H883" i="11"/>
  <c r="I928" i="4"/>
  <c r="E929" i="4"/>
  <c r="F929" i="4" s="1"/>
  <c r="G929" i="4"/>
  <c r="H929" i="4"/>
  <c r="C931" i="4"/>
  <c r="D930" i="4"/>
  <c r="K882" i="11" l="1"/>
  <c r="J883" i="11"/>
  <c r="H884" i="11"/>
  <c r="I883" i="11"/>
  <c r="I929" i="4"/>
  <c r="E930" i="4"/>
  <c r="F930" i="4" s="1"/>
  <c r="H930" i="4"/>
  <c r="G930" i="4"/>
  <c r="C932" i="4"/>
  <c r="D931" i="4"/>
  <c r="K883" i="11" l="1"/>
  <c r="J884" i="11"/>
  <c r="I884" i="11"/>
  <c r="H885" i="11"/>
  <c r="C933" i="4"/>
  <c r="D932" i="4"/>
  <c r="G931" i="4"/>
  <c r="E931" i="4"/>
  <c r="F931" i="4" s="1"/>
  <c r="H931" i="4"/>
  <c r="I930" i="4"/>
  <c r="I885" i="11" l="1"/>
  <c r="H886" i="11"/>
  <c r="K884" i="11"/>
  <c r="J885" i="11"/>
  <c r="I931" i="4"/>
  <c r="H932" i="4"/>
  <c r="G932" i="4"/>
  <c r="E932" i="4"/>
  <c r="F932" i="4" s="1"/>
  <c r="C934" i="4"/>
  <c r="D933" i="4"/>
  <c r="H887" i="11" l="1"/>
  <c r="I886" i="11"/>
  <c r="K885" i="11"/>
  <c r="J886" i="11"/>
  <c r="H933" i="4"/>
  <c r="G933" i="4"/>
  <c r="E933" i="4"/>
  <c r="F933" i="4" s="1"/>
  <c r="I932" i="4"/>
  <c r="C935" i="4"/>
  <c r="D934" i="4"/>
  <c r="K886" i="11" l="1"/>
  <c r="J887" i="11"/>
  <c r="I887" i="11"/>
  <c r="H888" i="11"/>
  <c r="E934" i="4"/>
  <c r="F934" i="4" s="1"/>
  <c r="G934" i="4"/>
  <c r="H934" i="4"/>
  <c r="I933" i="4"/>
  <c r="C936" i="4"/>
  <c r="D935" i="4"/>
  <c r="I888" i="11" l="1"/>
  <c r="H889" i="11"/>
  <c r="K887" i="11"/>
  <c r="J888" i="11"/>
  <c r="I934" i="4"/>
  <c r="C937" i="4"/>
  <c r="D936" i="4"/>
  <c r="E935" i="4"/>
  <c r="F935" i="4" s="1"/>
  <c r="G935" i="4"/>
  <c r="H935" i="4"/>
  <c r="I889" i="11" l="1"/>
  <c r="H890" i="11"/>
  <c r="K888" i="11"/>
  <c r="J889" i="11"/>
  <c r="I935" i="4"/>
  <c r="G936" i="4"/>
  <c r="E936" i="4"/>
  <c r="F936" i="4" s="1"/>
  <c r="H936" i="4"/>
  <c r="C938" i="4"/>
  <c r="D937" i="4"/>
  <c r="H891" i="11" l="1"/>
  <c r="I890" i="11"/>
  <c r="K889" i="11"/>
  <c r="J890" i="11"/>
  <c r="I936" i="4"/>
  <c r="C939" i="4"/>
  <c r="D938" i="4"/>
  <c r="E937" i="4"/>
  <c r="F937" i="4" s="1"/>
  <c r="G937" i="4"/>
  <c r="H937" i="4"/>
  <c r="K890" i="11" l="1"/>
  <c r="J891" i="11"/>
  <c r="H892" i="11"/>
  <c r="I891" i="11"/>
  <c r="I937" i="4"/>
  <c r="E938" i="4"/>
  <c r="F938" i="4" s="1"/>
  <c r="H938" i="4"/>
  <c r="G938" i="4"/>
  <c r="C940" i="4"/>
  <c r="D939" i="4"/>
  <c r="I892" i="11" l="1"/>
  <c r="H893" i="11"/>
  <c r="K891" i="11"/>
  <c r="J892" i="11"/>
  <c r="I938" i="4"/>
  <c r="C941" i="4"/>
  <c r="D940" i="4"/>
  <c r="H939" i="4"/>
  <c r="E939" i="4"/>
  <c r="F939" i="4" s="1"/>
  <c r="G939" i="4"/>
  <c r="I893" i="11" l="1"/>
  <c r="H894" i="11"/>
  <c r="K892" i="11"/>
  <c r="J893" i="11"/>
  <c r="I939" i="4"/>
  <c r="G940" i="4"/>
  <c r="E940" i="4"/>
  <c r="F940" i="4" s="1"/>
  <c r="H940" i="4"/>
  <c r="C942" i="4"/>
  <c r="D941" i="4"/>
  <c r="I894" i="11" l="1"/>
  <c r="H895" i="11"/>
  <c r="K893" i="11"/>
  <c r="J894" i="11"/>
  <c r="I940" i="4"/>
  <c r="E941" i="4"/>
  <c r="F941" i="4" s="1"/>
  <c r="H941" i="4"/>
  <c r="G941" i="4"/>
  <c r="C943" i="4"/>
  <c r="D942" i="4"/>
  <c r="H896" i="11" l="1"/>
  <c r="I895" i="11"/>
  <c r="K894" i="11"/>
  <c r="J895" i="11"/>
  <c r="I941" i="4"/>
  <c r="E942" i="4"/>
  <c r="F942" i="4" s="1"/>
  <c r="H942" i="4"/>
  <c r="G942" i="4"/>
  <c r="C944" i="4"/>
  <c r="D943" i="4"/>
  <c r="K895" i="11" l="1"/>
  <c r="J896" i="11"/>
  <c r="I896" i="11"/>
  <c r="H897" i="11"/>
  <c r="I942" i="4"/>
  <c r="E943" i="4"/>
  <c r="F943" i="4" s="1"/>
  <c r="H943" i="4"/>
  <c r="G943" i="4"/>
  <c r="C945" i="4"/>
  <c r="D944" i="4"/>
  <c r="I897" i="11" l="1"/>
  <c r="H898" i="11"/>
  <c r="K896" i="11"/>
  <c r="J897" i="11"/>
  <c r="I943" i="4"/>
  <c r="E944" i="4"/>
  <c r="F944" i="4" s="1"/>
  <c r="H944" i="4"/>
  <c r="G944" i="4"/>
  <c r="C946" i="4"/>
  <c r="D945" i="4"/>
  <c r="I898" i="11" l="1"/>
  <c r="H899" i="11"/>
  <c r="K897" i="11"/>
  <c r="J898" i="11"/>
  <c r="I944" i="4"/>
  <c r="C947" i="4"/>
  <c r="D946" i="4"/>
  <c r="E945" i="4"/>
  <c r="F945" i="4" s="1"/>
  <c r="G945" i="4"/>
  <c r="H945" i="4"/>
  <c r="H900" i="11" l="1"/>
  <c r="I899" i="11"/>
  <c r="K898" i="11"/>
  <c r="J899" i="11"/>
  <c r="I945" i="4"/>
  <c r="E946" i="4"/>
  <c r="F946" i="4" s="1"/>
  <c r="H946" i="4"/>
  <c r="G946" i="4"/>
  <c r="C948" i="4"/>
  <c r="D947" i="4"/>
  <c r="K899" i="11" l="1"/>
  <c r="J900" i="11"/>
  <c r="I900" i="11"/>
  <c r="H901" i="11"/>
  <c r="I946" i="4"/>
  <c r="C949" i="4"/>
  <c r="D948" i="4"/>
  <c r="G947" i="4"/>
  <c r="E947" i="4"/>
  <c r="F947" i="4" s="1"/>
  <c r="H947" i="4"/>
  <c r="I901" i="11" l="1"/>
  <c r="H902" i="11"/>
  <c r="K900" i="11"/>
  <c r="J901" i="11"/>
  <c r="I947" i="4"/>
  <c r="G948" i="4"/>
  <c r="E948" i="4"/>
  <c r="F948" i="4" s="1"/>
  <c r="H948" i="4"/>
  <c r="C950" i="4"/>
  <c r="D949" i="4"/>
  <c r="H903" i="11" l="1"/>
  <c r="I902" i="11"/>
  <c r="K901" i="11"/>
  <c r="J902" i="11"/>
  <c r="C951" i="4"/>
  <c r="D950" i="4"/>
  <c r="E949" i="4"/>
  <c r="F949" i="4" s="1"/>
  <c r="G949" i="4"/>
  <c r="H949" i="4"/>
  <c r="I948" i="4"/>
  <c r="K902" i="11" l="1"/>
  <c r="J903" i="11"/>
  <c r="I903" i="11"/>
  <c r="H904" i="11"/>
  <c r="E950" i="4"/>
  <c r="F950" i="4" s="1"/>
  <c r="G950" i="4"/>
  <c r="H950" i="4"/>
  <c r="I949" i="4"/>
  <c r="C952" i="4"/>
  <c r="D951" i="4"/>
  <c r="H905" i="11" l="1"/>
  <c r="I904" i="11"/>
  <c r="K903" i="11"/>
  <c r="J904" i="11"/>
  <c r="I950" i="4"/>
  <c r="C953" i="4"/>
  <c r="D952" i="4"/>
  <c r="G951" i="4"/>
  <c r="E951" i="4"/>
  <c r="F951" i="4" s="1"/>
  <c r="H951" i="4"/>
  <c r="K904" i="11" l="1"/>
  <c r="J905" i="11"/>
  <c r="I905" i="11"/>
  <c r="H906" i="11"/>
  <c r="I951" i="4"/>
  <c r="G952" i="4"/>
  <c r="E952" i="4"/>
  <c r="F952" i="4" s="1"/>
  <c r="H952" i="4" s="1"/>
  <c r="C954" i="4"/>
  <c r="D953" i="4"/>
  <c r="H907" i="11" l="1"/>
  <c r="I906" i="11"/>
  <c r="K905" i="11"/>
  <c r="J906" i="11"/>
  <c r="C955" i="4"/>
  <c r="D954" i="4"/>
  <c r="I952" i="4"/>
  <c r="E953" i="4"/>
  <c r="F953" i="4" s="1"/>
  <c r="G953" i="4"/>
  <c r="H953" i="4"/>
  <c r="K906" i="11" l="1"/>
  <c r="J907" i="11"/>
  <c r="H908" i="11"/>
  <c r="I907" i="11"/>
  <c r="I953" i="4"/>
  <c r="E954" i="4"/>
  <c r="F954" i="4" s="1"/>
  <c r="G954" i="4"/>
  <c r="H954" i="4"/>
  <c r="C956" i="4"/>
  <c r="D955" i="4"/>
  <c r="K907" i="11" l="1"/>
  <c r="J908" i="11"/>
  <c r="H909" i="11"/>
  <c r="I908" i="11"/>
  <c r="I954" i="4"/>
  <c r="G955" i="4"/>
  <c r="E955" i="4"/>
  <c r="F955" i="4" s="1"/>
  <c r="H955" i="4"/>
  <c r="C957" i="4"/>
  <c r="D956" i="4"/>
  <c r="K908" i="11" l="1"/>
  <c r="J909" i="11"/>
  <c r="I909" i="11"/>
  <c r="H910" i="11"/>
  <c r="I955" i="4"/>
  <c r="G956" i="4"/>
  <c r="E956" i="4"/>
  <c r="F956" i="4" s="1"/>
  <c r="H956" i="4"/>
  <c r="C958" i="4"/>
  <c r="D957" i="4"/>
  <c r="K909" i="11" l="1"/>
  <c r="J910" i="11"/>
  <c r="H911" i="11"/>
  <c r="I910" i="11"/>
  <c r="I956" i="4"/>
  <c r="C959" i="4"/>
  <c r="D958" i="4"/>
  <c r="E957" i="4"/>
  <c r="F957" i="4" s="1"/>
  <c r="G957" i="4"/>
  <c r="H957" i="4"/>
  <c r="H912" i="11" l="1"/>
  <c r="I911" i="11"/>
  <c r="K910" i="11"/>
  <c r="J911" i="11"/>
  <c r="I957" i="4"/>
  <c r="E958" i="4"/>
  <c r="F958" i="4" s="1"/>
  <c r="G958" i="4"/>
  <c r="H958" i="4"/>
  <c r="C960" i="4"/>
  <c r="D959" i="4"/>
  <c r="K911" i="11" l="1"/>
  <c r="J912" i="11"/>
  <c r="H913" i="11"/>
  <c r="I912" i="11"/>
  <c r="I958" i="4"/>
  <c r="C961" i="4"/>
  <c r="D960" i="4"/>
  <c r="G959" i="4"/>
  <c r="E959" i="4"/>
  <c r="F959" i="4" s="1"/>
  <c r="H959" i="4"/>
  <c r="K912" i="11" l="1"/>
  <c r="J913" i="11"/>
  <c r="I913" i="11"/>
  <c r="H914" i="11"/>
  <c r="G960" i="4"/>
  <c r="E960" i="4"/>
  <c r="F960" i="4" s="1"/>
  <c r="H960" i="4"/>
  <c r="I959" i="4"/>
  <c r="C962" i="4"/>
  <c r="D961" i="4"/>
  <c r="H915" i="11" l="1"/>
  <c r="I914" i="11"/>
  <c r="K913" i="11"/>
  <c r="J914" i="11"/>
  <c r="I960" i="4"/>
  <c r="C963" i="4"/>
  <c r="D962" i="4"/>
  <c r="E961" i="4"/>
  <c r="F961" i="4" s="1"/>
  <c r="G961" i="4"/>
  <c r="H961" i="4"/>
  <c r="K914" i="11" l="1"/>
  <c r="J915" i="11"/>
  <c r="I915" i="11"/>
  <c r="H916" i="11"/>
  <c r="E962" i="4"/>
  <c r="F962" i="4" s="1"/>
  <c r="G962" i="4"/>
  <c r="H962" i="4"/>
  <c r="I961" i="4"/>
  <c r="C964" i="4"/>
  <c r="D963" i="4"/>
  <c r="H917" i="11" l="1"/>
  <c r="I916" i="11"/>
  <c r="K915" i="11"/>
  <c r="J916" i="11"/>
  <c r="I962" i="4"/>
  <c r="C965" i="4"/>
  <c r="D964" i="4"/>
  <c r="E963" i="4"/>
  <c r="F963" i="4" s="1"/>
  <c r="G963" i="4"/>
  <c r="H963" i="4"/>
  <c r="K916" i="11" l="1"/>
  <c r="J917" i="11"/>
  <c r="I917" i="11"/>
  <c r="H918" i="11"/>
  <c r="I963" i="4"/>
  <c r="G964" i="4"/>
  <c r="E964" i="4"/>
  <c r="F964" i="4" s="1"/>
  <c r="H964" i="4" s="1"/>
  <c r="C966" i="4"/>
  <c r="D965" i="4"/>
  <c r="H919" i="11" l="1"/>
  <c r="I918" i="11"/>
  <c r="K917" i="11"/>
  <c r="J918" i="11"/>
  <c r="I964" i="4"/>
  <c r="C967" i="4"/>
  <c r="D966" i="4"/>
  <c r="E965" i="4"/>
  <c r="F965" i="4" s="1"/>
  <c r="G965" i="4"/>
  <c r="H965" i="4"/>
  <c r="K918" i="11" l="1"/>
  <c r="J919" i="11"/>
  <c r="H920" i="11"/>
  <c r="I919" i="11"/>
  <c r="I965" i="4"/>
  <c r="E966" i="4"/>
  <c r="F966" i="4" s="1"/>
  <c r="G966" i="4"/>
  <c r="H966" i="4"/>
  <c r="C968" i="4"/>
  <c r="D967" i="4"/>
  <c r="K919" i="11" l="1"/>
  <c r="J920" i="11"/>
  <c r="I920" i="11"/>
  <c r="H921" i="11"/>
  <c r="I966" i="4"/>
  <c r="G967" i="4"/>
  <c r="E967" i="4"/>
  <c r="F967" i="4" s="1"/>
  <c r="H967" i="4"/>
  <c r="C969" i="4"/>
  <c r="D968" i="4"/>
  <c r="I921" i="11" l="1"/>
  <c r="H922" i="11"/>
  <c r="K920" i="11"/>
  <c r="J921" i="11"/>
  <c r="G968" i="4"/>
  <c r="E968" i="4"/>
  <c r="F968" i="4" s="1"/>
  <c r="H968" i="4"/>
  <c r="C970" i="4"/>
  <c r="D969" i="4"/>
  <c r="I967" i="4"/>
  <c r="H923" i="11" l="1"/>
  <c r="I922" i="11"/>
  <c r="K921" i="11"/>
  <c r="J922" i="11"/>
  <c r="I968" i="4"/>
  <c r="E969" i="4"/>
  <c r="F969" i="4" s="1"/>
  <c r="G969" i="4"/>
  <c r="H969" i="4"/>
  <c r="C971" i="4"/>
  <c r="D970" i="4"/>
  <c r="K922" i="11" l="1"/>
  <c r="J923" i="11"/>
  <c r="H924" i="11"/>
  <c r="I923" i="11"/>
  <c r="C972" i="4"/>
  <c r="D971" i="4"/>
  <c r="I969" i="4"/>
  <c r="E970" i="4"/>
  <c r="F970" i="4" s="1"/>
  <c r="G970" i="4"/>
  <c r="H970" i="4"/>
  <c r="I924" i="11" l="1"/>
  <c r="H925" i="11"/>
  <c r="K923" i="11"/>
  <c r="J924" i="11"/>
  <c r="I970" i="4"/>
  <c r="E971" i="4"/>
  <c r="F971" i="4" s="1"/>
  <c r="G971" i="4"/>
  <c r="H971" i="4"/>
  <c r="C973" i="4"/>
  <c r="D972" i="4"/>
  <c r="I925" i="11" l="1"/>
  <c r="H926" i="11"/>
  <c r="K924" i="11"/>
  <c r="J925" i="11"/>
  <c r="I971" i="4"/>
  <c r="E972" i="4"/>
  <c r="F972" i="4" s="1"/>
  <c r="G972" i="4"/>
  <c r="H972" i="4"/>
  <c r="C974" i="4"/>
  <c r="D973" i="4"/>
  <c r="H927" i="11" l="1"/>
  <c r="I926" i="11"/>
  <c r="K925" i="11"/>
  <c r="J926" i="11"/>
  <c r="I972" i="4"/>
  <c r="E973" i="4"/>
  <c r="F973" i="4" s="1"/>
  <c r="G973" i="4"/>
  <c r="H973" i="4"/>
  <c r="C975" i="4"/>
  <c r="D974" i="4"/>
  <c r="K926" i="11" l="1"/>
  <c r="J927" i="11"/>
  <c r="H928" i="11"/>
  <c r="I927" i="11"/>
  <c r="C976" i="4"/>
  <c r="D975" i="4"/>
  <c r="I973" i="4"/>
  <c r="G974" i="4"/>
  <c r="E974" i="4"/>
  <c r="F974" i="4" s="1"/>
  <c r="H974" i="4"/>
  <c r="K927" i="11" l="1"/>
  <c r="J928" i="11"/>
  <c r="H929" i="11"/>
  <c r="I928" i="11"/>
  <c r="I974" i="4"/>
  <c r="E975" i="4"/>
  <c r="F975" i="4" s="1"/>
  <c r="G975" i="4"/>
  <c r="H975" i="4"/>
  <c r="C977" i="4"/>
  <c r="D976" i="4"/>
  <c r="H930" i="11" l="1"/>
  <c r="I929" i="11"/>
  <c r="K928" i="11"/>
  <c r="J929" i="11"/>
  <c r="I975" i="4"/>
  <c r="C978" i="4"/>
  <c r="D977" i="4"/>
  <c r="G976" i="4"/>
  <c r="E976" i="4"/>
  <c r="F976" i="4" s="1"/>
  <c r="H976" i="4"/>
  <c r="K929" i="11" l="1"/>
  <c r="J930" i="11"/>
  <c r="I930" i="11"/>
  <c r="H931" i="11"/>
  <c r="I976" i="4"/>
  <c r="H977" i="4"/>
  <c r="G977" i="4"/>
  <c r="E977" i="4"/>
  <c r="F977" i="4" s="1"/>
  <c r="C979" i="4"/>
  <c r="D978" i="4"/>
  <c r="K930" i="11" l="1"/>
  <c r="J931" i="11"/>
  <c r="I931" i="11"/>
  <c r="H932" i="11"/>
  <c r="E978" i="4"/>
  <c r="F978" i="4" s="1"/>
  <c r="H978" i="4"/>
  <c r="G978" i="4"/>
  <c r="C980" i="4"/>
  <c r="D979" i="4"/>
  <c r="I977" i="4"/>
  <c r="K931" i="11" l="1"/>
  <c r="J932" i="11"/>
  <c r="I932" i="11"/>
  <c r="H933" i="11"/>
  <c r="I978" i="4"/>
  <c r="E979" i="4"/>
  <c r="F979" i="4" s="1"/>
  <c r="H979" i="4"/>
  <c r="G979" i="4"/>
  <c r="C981" i="4"/>
  <c r="D980" i="4"/>
  <c r="I933" i="11" l="1"/>
  <c r="H934" i="11"/>
  <c r="K932" i="11"/>
  <c r="J933" i="11"/>
  <c r="I979" i="4"/>
  <c r="E980" i="4"/>
  <c r="F980" i="4" s="1"/>
  <c r="H980" i="4"/>
  <c r="G980" i="4"/>
  <c r="C982" i="4"/>
  <c r="D981" i="4"/>
  <c r="H935" i="11" l="1"/>
  <c r="I934" i="11"/>
  <c r="K933" i="11"/>
  <c r="J934" i="11"/>
  <c r="I980" i="4"/>
  <c r="E981" i="4"/>
  <c r="F981" i="4" s="1"/>
  <c r="H981" i="4"/>
  <c r="G981" i="4"/>
  <c r="C983" i="4"/>
  <c r="D982" i="4"/>
  <c r="K934" i="11" l="1"/>
  <c r="J935" i="11"/>
  <c r="H936" i="11"/>
  <c r="I935" i="11"/>
  <c r="I981" i="4"/>
  <c r="H982" i="4"/>
  <c r="E982" i="4"/>
  <c r="F982" i="4" s="1"/>
  <c r="G982" i="4"/>
  <c r="C984" i="4"/>
  <c r="D983" i="4"/>
  <c r="K935" i="11" l="1"/>
  <c r="J936" i="11"/>
  <c r="I936" i="11"/>
  <c r="H937" i="11"/>
  <c r="I982" i="4"/>
  <c r="C985" i="4"/>
  <c r="D984" i="4"/>
  <c r="E983" i="4"/>
  <c r="F983" i="4" s="1"/>
  <c r="H983" i="4"/>
  <c r="G983" i="4"/>
  <c r="K936" i="11" l="1"/>
  <c r="J937" i="11"/>
  <c r="I937" i="11"/>
  <c r="H938" i="11"/>
  <c r="I983" i="4"/>
  <c r="H984" i="4"/>
  <c r="E984" i="4"/>
  <c r="F984" i="4" s="1"/>
  <c r="G984" i="4"/>
  <c r="C986" i="4"/>
  <c r="D985" i="4"/>
  <c r="I938" i="11" l="1"/>
  <c r="H939" i="11"/>
  <c r="K937" i="11"/>
  <c r="J938" i="11"/>
  <c r="I984" i="4"/>
  <c r="H985" i="4"/>
  <c r="E985" i="4"/>
  <c r="F985" i="4" s="1"/>
  <c r="G985" i="4"/>
  <c r="C987" i="4"/>
  <c r="D986" i="4"/>
  <c r="I939" i="11" l="1"/>
  <c r="H940" i="11"/>
  <c r="K938" i="11"/>
  <c r="J939" i="11"/>
  <c r="I985" i="4"/>
  <c r="H986" i="4"/>
  <c r="E986" i="4"/>
  <c r="F986" i="4" s="1"/>
  <c r="G986" i="4"/>
  <c r="C988" i="4"/>
  <c r="D987" i="4"/>
  <c r="I940" i="11" l="1"/>
  <c r="H941" i="11"/>
  <c r="K939" i="11"/>
  <c r="J940" i="11"/>
  <c r="I986" i="4"/>
  <c r="E987" i="4"/>
  <c r="F987" i="4" s="1"/>
  <c r="G987" i="4"/>
  <c r="H987" i="4"/>
  <c r="C989" i="4"/>
  <c r="D988" i="4"/>
  <c r="I941" i="11" l="1"/>
  <c r="H942" i="11"/>
  <c r="K940" i="11"/>
  <c r="J941" i="11"/>
  <c r="G988" i="4"/>
  <c r="H988" i="4"/>
  <c r="E988" i="4"/>
  <c r="F988" i="4" s="1"/>
  <c r="C990" i="4"/>
  <c r="D989" i="4"/>
  <c r="I987" i="4"/>
  <c r="I942" i="11" l="1"/>
  <c r="H943" i="11"/>
  <c r="K941" i="11"/>
  <c r="J942" i="11"/>
  <c r="C991" i="4"/>
  <c r="D990" i="4"/>
  <c r="G989" i="4"/>
  <c r="E989" i="4"/>
  <c r="F989" i="4" s="1"/>
  <c r="H989" i="4" s="1"/>
  <c r="I988" i="4"/>
  <c r="H944" i="11" l="1"/>
  <c r="I943" i="11"/>
  <c r="K942" i="11"/>
  <c r="J943" i="11"/>
  <c r="I989" i="4"/>
  <c r="G990" i="4"/>
  <c r="E990" i="4"/>
  <c r="F990" i="4" s="1"/>
  <c r="H990" i="4" s="1"/>
  <c r="C992" i="4"/>
  <c r="D991" i="4"/>
  <c r="K943" i="11" l="1"/>
  <c r="J944" i="11"/>
  <c r="I944" i="11"/>
  <c r="H945" i="11"/>
  <c r="I990" i="4"/>
  <c r="E991" i="4"/>
  <c r="F991" i="4" s="1"/>
  <c r="G991" i="4"/>
  <c r="H991" i="4"/>
  <c r="C993" i="4"/>
  <c r="D992" i="4"/>
  <c r="I945" i="11" l="1"/>
  <c r="H946" i="11"/>
  <c r="K944" i="11"/>
  <c r="J945" i="11"/>
  <c r="I991" i="4"/>
  <c r="C994" i="4"/>
  <c r="D993" i="4"/>
  <c r="G992" i="4"/>
  <c r="E992" i="4"/>
  <c r="F992" i="4" s="1"/>
  <c r="H992" i="4"/>
  <c r="I946" i="11" l="1"/>
  <c r="H947" i="11"/>
  <c r="K945" i="11"/>
  <c r="J946" i="11"/>
  <c r="I992" i="4"/>
  <c r="G993" i="4"/>
  <c r="E993" i="4"/>
  <c r="F993" i="4" s="1"/>
  <c r="H993" i="4" s="1"/>
  <c r="C995" i="4"/>
  <c r="D994" i="4"/>
  <c r="I947" i="11" l="1"/>
  <c r="H948" i="11"/>
  <c r="K946" i="11"/>
  <c r="J947" i="11"/>
  <c r="G994" i="4"/>
  <c r="E994" i="4"/>
  <c r="F994" i="4" s="1"/>
  <c r="H994" i="4" s="1"/>
  <c r="C996" i="4"/>
  <c r="D995" i="4"/>
  <c r="I993" i="4"/>
  <c r="H949" i="11" l="1"/>
  <c r="I948" i="11"/>
  <c r="K947" i="11"/>
  <c r="J948" i="11"/>
  <c r="I994" i="4"/>
  <c r="C997" i="4"/>
  <c r="D996" i="4"/>
  <c r="E995" i="4"/>
  <c r="F995" i="4" s="1"/>
  <c r="H995" i="4"/>
  <c r="G995" i="4"/>
  <c r="K948" i="11" l="1"/>
  <c r="J949" i="11"/>
  <c r="I949" i="11"/>
  <c r="H950" i="11"/>
  <c r="I995" i="4"/>
  <c r="G996" i="4"/>
  <c r="E996" i="4"/>
  <c r="F996" i="4" s="1"/>
  <c r="H996" i="4" s="1"/>
  <c r="C998" i="4"/>
  <c r="D997" i="4"/>
  <c r="K949" i="11" l="1"/>
  <c r="J950" i="11"/>
  <c r="H951" i="11"/>
  <c r="I950" i="11"/>
  <c r="I996" i="4"/>
  <c r="G997" i="4"/>
  <c r="E997" i="4"/>
  <c r="F997" i="4" s="1"/>
  <c r="H997" i="4"/>
  <c r="C999" i="4"/>
  <c r="D998" i="4"/>
  <c r="K950" i="11" l="1"/>
  <c r="J951" i="11"/>
  <c r="I951" i="11"/>
  <c r="H952" i="11"/>
  <c r="I997" i="4"/>
  <c r="E998" i="4"/>
  <c r="F998" i="4" s="1"/>
  <c r="H998" i="4" s="1"/>
  <c r="G998" i="4"/>
  <c r="C1000" i="4"/>
  <c r="D999" i="4"/>
  <c r="K951" i="11" l="1"/>
  <c r="J952" i="11"/>
  <c r="H953" i="11"/>
  <c r="I952" i="11"/>
  <c r="I998" i="4"/>
  <c r="C1001" i="4"/>
  <c r="D1000" i="4"/>
  <c r="E999" i="4"/>
  <c r="F999" i="4" s="1"/>
  <c r="G999" i="4"/>
  <c r="H999" i="4"/>
  <c r="K952" i="11" l="1"/>
  <c r="J953" i="11"/>
  <c r="I953" i="11"/>
  <c r="H954" i="11"/>
  <c r="G1000" i="4"/>
  <c r="E1000" i="4"/>
  <c r="F1000" i="4" s="1"/>
  <c r="H1000" i="4"/>
  <c r="I999" i="4"/>
  <c r="C1002" i="4"/>
  <c r="D1001" i="4"/>
  <c r="K953" i="11" l="1"/>
  <c r="J954" i="11"/>
  <c r="H955" i="11"/>
  <c r="I954" i="11"/>
  <c r="I1000" i="4"/>
  <c r="G1001" i="4"/>
  <c r="E1001" i="4"/>
  <c r="F1001" i="4" s="1"/>
  <c r="H1001" i="4"/>
  <c r="C1003" i="4"/>
  <c r="D1002" i="4"/>
  <c r="K954" i="11" l="1"/>
  <c r="J955" i="11"/>
  <c r="I955" i="11"/>
  <c r="H956" i="11"/>
  <c r="I1001" i="4"/>
  <c r="G1002" i="4"/>
  <c r="E1002" i="4"/>
  <c r="F1002" i="4" s="1"/>
  <c r="H1002" i="4" s="1"/>
  <c r="C1004" i="4"/>
  <c r="D1003" i="4"/>
  <c r="K955" i="11" l="1"/>
  <c r="J956" i="11"/>
  <c r="H957" i="11"/>
  <c r="I956" i="11"/>
  <c r="I1002" i="4"/>
  <c r="C1005" i="4"/>
  <c r="D1004" i="4"/>
  <c r="E1003" i="4"/>
  <c r="F1003" i="4" s="1"/>
  <c r="H1003" i="4"/>
  <c r="G1003" i="4"/>
  <c r="K956" i="11" l="1"/>
  <c r="J957" i="11"/>
  <c r="I957" i="11"/>
  <c r="H958" i="11"/>
  <c r="I1003" i="4"/>
  <c r="G1004" i="4"/>
  <c r="E1004" i="4"/>
  <c r="F1004" i="4" s="1"/>
  <c r="H1004" i="4"/>
  <c r="C1006" i="4"/>
  <c r="D1005" i="4"/>
  <c r="H959" i="11" l="1"/>
  <c r="I958" i="11"/>
  <c r="K957" i="11"/>
  <c r="J958" i="11"/>
  <c r="I1004" i="4"/>
  <c r="G1005" i="4"/>
  <c r="E1005" i="4"/>
  <c r="F1005" i="4" s="1"/>
  <c r="H1005" i="4"/>
  <c r="C1007" i="4"/>
  <c r="D1006" i="4"/>
  <c r="K958" i="11" l="1"/>
  <c r="J959" i="11"/>
  <c r="H960" i="11"/>
  <c r="I959" i="11"/>
  <c r="I1005" i="4"/>
  <c r="G1006" i="4"/>
  <c r="E1006" i="4"/>
  <c r="F1006" i="4" s="1"/>
  <c r="H1006" i="4"/>
  <c r="C1008" i="4"/>
  <c r="D1007" i="4"/>
  <c r="K959" i="11" l="1"/>
  <c r="J960" i="11"/>
  <c r="I960" i="11"/>
  <c r="H961" i="11"/>
  <c r="I1006" i="4"/>
  <c r="E1007" i="4"/>
  <c r="F1007" i="4" s="1"/>
  <c r="G1007" i="4"/>
  <c r="H1007" i="4"/>
  <c r="C1009" i="4"/>
  <c r="D1008" i="4"/>
  <c r="K960" i="11" l="1"/>
  <c r="J961" i="11"/>
  <c r="H962" i="11"/>
  <c r="I961" i="11"/>
  <c r="C1010" i="4"/>
  <c r="D1009" i="4"/>
  <c r="G1008" i="4"/>
  <c r="E1008" i="4"/>
  <c r="F1008" i="4" s="1"/>
  <c r="H1008" i="4"/>
  <c r="I1007" i="4"/>
  <c r="K961" i="11" l="1"/>
  <c r="J962" i="11"/>
  <c r="H963" i="11"/>
  <c r="I962" i="11"/>
  <c r="I1008" i="4"/>
  <c r="E1009" i="4"/>
  <c r="F1009" i="4" s="1"/>
  <c r="H1009" i="4"/>
  <c r="G1009" i="4"/>
  <c r="C1011" i="4"/>
  <c r="D1010" i="4"/>
  <c r="K962" i="11" l="1"/>
  <c r="J963" i="11"/>
  <c r="H964" i="11"/>
  <c r="I963" i="11"/>
  <c r="C1012" i="4"/>
  <c r="D1011" i="4"/>
  <c r="H1010" i="4"/>
  <c r="G1010" i="4"/>
  <c r="E1010" i="4"/>
  <c r="F1010" i="4" s="1"/>
  <c r="I1009" i="4"/>
  <c r="K963" i="11" l="1"/>
  <c r="J964" i="11"/>
  <c r="H965" i="11"/>
  <c r="I964" i="11"/>
  <c r="I1010" i="4"/>
  <c r="E1011" i="4"/>
  <c r="F1011" i="4" s="1"/>
  <c r="G1011" i="4"/>
  <c r="H1011" i="4"/>
  <c r="C1013" i="4"/>
  <c r="D1012" i="4"/>
  <c r="K964" i="11" l="1"/>
  <c r="J965" i="11"/>
  <c r="H966" i="11"/>
  <c r="I965" i="11"/>
  <c r="I1011" i="4"/>
  <c r="C1014" i="4"/>
  <c r="D1013" i="4"/>
  <c r="G1012" i="4"/>
  <c r="E1012" i="4"/>
  <c r="F1012" i="4" s="1"/>
  <c r="H1012" i="4"/>
  <c r="K965" i="11" l="1"/>
  <c r="J966" i="11"/>
  <c r="H967" i="11"/>
  <c r="I966" i="11"/>
  <c r="I1012" i="4"/>
  <c r="G1013" i="4"/>
  <c r="E1013" i="4"/>
  <c r="F1013" i="4" s="1"/>
  <c r="H1013" i="4"/>
  <c r="C1015" i="4"/>
  <c r="D1014" i="4"/>
  <c r="K966" i="11" l="1"/>
  <c r="J967" i="11"/>
  <c r="H968" i="11"/>
  <c r="I967" i="11"/>
  <c r="C1016" i="4"/>
  <c r="D1015" i="4"/>
  <c r="G1014" i="4"/>
  <c r="E1014" i="4"/>
  <c r="F1014" i="4" s="1"/>
  <c r="H1014" i="4"/>
  <c r="I1013" i="4"/>
  <c r="I968" i="11" l="1"/>
  <c r="H969" i="11"/>
  <c r="K967" i="11"/>
  <c r="J968" i="11"/>
  <c r="I1014" i="4"/>
  <c r="E1015" i="4"/>
  <c r="F1015" i="4" s="1"/>
  <c r="H1015" i="4"/>
  <c r="G1015" i="4"/>
  <c r="C1017" i="4"/>
  <c r="D1016" i="4"/>
  <c r="I969" i="11" l="1"/>
  <c r="H970" i="11"/>
  <c r="K968" i="11"/>
  <c r="J969" i="11"/>
  <c r="G1016" i="4"/>
  <c r="E1016" i="4"/>
  <c r="F1016" i="4" s="1"/>
  <c r="H1016" i="4"/>
  <c r="C1018" i="4"/>
  <c r="D1017" i="4"/>
  <c r="I1015" i="4"/>
  <c r="I970" i="11" l="1"/>
  <c r="H971" i="11"/>
  <c r="K969" i="11"/>
  <c r="J970" i="11"/>
  <c r="I1016" i="4"/>
  <c r="C1019" i="4"/>
  <c r="D1018" i="4"/>
  <c r="G1017" i="4"/>
  <c r="E1017" i="4"/>
  <c r="F1017" i="4" s="1"/>
  <c r="H1017" i="4"/>
  <c r="I971" i="11" l="1"/>
  <c r="H972" i="11"/>
  <c r="K970" i="11"/>
  <c r="J971" i="11"/>
  <c r="I1017" i="4"/>
  <c r="H1018" i="4"/>
  <c r="E1018" i="4"/>
  <c r="F1018" i="4" s="1"/>
  <c r="G1018" i="4"/>
  <c r="C1020" i="4"/>
  <c r="D1019" i="4"/>
  <c r="H973" i="11" l="1"/>
  <c r="I972" i="11"/>
  <c r="K971" i="11"/>
  <c r="J972" i="11"/>
  <c r="I1018" i="4"/>
  <c r="E1019" i="4"/>
  <c r="F1019" i="4" s="1"/>
  <c r="H1019" i="4"/>
  <c r="G1019" i="4"/>
  <c r="C1021" i="4"/>
  <c r="D1020" i="4"/>
  <c r="K972" i="11" l="1"/>
  <c r="J973" i="11"/>
  <c r="I973" i="11"/>
  <c r="H974" i="11"/>
  <c r="I1019" i="4"/>
  <c r="E1020" i="4"/>
  <c r="F1020" i="4" s="1"/>
  <c r="H1020" i="4"/>
  <c r="G1020" i="4"/>
  <c r="C1022" i="4"/>
  <c r="D1021" i="4"/>
  <c r="H975" i="11" l="1"/>
  <c r="I974" i="11"/>
  <c r="K973" i="11"/>
  <c r="J974" i="11"/>
  <c r="I1020" i="4"/>
  <c r="H1021" i="4"/>
  <c r="G1021" i="4"/>
  <c r="E1021" i="4"/>
  <c r="F1021" i="4" s="1"/>
  <c r="C1023" i="4"/>
  <c r="D1022" i="4"/>
  <c r="K974" i="11" l="1"/>
  <c r="J975" i="11"/>
  <c r="H976" i="11"/>
  <c r="I975" i="11"/>
  <c r="I1021" i="4"/>
  <c r="H1022" i="4"/>
  <c r="G1022" i="4"/>
  <c r="E1022" i="4"/>
  <c r="F1022" i="4" s="1"/>
  <c r="C1024" i="4"/>
  <c r="D1023" i="4"/>
  <c r="K975" i="11" l="1"/>
  <c r="J976" i="11"/>
  <c r="H977" i="11"/>
  <c r="I976" i="11"/>
  <c r="I1022" i="4"/>
  <c r="E1023" i="4"/>
  <c r="F1023" i="4" s="1"/>
  <c r="H1023" i="4"/>
  <c r="G1023" i="4"/>
  <c r="C1025" i="4"/>
  <c r="D1024" i="4"/>
  <c r="K976" i="11" l="1"/>
  <c r="J977" i="11"/>
  <c r="I977" i="11"/>
  <c r="H978" i="11"/>
  <c r="I1023" i="4"/>
  <c r="E1024" i="4"/>
  <c r="F1024" i="4" s="1"/>
  <c r="H1024" i="4"/>
  <c r="G1024" i="4"/>
  <c r="C1026" i="4"/>
  <c r="D1025" i="4"/>
  <c r="H979" i="11" l="1"/>
  <c r="I978" i="11"/>
  <c r="K977" i="11"/>
  <c r="J978" i="11"/>
  <c r="I1024" i="4"/>
  <c r="G1025" i="4"/>
  <c r="E1025" i="4"/>
  <c r="F1025" i="4" s="1"/>
  <c r="H1025" i="4"/>
  <c r="C1027" i="4"/>
  <c r="D1026" i="4"/>
  <c r="K978" i="11" l="1"/>
  <c r="J979" i="11"/>
  <c r="H980" i="11"/>
  <c r="I979" i="11"/>
  <c r="I1025" i="4"/>
  <c r="C1028" i="4"/>
  <c r="D1027" i="4"/>
  <c r="H1026" i="4"/>
  <c r="E1026" i="4"/>
  <c r="F1026" i="4" s="1"/>
  <c r="G1026" i="4"/>
  <c r="K979" i="11" l="1"/>
  <c r="J980" i="11"/>
  <c r="I980" i="11"/>
  <c r="H981" i="11"/>
  <c r="I1026" i="4"/>
  <c r="E1027" i="4"/>
  <c r="F1027" i="4" s="1"/>
  <c r="H1027" i="4"/>
  <c r="G1027" i="4"/>
  <c r="C1029" i="4"/>
  <c r="D1028" i="4"/>
  <c r="H982" i="11" l="1"/>
  <c r="I981" i="11"/>
  <c r="K980" i="11"/>
  <c r="J981" i="11"/>
  <c r="G1028" i="4"/>
  <c r="E1028" i="4"/>
  <c r="F1028" i="4" s="1"/>
  <c r="H1028" i="4"/>
  <c r="C1030" i="4"/>
  <c r="D1029" i="4"/>
  <c r="I1027" i="4"/>
  <c r="K981" i="11" l="1"/>
  <c r="J982" i="11"/>
  <c r="H983" i="11"/>
  <c r="I982" i="11"/>
  <c r="I1028" i="4"/>
  <c r="C1031" i="4"/>
  <c r="D1030" i="4"/>
  <c r="E1029" i="4"/>
  <c r="F1029" i="4" s="1"/>
  <c r="G1029" i="4"/>
  <c r="H1029" i="4"/>
  <c r="H984" i="11" l="1"/>
  <c r="I983" i="11"/>
  <c r="K982" i="11"/>
  <c r="J983" i="11"/>
  <c r="I1029" i="4"/>
  <c r="G1030" i="4"/>
  <c r="E1030" i="4"/>
  <c r="F1030" i="4" s="1"/>
  <c r="H1030" i="4" s="1"/>
  <c r="C1032" i="4"/>
  <c r="D1031" i="4"/>
  <c r="K983" i="11" l="1"/>
  <c r="J984" i="11"/>
  <c r="H985" i="11"/>
  <c r="I984" i="11"/>
  <c r="I1030" i="4"/>
  <c r="E1031" i="4"/>
  <c r="F1031" i="4" s="1"/>
  <c r="G1031" i="4"/>
  <c r="H1031" i="4"/>
  <c r="C1033" i="4"/>
  <c r="D1032" i="4"/>
  <c r="K984" i="11" l="1"/>
  <c r="J985" i="11"/>
  <c r="I985" i="11"/>
  <c r="H986" i="11"/>
  <c r="C1034" i="4"/>
  <c r="D1033" i="4"/>
  <c r="I1031" i="4"/>
  <c r="G1032" i="4"/>
  <c r="E1032" i="4"/>
  <c r="F1032" i="4" s="1"/>
  <c r="H1032" i="4"/>
  <c r="I986" i="11" l="1"/>
  <c r="H987" i="11"/>
  <c r="K985" i="11"/>
  <c r="J986" i="11"/>
  <c r="I1032" i="4"/>
  <c r="G1033" i="4"/>
  <c r="E1033" i="4"/>
  <c r="F1033" i="4" s="1"/>
  <c r="H1033" i="4"/>
  <c r="C1035" i="4"/>
  <c r="D1034" i="4"/>
  <c r="I987" i="11" l="1"/>
  <c r="H988" i="11"/>
  <c r="K986" i="11"/>
  <c r="J987" i="11"/>
  <c r="G1034" i="4"/>
  <c r="E1034" i="4"/>
  <c r="F1034" i="4" s="1"/>
  <c r="H1034" i="4" s="1"/>
  <c r="C1036" i="4"/>
  <c r="D1035" i="4"/>
  <c r="I1033" i="4"/>
  <c r="H989" i="11" l="1"/>
  <c r="I988" i="11"/>
  <c r="K987" i="11"/>
  <c r="J988" i="11"/>
  <c r="I1034" i="4"/>
  <c r="E1035" i="4"/>
  <c r="F1035" i="4" s="1"/>
  <c r="G1035" i="4"/>
  <c r="H1035" i="4"/>
  <c r="C1037" i="4"/>
  <c r="D1036" i="4"/>
  <c r="K988" i="11" l="1"/>
  <c r="J989" i="11"/>
  <c r="I989" i="11"/>
  <c r="H990" i="11"/>
  <c r="C1038" i="4"/>
  <c r="D1037" i="4"/>
  <c r="I1035" i="4"/>
  <c r="G1036" i="4"/>
  <c r="E1036" i="4"/>
  <c r="F1036" i="4" s="1"/>
  <c r="H1036" i="4"/>
  <c r="I990" i="11" l="1"/>
  <c r="H991" i="11"/>
  <c r="K989" i="11"/>
  <c r="J990" i="11"/>
  <c r="I1036" i="4"/>
  <c r="G1037" i="4"/>
  <c r="E1037" i="4"/>
  <c r="F1037" i="4" s="1"/>
  <c r="H1037" i="4"/>
  <c r="C1039" i="4"/>
  <c r="D1038" i="4"/>
  <c r="I991" i="11" l="1"/>
  <c r="H992" i="11"/>
  <c r="K990" i="11"/>
  <c r="J991" i="11"/>
  <c r="I1037" i="4"/>
  <c r="G1038" i="4"/>
  <c r="E1038" i="4"/>
  <c r="F1038" i="4" s="1"/>
  <c r="H1038" i="4"/>
  <c r="C1040" i="4"/>
  <c r="D1039" i="4"/>
  <c r="H993" i="11" l="1"/>
  <c r="I992" i="11"/>
  <c r="K991" i="11"/>
  <c r="J992" i="11"/>
  <c r="I1038" i="4"/>
  <c r="E1039" i="4"/>
  <c r="F1039" i="4" s="1"/>
  <c r="G1039" i="4"/>
  <c r="H1039" i="4"/>
  <c r="C1041" i="4"/>
  <c r="D1040" i="4"/>
  <c r="K992" i="11" l="1"/>
  <c r="J993" i="11"/>
  <c r="I993" i="11"/>
  <c r="H994" i="11"/>
  <c r="C1042" i="4"/>
  <c r="D1041" i="4"/>
  <c r="I1039" i="4"/>
  <c r="G1040" i="4"/>
  <c r="E1040" i="4"/>
  <c r="F1040" i="4" s="1"/>
  <c r="H1040" i="4"/>
  <c r="I994" i="11" l="1"/>
  <c r="H995" i="11"/>
  <c r="K993" i="11"/>
  <c r="J994" i="11"/>
  <c r="I1040" i="4"/>
  <c r="G1041" i="4"/>
  <c r="E1041" i="4"/>
  <c r="F1041" i="4" s="1"/>
  <c r="H1041" i="4"/>
  <c r="C1043" i="4"/>
  <c r="D1042" i="4"/>
  <c r="H996" i="11" l="1"/>
  <c r="I995" i="11"/>
  <c r="K994" i="11"/>
  <c r="J995" i="11"/>
  <c r="G1042" i="4"/>
  <c r="E1042" i="4"/>
  <c r="F1042" i="4" s="1"/>
  <c r="H1042" i="4" s="1"/>
  <c r="C1044" i="4"/>
  <c r="D1043" i="4"/>
  <c r="I1041" i="4"/>
  <c r="K995" i="11" l="1"/>
  <c r="J996" i="11"/>
  <c r="H997" i="11"/>
  <c r="I996" i="11"/>
  <c r="I1042" i="4"/>
  <c r="E1043" i="4"/>
  <c r="F1043" i="4" s="1"/>
  <c r="G1043" i="4"/>
  <c r="H1043" i="4"/>
  <c r="C1045" i="4"/>
  <c r="D1044" i="4"/>
  <c r="H998" i="11" l="1"/>
  <c r="I997" i="11"/>
  <c r="K996" i="11"/>
  <c r="J997" i="11"/>
  <c r="I1043" i="4"/>
  <c r="C1046" i="4"/>
  <c r="D1045" i="4"/>
  <c r="G1044" i="4"/>
  <c r="E1044" i="4"/>
  <c r="F1044" i="4" s="1"/>
  <c r="H1044" i="4"/>
  <c r="K997" i="11" l="1"/>
  <c r="J998" i="11"/>
  <c r="H999" i="11"/>
  <c r="I998" i="11"/>
  <c r="I1044" i="4"/>
  <c r="E1045" i="4"/>
  <c r="F1045" i="4" s="1"/>
  <c r="H1045" i="4"/>
  <c r="G1045" i="4"/>
  <c r="C1047" i="4"/>
  <c r="D1046" i="4"/>
  <c r="H1000" i="11" l="1"/>
  <c r="I999" i="11"/>
  <c r="K998" i="11"/>
  <c r="J999" i="11"/>
  <c r="E1046" i="4"/>
  <c r="F1046" i="4" s="1"/>
  <c r="G1046" i="4"/>
  <c r="H1046" i="4"/>
  <c r="C1048" i="4"/>
  <c r="D1047" i="4"/>
  <c r="I1045" i="4"/>
  <c r="K999" i="11" l="1"/>
  <c r="J1000" i="11"/>
  <c r="H1001" i="11"/>
  <c r="I1000" i="11"/>
  <c r="C1049" i="4"/>
  <c r="D1048" i="4"/>
  <c r="E1047" i="4"/>
  <c r="F1047" i="4" s="1"/>
  <c r="G1047" i="4"/>
  <c r="H1047" i="4"/>
  <c r="I1046" i="4"/>
  <c r="K1000" i="11" l="1"/>
  <c r="J1001" i="11"/>
  <c r="H1002" i="11"/>
  <c r="I1001" i="11"/>
  <c r="I1047" i="4"/>
  <c r="G1048" i="4"/>
  <c r="H1048" i="4"/>
  <c r="E1048" i="4"/>
  <c r="F1048" i="4" s="1"/>
  <c r="C1050" i="4"/>
  <c r="D1049" i="4"/>
  <c r="K1001" i="11" l="1"/>
  <c r="J1002" i="11"/>
  <c r="I1002" i="11"/>
  <c r="H1003" i="11"/>
  <c r="C1051" i="4"/>
  <c r="D1050" i="4"/>
  <c r="G1049" i="4"/>
  <c r="E1049" i="4"/>
  <c r="F1049" i="4" s="1"/>
  <c r="H1049" i="4"/>
  <c r="I1048" i="4"/>
  <c r="K1002" i="11" l="1"/>
  <c r="J1003" i="11"/>
  <c r="I1003" i="11"/>
  <c r="H1004" i="11"/>
  <c r="I1049" i="4"/>
  <c r="E1050" i="4"/>
  <c r="F1050" i="4" s="1"/>
  <c r="H1050" i="4"/>
  <c r="G1050" i="4"/>
  <c r="C1052" i="4"/>
  <c r="D1051" i="4"/>
  <c r="I1004" i="11" l="1"/>
  <c r="H1005" i="11"/>
  <c r="K1003" i="11"/>
  <c r="J1004" i="11"/>
  <c r="E1051" i="4"/>
  <c r="F1051" i="4" s="1"/>
  <c r="G1051" i="4"/>
  <c r="H1051" i="4"/>
  <c r="C1053" i="4"/>
  <c r="D1052" i="4"/>
  <c r="I1050" i="4"/>
  <c r="H1006" i="11" l="1"/>
  <c r="I1005" i="11"/>
  <c r="K1004" i="11"/>
  <c r="J1005" i="11"/>
  <c r="I1051" i="4"/>
  <c r="C1054" i="4"/>
  <c r="D1053" i="4"/>
  <c r="G1052" i="4"/>
  <c r="E1052" i="4"/>
  <c r="F1052" i="4" s="1"/>
  <c r="H1052" i="4"/>
  <c r="K1005" i="11" l="1"/>
  <c r="J1006" i="11"/>
  <c r="H1007" i="11"/>
  <c r="I1006" i="11"/>
  <c r="I1052" i="4"/>
  <c r="E1053" i="4"/>
  <c r="F1053" i="4" s="1"/>
  <c r="G1053" i="4"/>
  <c r="H1053" i="4"/>
  <c r="C1055" i="4"/>
  <c r="D1054" i="4"/>
  <c r="K1006" i="11" l="1"/>
  <c r="J1007" i="11"/>
  <c r="I1007" i="11"/>
  <c r="H1008" i="11"/>
  <c r="E1054" i="4"/>
  <c r="F1054" i="4" s="1"/>
  <c r="G1054" i="4"/>
  <c r="H1054" i="4"/>
  <c r="C1056" i="4"/>
  <c r="D1055" i="4"/>
  <c r="I1053" i="4"/>
  <c r="I1008" i="11" l="1"/>
  <c r="H1009" i="11"/>
  <c r="K1007" i="11"/>
  <c r="J1008" i="11"/>
  <c r="C1057" i="4"/>
  <c r="D1056" i="4"/>
  <c r="E1055" i="4"/>
  <c r="F1055" i="4" s="1"/>
  <c r="G1055" i="4"/>
  <c r="H1055" i="4"/>
  <c r="I1054" i="4"/>
  <c r="H1010" i="11" l="1"/>
  <c r="I1009" i="11"/>
  <c r="K1008" i="11"/>
  <c r="J1009" i="11"/>
  <c r="I1055" i="4"/>
  <c r="G1056" i="4"/>
  <c r="H1056" i="4"/>
  <c r="E1056" i="4"/>
  <c r="F1056" i="4" s="1"/>
  <c r="C1058" i="4"/>
  <c r="D1057" i="4"/>
  <c r="K1009" i="11" l="1"/>
  <c r="J1010" i="11"/>
  <c r="H1011" i="11"/>
  <c r="I1010" i="11"/>
  <c r="H1057" i="4"/>
  <c r="E1057" i="4"/>
  <c r="F1057" i="4" s="1"/>
  <c r="G1057" i="4"/>
  <c r="C1059" i="4"/>
  <c r="D1058" i="4"/>
  <c r="I1056" i="4"/>
  <c r="I1011" i="11" l="1"/>
  <c r="H1012" i="11"/>
  <c r="K1010" i="11"/>
  <c r="J1011" i="11"/>
  <c r="E1058" i="4"/>
  <c r="F1058" i="4" s="1"/>
  <c r="G1058" i="4"/>
  <c r="H1058" i="4"/>
  <c r="I1057" i="4"/>
  <c r="C1060" i="4"/>
  <c r="D1059" i="4"/>
  <c r="I1012" i="11" l="1"/>
  <c r="H1013" i="11"/>
  <c r="K1011" i="11"/>
  <c r="J1012" i="11"/>
  <c r="I1058" i="4"/>
  <c r="E1059" i="4"/>
  <c r="F1059" i="4" s="1"/>
  <c r="H1059" i="4"/>
  <c r="G1059" i="4"/>
  <c r="C1061" i="4"/>
  <c r="D1060" i="4"/>
  <c r="I1013" i="11" l="1"/>
  <c r="H1014" i="11"/>
  <c r="K1012" i="11"/>
  <c r="J1013" i="11"/>
  <c r="I1059" i="4"/>
  <c r="H1060" i="4"/>
  <c r="E1060" i="4"/>
  <c r="F1060" i="4" s="1"/>
  <c r="G1060" i="4"/>
  <c r="C1062" i="4"/>
  <c r="D1061" i="4"/>
  <c r="H1015" i="11" l="1"/>
  <c r="I1014" i="11"/>
  <c r="K1013" i="11"/>
  <c r="J1014" i="11"/>
  <c r="I1060" i="4"/>
  <c r="H1061" i="4"/>
  <c r="G1061" i="4"/>
  <c r="E1061" i="4"/>
  <c r="F1061" i="4" s="1"/>
  <c r="C1063" i="4"/>
  <c r="D1062" i="4"/>
  <c r="K1014" i="11" l="1"/>
  <c r="J1015" i="11"/>
  <c r="I1015" i="11"/>
  <c r="H1016" i="11"/>
  <c r="I1061" i="4"/>
  <c r="E1062" i="4"/>
  <c r="F1062" i="4" s="1"/>
  <c r="G1062" i="4"/>
  <c r="H1062" i="4"/>
  <c r="C1064" i="4"/>
  <c r="D1063" i="4"/>
  <c r="K1015" i="11" l="1"/>
  <c r="J1016" i="11"/>
  <c r="I1016" i="11"/>
  <c r="H1017" i="11"/>
  <c r="I1062" i="4"/>
  <c r="C1065" i="4"/>
  <c r="D1064" i="4"/>
  <c r="E1063" i="4"/>
  <c r="F1063" i="4" s="1"/>
  <c r="H1063" i="4"/>
  <c r="G1063" i="4"/>
  <c r="K1016" i="11" l="1"/>
  <c r="J1017" i="11"/>
  <c r="H1018" i="11"/>
  <c r="I1017" i="11"/>
  <c r="I1063" i="4"/>
  <c r="H1064" i="4"/>
  <c r="E1064" i="4"/>
  <c r="F1064" i="4" s="1"/>
  <c r="G1064" i="4"/>
  <c r="C1066" i="4"/>
  <c r="D1065" i="4"/>
  <c r="K1017" i="11" l="1"/>
  <c r="J1018" i="11"/>
  <c r="H1019" i="11"/>
  <c r="I1018" i="11"/>
  <c r="I1064" i="4"/>
  <c r="G1065" i="4"/>
  <c r="E1065" i="4"/>
  <c r="F1065" i="4" s="1"/>
  <c r="H1065" i="4" s="1"/>
  <c r="C1067" i="4"/>
  <c r="D1066" i="4"/>
  <c r="K1018" i="11" l="1"/>
  <c r="J1019" i="11"/>
  <c r="I1019" i="11"/>
  <c r="H1020" i="11"/>
  <c r="I1065" i="4"/>
  <c r="C1068" i="4"/>
  <c r="D1067" i="4"/>
  <c r="E1066" i="4"/>
  <c r="F1066" i="4" s="1"/>
  <c r="G1066" i="4"/>
  <c r="H1066" i="4"/>
  <c r="I1020" i="11" l="1"/>
  <c r="H1021" i="11"/>
  <c r="K1019" i="11"/>
  <c r="J1020" i="11"/>
  <c r="I1066" i="4"/>
  <c r="E1067" i="4"/>
  <c r="F1067" i="4" s="1"/>
  <c r="G1067" i="4"/>
  <c r="H1067" i="4"/>
  <c r="C1069" i="4"/>
  <c r="D1068" i="4"/>
  <c r="H1022" i="11" l="1"/>
  <c r="I1021" i="11"/>
  <c r="K1020" i="11"/>
  <c r="J1021" i="11"/>
  <c r="I1067" i="4"/>
  <c r="G1068" i="4"/>
  <c r="E1068" i="4"/>
  <c r="F1068" i="4" s="1"/>
  <c r="H1068" i="4" s="1"/>
  <c r="C1070" i="4"/>
  <c r="D1069" i="4"/>
  <c r="K1021" i="11" l="1"/>
  <c r="J1022" i="11"/>
  <c r="I1022" i="11"/>
  <c r="H1023" i="11"/>
  <c r="E1069" i="4"/>
  <c r="F1069" i="4" s="1"/>
  <c r="H1069" i="4"/>
  <c r="G1069" i="4"/>
  <c r="C1071" i="4"/>
  <c r="D1070" i="4"/>
  <c r="I1068" i="4"/>
  <c r="K1022" i="11" l="1"/>
  <c r="J1023" i="11"/>
  <c r="I1023" i="11"/>
  <c r="H1024" i="11"/>
  <c r="E1070" i="4"/>
  <c r="F1070" i="4" s="1"/>
  <c r="G1070" i="4"/>
  <c r="H1070" i="4"/>
  <c r="C1072" i="4"/>
  <c r="D1071" i="4"/>
  <c r="I1069" i="4"/>
  <c r="K1023" i="11" l="1"/>
  <c r="J1024" i="11"/>
  <c r="I1024" i="11"/>
  <c r="H1025" i="11"/>
  <c r="C1073" i="4"/>
  <c r="D1072" i="4"/>
  <c r="I1070" i="4"/>
  <c r="E1071" i="4"/>
  <c r="F1071" i="4" s="1"/>
  <c r="G1071" i="4"/>
  <c r="H1071" i="4"/>
  <c r="H1026" i="11" l="1"/>
  <c r="I1025" i="11"/>
  <c r="K1024" i="11"/>
  <c r="J1025" i="11"/>
  <c r="I1071" i="4"/>
  <c r="G1072" i="4"/>
  <c r="E1072" i="4"/>
  <c r="F1072" i="4" s="1"/>
  <c r="H1072" i="4" s="1"/>
  <c r="C1074" i="4"/>
  <c r="D1073" i="4"/>
  <c r="K1025" i="11" l="1"/>
  <c r="J1026" i="11"/>
  <c r="H1027" i="11"/>
  <c r="I1026" i="11"/>
  <c r="E1073" i="4"/>
  <c r="F1073" i="4" s="1"/>
  <c r="H1073" i="4"/>
  <c r="G1073" i="4"/>
  <c r="C1075" i="4"/>
  <c r="D1074" i="4"/>
  <c r="I1072" i="4"/>
  <c r="K1026" i="11" l="1"/>
  <c r="J1027" i="11"/>
  <c r="H1028" i="11"/>
  <c r="I1027" i="11"/>
  <c r="E1074" i="4"/>
  <c r="F1074" i="4" s="1"/>
  <c r="G1074" i="4"/>
  <c r="H1074" i="4"/>
  <c r="C1076" i="4"/>
  <c r="D1075" i="4"/>
  <c r="I1073" i="4"/>
  <c r="I1028" i="11" l="1"/>
  <c r="H1029" i="11"/>
  <c r="K1027" i="11"/>
  <c r="J1028" i="11"/>
  <c r="C1077" i="4"/>
  <c r="D1076" i="4"/>
  <c r="E1075" i="4"/>
  <c r="F1075" i="4" s="1"/>
  <c r="G1075" i="4"/>
  <c r="H1075" i="4"/>
  <c r="I1074" i="4"/>
  <c r="I1029" i="11" l="1"/>
  <c r="H1030" i="11"/>
  <c r="K1028" i="11"/>
  <c r="J1029" i="11"/>
  <c r="I1075" i="4"/>
  <c r="G1076" i="4"/>
  <c r="E1076" i="4"/>
  <c r="F1076" i="4" s="1"/>
  <c r="H1076" i="4"/>
  <c r="C1078" i="4"/>
  <c r="D1077" i="4"/>
  <c r="I1030" i="11" l="1"/>
  <c r="H1031" i="11"/>
  <c r="K1029" i="11"/>
  <c r="J1030" i="11"/>
  <c r="C1079" i="4"/>
  <c r="D1078" i="4"/>
  <c r="E1077" i="4"/>
  <c r="F1077" i="4" s="1"/>
  <c r="H1077" i="4"/>
  <c r="G1077" i="4"/>
  <c r="I1076" i="4"/>
  <c r="H1032" i="11" l="1"/>
  <c r="I1031" i="11"/>
  <c r="K1030" i="11"/>
  <c r="J1031" i="11"/>
  <c r="I1077" i="4"/>
  <c r="E1078" i="4"/>
  <c r="F1078" i="4" s="1"/>
  <c r="H1078" i="4"/>
  <c r="G1078" i="4"/>
  <c r="C1080" i="4"/>
  <c r="D1079" i="4"/>
  <c r="K1031" i="11" l="1"/>
  <c r="J1032" i="11"/>
  <c r="H1033" i="11"/>
  <c r="I1032" i="11"/>
  <c r="I1078" i="4"/>
  <c r="E1079" i="4"/>
  <c r="F1079" i="4" s="1"/>
  <c r="G1079" i="4"/>
  <c r="H1079" i="4"/>
  <c r="C1081" i="4"/>
  <c r="D1080" i="4"/>
  <c r="K1032" i="11" l="1"/>
  <c r="J1033" i="11"/>
  <c r="I1033" i="11"/>
  <c r="H1034" i="11"/>
  <c r="I1079" i="4"/>
  <c r="G1080" i="4"/>
  <c r="E1080" i="4"/>
  <c r="F1080" i="4" s="1"/>
  <c r="H1080" i="4"/>
  <c r="C1082" i="4"/>
  <c r="D1081" i="4"/>
  <c r="H1035" i="11" l="1"/>
  <c r="I1034" i="11"/>
  <c r="K1033" i="11"/>
  <c r="J1034" i="11"/>
  <c r="G1081" i="4"/>
  <c r="E1081" i="4"/>
  <c r="F1081" i="4" s="1"/>
  <c r="H1081" i="4"/>
  <c r="C1083" i="4"/>
  <c r="D1082" i="4"/>
  <c r="I1080" i="4"/>
  <c r="K1034" i="11" l="1"/>
  <c r="J1035" i="11"/>
  <c r="H1036" i="11"/>
  <c r="I1035" i="11"/>
  <c r="E1082" i="4"/>
  <c r="F1082" i="4" s="1"/>
  <c r="G1082" i="4"/>
  <c r="H1082" i="4"/>
  <c r="C1084" i="4"/>
  <c r="D1083" i="4"/>
  <c r="I1081" i="4"/>
  <c r="K1035" i="11" l="1"/>
  <c r="J1036" i="11"/>
  <c r="H1037" i="11"/>
  <c r="I1036" i="11"/>
  <c r="C1085" i="4"/>
  <c r="D1084" i="4"/>
  <c r="I1082" i="4"/>
  <c r="E1083" i="4"/>
  <c r="F1083" i="4" s="1"/>
  <c r="G1083" i="4"/>
  <c r="H1083" i="4"/>
  <c r="K1036" i="11" l="1"/>
  <c r="J1037" i="11"/>
  <c r="H1038" i="11"/>
  <c r="I1037" i="11"/>
  <c r="I1083" i="4"/>
  <c r="G1084" i="4"/>
  <c r="E1084" i="4"/>
  <c r="F1084" i="4" s="1"/>
  <c r="H1084" i="4"/>
  <c r="C1086" i="4"/>
  <c r="D1085" i="4"/>
  <c r="K1037" i="11" l="1"/>
  <c r="J1038" i="11"/>
  <c r="H1039" i="11"/>
  <c r="I1038" i="11"/>
  <c r="E1085" i="4"/>
  <c r="F1085" i="4" s="1"/>
  <c r="G1085" i="4"/>
  <c r="H1085" i="4"/>
  <c r="C1087" i="4"/>
  <c r="D1086" i="4"/>
  <c r="I1084" i="4"/>
  <c r="H1040" i="11" l="1"/>
  <c r="I1039" i="11"/>
  <c r="K1038" i="11"/>
  <c r="J1039" i="11"/>
  <c r="E1086" i="4"/>
  <c r="F1086" i="4" s="1"/>
  <c r="G1086" i="4"/>
  <c r="H1086" i="4"/>
  <c r="C1088" i="4"/>
  <c r="D1087" i="4"/>
  <c r="I1085" i="4"/>
  <c r="K1039" i="11" l="1"/>
  <c r="J1040" i="11"/>
  <c r="H1041" i="11"/>
  <c r="I1040" i="11"/>
  <c r="C1089" i="4"/>
  <c r="D1088" i="4"/>
  <c r="E1087" i="4"/>
  <c r="F1087" i="4" s="1"/>
  <c r="G1087" i="4"/>
  <c r="H1087" i="4"/>
  <c r="I1086" i="4"/>
  <c r="K1040" i="11" l="1"/>
  <c r="J1041" i="11"/>
  <c r="I1041" i="11"/>
  <c r="H1042" i="11"/>
  <c r="I1087" i="4"/>
  <c r="G1088" i="4"/>
  <c r="H1088" i="4"/>
  <c r="E1088" i="4"/>
  <c r="F1088" i="4" s="1"/>
  <c r="C1090" i="4"/>
  <c r="D1089" i="4"/>
  <c r="H1043" i="11" l="1"/>
  <c r="I1042" i="11"/>
  <c r="K1041" i="11"/>
  <c r="J1042" i="11"/>
  <c r="C1091" i="4"/>
  <c r="D1090" i="4"/>
  <c r="H1089" i="4"/>
  <c r="E1089" i="4"/>
  <c r="F1089" i="4" s="1"/>
  <c r="G1089" i="4"/>
  <c r="I1088" i="4"/>
  <c r="K1042" i="11" l="1"/>
  <c r="J1043" i="11"/>
  <c r="H1044" i="11"/>
  <c r="I1043" i="11"/>
  <c r="I1089" i="4"/>
  <c r="E1090" i="4"/>
  <c r="F1090" i="4" s="1"/>
  <c r="G1090" i="4"/>
  <c r="H1090" i="4"/>
  <c r="C1092" i="4"/>
  <c r="D1091" i="4"/>
  <c r="I1044" i="11" l="1"/>
  <c r="H1045" i="11"/>
  <c r="K1043" i="11"/>
  <c r="J1044" i="11"/>
  <c r="C1093" i="4"/>
  <c r="D1092" i="4"/>
  <c r="I1090" i="4"/>
  <c r="E1091" i="4"/>
  <c r="F1091" i="4" s="1"/>
  <c r="G1091" i="4"/>
  <c r="H1091" i="4"/>
  <c r="H1046" i="11" l="1"/>
  <c r="I1045" i="11"/>
  <c r="K1044" i="11"/>
  <c r="J1045" i="11"/>
  <c r="I1091" i="4"/>
  <c r="G1092" i="4"/>
  <c r="E1092" i="4"/>
  <c r="F1092" i="4" s="1"/>
  <c r="H1092" i="4"/>
  <c r="C1094" i="4"/>
  <c r="D1093" i="4"/>
  <c r="K1045" i="11" l="1"/>
  <c r="J1046" i="11"/>
  <c r="H1047" i="11"/>
  <c r="I1046" i="11"/>
  <c r="C1095" i="4"/>
  <c r="D1094" i="4"/>
  <c r="H1093" i="4"/>
  <c r="G1093" i="4"/>
  <c r="E1093" i="4"/>
  <c r="F1093" i="4" s="1"/>
  <c r="I1092" i="4"/>
  <c r="K1046" i="11" l="1"/>
  <c r="J1047" i="11"/>
  <c r="I1047" i="11"/>
  <c r="H1048" i="11"/>
  <c r="I1093" i="4"/>
  <c r="E1094" i="4"/>
  <c r="F1094" i="4" s="1"/>
  <c r="H1094" i="4"/>
  <c r="G1094" i="4"/>
  <c r="C1096" i="4"/>
  <c r="D1095" i="4"/>
  <c r="K1047" i="11" l="1"/>
  <c r="J1048" i="11"/>
  <c r="I1048" i="11"/>
  <c r="H1049" i="11"/>
  <c r="E1095" i="4"/>
  <c r="F1095" i="4" s="1"/>
  <c r="G1095" i="4"/>
  <c r="H1095" i="4"/>
  <c r="C1097" i="4"/>
  <c r="D1096" i="4"/>
  <c r="I1094" i="4"/>
  <c r="H1050" i="11" l="1"/>
  <c r="I1049" i="11"/>
  <c r="K1048" i="11"/>
  <c r="J1049" i="11"/>
  <c r="I1095" i="4"/>
  <c r="H1096" i="4"/>
  <c r="G1096" i="4"/>
  <c r="E1096" i="4"/>
  <c r="F1096" i="4" s="1"/>
  <c r="C1098" i="4"/>
  <c r="D1097" i="4"/>
  <c r="K1049" i="11" l="1"/>
  <c r="J1050" i="11"/>
  <c r="I1050" i="11"/>
  <c r="H1051" i="11"/>
  <c r="C1099" i="4"/>
  <c r="D1098" i="4"/>
  <c r="I1096" i="4"/>
  <c r="H1097" i="4"/>
  <c r="G1097" i="4"/>
  <c r="E1097" i="4"/>
  <c r="F1097" i="4" s="1"/>
  <c r="I1051" i="11" l="1"/>
  <c r="H1052" i="11"/>
  <c r="K1050" i="11"/>
  <c r="J1051" i="11"/>
  <c r="I1097" i="4"/>
  <c r="E1098" i="4"/>
  <c r="F1098" i="4" s="1"/>
  <c r="H1098" i="4"/>
  <c r="G1098" i="4"/>
  <c r="C1100" i="4"/>
  <c r="D1099" i="4"/>
  <c r="H1053" i="11" l="1"/>
  <c r="I1052" i="11"/>
  <c r="K1051" i="11"/>
  <c r="J1052" i="11"/>
  <c r="I1098" i="4"/>
  <c r="E1099" i="4"/>
  <c r="F1099" i="4" s="1"/>
  <c r="H1099" i="4"/>
  <c r="G1099" i="4"/>
  <c r="C1101" i="4"/>
  <c r="D1100" i="4"/>
  <c r="K1052" i="11" l="1"/>
  <c r="J1053" i="11"/>
  <c r="H1054" i="11"/>
  <c r="I1053" i="11"/>
  <c r="I1099" i="4"/>
  <c r="H1100" i="4"/>
  <c r="E1100" i="4"/>
  <c r="F1100" i="4" s="1"/>
  <c r="G1100" i="4"/>
  <c r="C1102" i="4"/>
  <c r="D1101" i="4"/>
  <c r="K1053" i="11" l="1"/>
  <c r="J1054" i="11"/>
  <c r="I1054" i="11"/>
  <c r="H1055" i="11"/>
  <c r="I1100" i="4"/>
  <c r="H1101" i="4"/>
  <c r="G1101" i="4"/>
  <c r="E1101" i="4"/>
  <c r="F1101" i="4" s="1"/>
  <c r="C1103" i="4"/>
  <c r="D1102" i="4"/>
  <c r="K1054" i="11" l="1"/>
  <c r="J1055" i="11"/>
  <c r="H1056" i="11"/>
  <c r="I1055" i="11"/>
  <c r="I1101" i="4"/>
  <c r="E1102" i="4"/>
  <c r="F1102" i="4" s="1"/>
  <c r="H1102" i="4"/>
  <c r="G1102" i="4"/>
  <c r="C1104" i="4"/>
  <c r="D1103" i="4"/>
  <c r="K1055" i="11" l="1"/>
  <c r="J1056" i="11"/>
  <c r="H1057" i="11"/>
  <c r="I1056" i="11"/>
  <c r="I1102" i="4"/>
  <c r="E1103" i="4"/>
  <c r="F1103" i="4" s="1"/>
  <c r="H1103" i="4"/>
  <c r="G1103" i="4"/>
  <c r="C1105" i="4"/>
  <c r="D1104" i="4"/>
  <c r="I1057" i="11" l="1"/>
  <c r="H1058" i="11"/>
  <c r="K1056" i="11"/>
  <c r="J1057" i="11"/>
  <c r="I1103" i="4"/>
  <c r="C1106" i="4"/>
  <c r="D1105" i="4"/>
  <c r="E1104" i="4"/>
  <c r="F1104" i="4" s="1"/>
  <c r="H1104" i="4"/>
  <c r="G1104" i="4"/>
  <c r="I1058" i="11" l="1"/>
  <c r="H1059" i="11"/>
  <c r="K1057" i="11"/>
  <c r="J1058" i="11"/>
  <c r="I1104" i="4"/>
  <c r="E1105" i="4"/>
  <c r="F1105" i="4" s="1"/>
  <c r="H1105" i="4"/>
  <c r="G1105" i="4"/>
  <c r="C1107" i="4"/>
  <c r="D1106" i="4"/>
  <c r="H1060" i="11" l="1"/>
  <c r="I1059" i="11"/>
  <c r="K1058" i="11"/>
  <c r="J1059" i="11"/>
  <c r="I1105" i="4"/>
  <c r="C1108" i="4"/>
  <c r="D1107" i="4"/>
  <c r="E1106" i="4"/>
  <c r="F1106" i="4" s="1"/>
  <c r="G1106" i="4"/>
  <c r="H1106" i="4"/>
  <c r="K1059" i="11" l="1"/>
  <c r="J1060" i="11"/>
  <c r="I1060" i="11"/>
  <c r="H1061" i="11"/>
  <c r="I1106" i="4"/>
  <c r="E1107" i="4"/>
  <c r="F1107" i="4" s="1"/>
  <c r="H1107" i="4"/>
  <c r="G1107" i="4"/>
  <c r="C1109" i="4"/>
  <c r="D1108" i="4"/>
  <c r="K1060" i="11" l="1"/>
  <c r="J1061" i="11"/>
  <c r="H1062" i="11"/>
  <c r="I1061" i="11"/>
  <c r="G1108" i="4"/>
  <c r="E1108" i="4"/>
  <c r="F1108" i="4" s="1"/>
  <c r="H1108" i="4"/>
  <c r="C1110" i="4"/>
  <c r="D1109" i="4"/>
  <c r="I1107" i="4"/>
  <c r="I1062" i="11" l="1"/>
  <c r="H1063" i="11"/>
  <c r="K1061" i="11"/>
  <c r="J1062" i="11"/>
  <c r="I1108" i="4"/>
  <c r="E1109" i="4"/>
  <c r="F1109" i="4" s="1"/>
  <c r="G1109" i="4"/>
  <c r="H1109" i="4"/>
  <c r="C1111" i="4"/>
  <c r="D1110" i="4"/>
  <c r="I1063" i="11" l="1"/>
  <c r="H1064" i="11"/>
  <c r="K1062" i="11"/>
  <c r="J1063" i="11"/>
  <c r="G1110" i="4"/>
  <c r="E1110" i="4"/>
  <c r="F1110" i="4" s="1"/>
  <c r="H1110" i="4"/>
  <c r="C1112" i="4"/>
  <c r="D1111" i="4"/>
  <c r="I1109" i="4"/>
  <c r="I1064" i="11" l="1"/>
  <c r="H1065" i="11"/>
  <c r="K1063" i="11"/>
  <c r="J1064" i="11"/>
  <c r="I1110" i="4"/>
  <c r="E1111" i="4"/>
  <c r="F1111" i="4" s="1"/>
  <c r="G1111" i="4"/>
  <c r="H1111" i="4"/>
  <c r="C1113" i="4"/>
  <c r="D1112" i="4"/>
  <c r="H1066" i="11" l="1"/>
  <c r="I1065" i="11"/>
  <c r="K1064" i="11"/>
  <c r="J1065" i="11"/>
  <c r="E1112" i="4"/>
  <c r="F1112" i="4" s="1"/>
  <c r="G1112" i="4"/>
  <c r="H1112" i="4"/>
  <c r="C1114" i="4"/>
  <c r="D1113" i="4"/>
  <c r="I1111" i="4"/>
  <c r="K1065" i="11" l="1"/>
  <c r="J1066" i="11"/>
  <c r="I1066" i="11"/>
  <c r="H1067" i="11"/>
  <c r="I1112" i="4"/>
  <c r="C1115" i="4"/>
  <c r="D1114" i="4"/>
  <c r="G1113" i="4"/>
  <c r="E1113" i="4"/>
  <c r="F1113" i="4" s="1"/>
  <c r="H1113" i="4"/>
  <c r="I1067" i="11" l="1"/>
  <c r="H1068" i="11"/>
  <c r="K1066" i="11"/>
  <c r="J1067" i="11"/>
  <c r="I1113" i="4"/>
  <c r="E1114" i="4"/>
  <c r="F1114" i="4" s="1"/>
  <c r="G1114" i="4"/>
  <c r="H1114" i="4"/>
  <c r="C1116" i="4"/>
  <c r="D1115" i="4"/>
  <c r="I1068" i="11" l="1"/>
  <c r="H1069" i="11"/>
  <c r="K1067" i="11"/>
  <c r="J1068" i="11"/>
  <c r="E1115" i="4"/>
  <c r="F1115" i="4" s="1"/>
  <c r="G1115" i="4"/>
  <c r="H1115" i="4"/>
  <c r="C1117" i="4"/>
  <c r="D1116" i="4"/>
  <c r="I1114" i="4"/>
  <c r="I1069" i="11" l="1"/>
  <c r="H1070" i="11"/>
  <c r="K1068" i="11"/>
  <c r="J1069" i="11"/>
  <c r="I1115" i="4"/>
  <c r="C1118" i="4"/>
  <c r="D1117" i="4"/>
  <c r="G1116" i="4"/>
  <c r="E1116" i="4"/>
  <c r="F1116" i="4" s="1"/>
  <c r="H1116" i="4"/>
  <c r="H1071" i="11" l="1"/>
  <c r="I1070" i="11"/>
  <c r="K1069" i="11"/>
  <c r="J1070" i="11"/>
  <c r="I1116" i="4"/>
  <c r="G1117" i="4"/>
  <c r="E1117" i="4"/>
  <c r="F1117" i="4" s="1"/>
  <c r="H1117" i="4"/>
  <c r="C1119" i="4"/>
  <c r="D1118" i="4"/>
  <c r="K1070" i="11" l="1"/>
  <c r="J1071" i="11"/>
  <c r="H1072" i="11"/>
  <c r="I1071" i="11"/>
  <c r="I1117" i="4"/>
  <c r="E1118" i="4"/>
  <c r="F1118" i="4" s="1"/>
  <c r="G1118" i="4"/>
  <c r="H1118" i="4"/>
  <c r="C1120" i="4"/>
  <c r="D1119" i="4"/>
  <c r="H1073" i="11" l="1"/>
  <c r="I1072" i="11"/>
  <c r="K1071" i="11"/>
  <c r="J1072" i="11"/>
  <c r="E1119" i="4"/>
  <c r="F1119" i="4" s="1"/>
  <c r="G1119" i="4"/>
  <c r="H1119" i="4"/>
  <c r="C1121" i="4"/>
  <c r="D1120" i="4"/>
  <c r="I1118" i="4"/>
  <c r="K1072" i="11" l="1"/>
  <c r="J1073" i="11"/>
  <c r="I1073" i="11"/>
  <c r="H1074" i="11"/>
  <c r="G1120" i="4"/>
  <c r="E1120" i="4"/>
  <c r="F1120" i="4" s="1"/>
  <c r="H1120" i="4"/>
  <c r="C1122" i="4"/>
  <c r="D1121" i="4"/>
  <c r="I1119" i="4"/>
  <c r="K1073" i="11" l="1"/>
  <c r="J1074" i="11"/>
  <c r="H1075" i="11"/>
  <c r="I1074" i="11"/>
  <c r="I1120" i="4"/>
  <c r="E1121" i="4"/>
  <c r="F1121" i="4" s="1"/>
  <c r="G1121" i="4"/>
  <c r="H1121" i="4"/>
  <c r="C1123" i="4"/>
  <c r="D1122" i="4"/>
  <c r="K1074" i="11" l="1"/>
  <c r="J1075" i="11"/>
  <c r="I1075" i="11"/>
  <c r="H1076" i="11"/>
  <c r="C1124" i="4"/>
  <c r="D1123" i="4"/>
  <c r="I1121" i="4"/>
  <c r="E1122" i="4"/>
  <c r="F1122" i="4" s="1"/>
  <c r="G1122" i="4"/>
  <c r="H1122" i="4"/>
  <c r="K1075" i="11" l="1"/>
  <c r="J1076" i="11"/>
  <c r="H1077" i="11"/>
  <c r="I1076" i="11"/>
  <c r="I1122" i="4"/>
  <c r="E1123" i="4"/>
  <c r="F1123" i="4" s="1"/>
  <c r="G1123" i="4"/>
  <c r="H1123" i="4"/>
  <c r="C1125" i="4"/>
  <c r="D1124" i="4"/>
  <c r="K1076" i="11" l="1"/>
  <c r="J1077" i="11"/>
  <c r="I1077" i="11"/>
  <c r="H1078" i="11"/>
  <c r="I1123" i="4"/>
  <c r="C1126" i="4"/>
  <c r="D1125" i="4"/>
  <c r="G1124" i="4"/>
  <c r="E1124" i="4"/>
  <c r="F1124" i="4" s="1"/>
  <c r="H1124" i="4"/>
  <c r="I1078" i="11" l="1"/>
  <c r="H1079" i="11"/>
  <c r="K1077" i="11"/>
  <c r="J1078" i="11"/>
  <c r="I1124" i="4"/>
  <c r="H1125" i="4"/>
  <c r="E1125" i="4"/>
  <c r="F1125" i="4" s="1"/>
  <c r="G1125" i="4"/>
  <c r="C1127" i="4"/>
  <c r="D1126" i="4"/>
  <c r="I1079" i="11" l="1"/>
  <c r="H1080" i="11"/>
  <c r="K1078" i="11"/>
  <c r="J1079" i="11"/>
  <c r="C1128" i="4"/>
  <c r="D1127" i="4"/>
  <c r="G1126" i="4"/>
  <c r="H1126" i="4"/>
  <c r="E1126" i="4"/>
  <c r="F1126" i="4" s="1"/>
  <c r="I1125" i="4"/>
  <c r="I1080" i="11" l="1"/>
  <c r="H1081" i="11"/>
  <c r="K1079" i="11"/>
  <c r="J1080" i="11"/>
  <c r="E1127" i="4"/>
  <c r="F1127" i="4" s="1"/>
  <c r="G1127" i="4"/>
  <c r="H1127" i="4"/>
  <c r="I1126" i="4"/>
  <c r="C1129" i="4"/>
  <c r="D1128" i="4"/>
  <c r="I1081" i="11" l="1"/>
  <c r="H1082" i="11"/>
  <c r="K1080" i="11"/>
  <c r="J1081" i="11"/>
  <c r="I1127" i="4"/>
  <c r="G1128" i="4"/>
  <c r="E1128" i="4"/>
  <c r="F1128" i="4" s="1"/>
  <c r="H1128" i="4"/>
  <c r="C1130" i="4"/>
  <c r="D1129" i="4"/>
  <c r="H1083" i="11" l="1"/>
  <c r="I1082" i="11"/>
  <c r="K1081" i="11"/>
  <c r="J1082" i="11"/>
  <c r="I1128" i="4"/>
  <c r="C1131" i="4"/>
  <c r="D1130" i="4"/>
  <c r="G1129" i="4"/>
  <c r="H1129" i="4"/>
  <c r="E1129" i="4"/>
  <c r="F1129" i="4" s="1"/>
  <c r="K1082" i="11" l="1"/>
  <c r="J1083" i="11"/>
  <c r="I1083" i="11"/>
  <c r="H1084" i="11"/>
  <c r="I1129" i="4"/>
  <c r="E1130" i="4"/>
  <c r="F1130" i="4" s="1"/>
  <c r="G1130" i="4"/>
  <c r="H1130" i="4"/>
  <c r="C1132" i="4"/>
  <c r="D1131" i="4"/>
  <c r="I1084" i="11" l="1"/>
  <c r="H1085" i="11"/>
  <c r="K1083" i="11"/>
  <c r="J1084" i="11"/>
  <c r="E1131" i="4"/>
  <c r="F1131" i="4" s="1"/>
  <c r="G1131" i="4"/>
  <c r="H1131" i="4"/>
  <c r="C1133" i="4"/>
  <c r="D1132" i="4"/>
  <c r="I1130" i="4"/>
  <c r="I1085" i="11" l="1"/>
  <c r="H1086" i="11"/>
  <c r="K1084" i="11"/>
  <c r="J1085" i="11"/>
  <c r="I1131" i="4"/>
  <c r="C1134" i="4"/>
  <c r="D1133" i="4"/>
  <c r="G1132" i="4"/>
  <c r="E1132" i="4"/>
  <c r="F1132" i="4" s="1"/>
  <c r="H1132" i="4"/>
  <c r="H1087" i="11" l="1"/>
  <c r="I1086" i="11"/>
  <c r="K1085" i="11"/>
  <c r="J1086" i="11"/>
  <c r="I1132" i="4"/>
  <c r="G1133" i="4"/>
  <c r="E1133" i="4"/>
  <c r="F1133" i="4" s="1"/>
  <c r="H1133" i="4"/>
  <c r="C1135" i="4"/>
  <c r="D1134" i="4"/>
  <c r="K1086" i="11" l="1"/>
  <c r="J1087" i="11"/>
  <c r="H1088" i="11"/>
  <c r="I1087" i="11"/>
  <c r="I1133" i="4"/>
  <c r="E1134" i="4"/>
  <c r="F1134" i="4" s="1"/>
  <c r="G1134" i="4"/>
  <c r="H1134" i="4"/>
  <c r="C1136" i="4"/>
  <c r="D1135" i="4"/>
  <c r="K1087" i="11" l="1"/>
  <c r="J1088" i="11"/>
  <c r="H1089" i="11"/>
  <c r="I1088" i="11"/>
  <c r="E1135" i="4"/>
  <c r="F1135" i="4" s="1"/>
  <c r="G1135" i="4"/>
  <c r="H1135" i="4"/>
  <c r="C1137" i="4"/>
  <c r="D1136" i="4"/>
  <c r="I1134" i="4"/>
  <c r="K1088" i="11" l="1"/>
  <c r="J1089" i="11"/>
  <c r="H1090" i="11"/>
  <c r="I1089" i="11"/>
  <c r="C1138" i="4"/>
  <c r="D1137" i="4"/>
  <c r="I1135" i="4"/>
  <c r="E1136" i="4"/>
  <c r="F1136" i="4" s="1"/>
  <c r="H1136" i="4"/>
  <c r="G1136" i="4"/>
  <c r="K1089" i="11" l="1"/>
  <c r="J1090" i="11"/>
  <c r="I1090" i="11"/>
  <c r="H1091" i="11"/>
  <c r="I1136" i="4"/>
  <c r="E1137" i="4"/>
  <c r="F1137" i="4" s="1"/>
  <c r="G1137" i="4"/>
  <c r="H1137" i="4"/>
  <c r="C1139" i="4"/>
  <c r="D1138" i="4"/>
  <c r="K1090" i="11" l="1"/>
  <c r="J1091" i="11"/>
  <c r="H1092" i="11"/>
  <c r="I1091" i="11"/>
  <c r="E1138" i="4"/>
  <c r="F1138" i="4" s="1"/>
  <c r="H1138" i="4"/>
  <c r="G1138" i="4"/>
  <c r="C1140" i="4"/>
  <c r="D1139" i="4"/>
  <c r="I1137" i="4"/>
  <c r="H1093" i="11" l="1"/>
  <c r="I1092" i="11"/>
  <c r="K1091" i="11"/>
  <c r="J1092" i="11"/>
  <c r="I1138" i="4"/>
  <c r="E1139" i="4"/>
  <c r="F1139" i="4" s="1"/>
  <c r="H1139" i="4"/>
  <c r="G1139" i="4"/>
  <c r="C1141" i="4"/>
  <c r="D1140" i="4"/>
  <c r="K1092" i="11" l="1"/>
  <c r="J1093" i="11"/>
  <c r="I1093" i="11"/>
  <c r="H1094" i="11"/>
  <c r="I1139" i="4"/>
  <c r="C1142" i="4"/>
  <c r="D1141" i="4"/>
  <c r="H1140" i="4"/>
  <c r="E1140" i="4"/>
  <c r="F1140" i="4" s="1"/>
  <c r="G1140" i="4"/>
  <c r="H1095" i="11" l="1"/>
  <c r="I1094" i="11"/>
  <c r="K1093" i="11"/>
  <c r="J1094" i="11"/>
  <c r="I1140" i="4"/>
  <c r="E1141" i="4"/>
  <c r="F1141" i="4" s="1"/>
  <c r="G1141" i="4"/>
  <c r="H1141" i="4"/>
  <c r="C1143" i="4"/>
  <c r="D1142" i="4"/>
  <c r="K1094" i="11" l="1"/>
  <c r="J1095" i="11"/>
  <c r="H1096" i="11"/>
  <c r="I1095" i="11"/>
  <c r="I1141" i="4"/>
  <c r="E1142" i="4"/>
  <c r="F1142" i="4" s="1"/>
  <c r="G1142" i="4"/>
  <c r="H1142" i="4"/>
  <c r="C1144" i="4"/>
  <c r="D1143" i="4"/>
  <c r="H1097" i="11" l="1"/>
  <c r="I1096" i="11"/>
  <c r="K1095" i="11"/>
  <c r="J1096" i="11"/>
  <c r="I1142" i="4"/>
  <c r="E1143" i="4"/>
  <c r="F1143" i="4" s="1"/>
  <c r="H1143" i="4"/>
  <c r="G1143" i="4"/>
  <c r="C1145" i="4"/>
  <c r="D1144" i="4"/>
  <c r="K1096" i="11" l="1"/>
  <c r="J1097" i="11"/>
  <c r="H1098" i="11"/>
  <c r="I1097" i="11"/>
  <c r="I1143" i="4"/>
  <c r="C1146" i="4"/>
  <c r="D1145" i="4"/>
  <c r="E1144" i="4"/>
  <c r="F1144" i="4" s="1"/>
  <c r="H1144" i="4" s="1"/>
  <c r="G1144" i="4"/>
  <c r="K1097" i="11" l="1"/>
  <c r="J1098" i="11"/>
  <c r="H1099" i="11"/>
  <c r="I1098" i="11"/>
  <c r="I1144" i="4"/>
  <c r="E1145" i="4"/>
  <c r="F1145" i="4" s="1"/>
  <c r="H1145" i="4"/>
  <c r="G1145" i="4"/>
  <c r="C1147" i="4"/>
  <c r="D1146" i="4"/>
  <c r="I1099" i="11" l="1"/>
  <c r="H1100" i="11"/>
  <c r="K1098" i="11"/>
  <c r="J1099" i="11"/>
  <c r="I1145" i="4"/>
  <c r="G1146" i="4"/>
  <c r="E1146" i="4"/>
  <c r="F1146" i="4" s="1"/>
  <c r="H1146" i="4" s="1"/>
  <c r="C1148" i="4"/>
  <c r="D1147" i="4"/>
  <c r="I1100" i="11" l="1"/>
  <c r="H1101" i="11"/>
  <c r="K1099" i="11"/>
  <c r="J1100" i="11"/>
  <c r="I1146" i="4"/>
  <c r="E1147" i="4"/>
  <c r="F1147" i="4" s="1"/>
  <c r="G1147" i="4"/>
  <c r="H1147" i="4"/>
  <c r="C1149" i="4"/>
  <c r="D1148" i="4"/>
  <c r="H1102" i="11" l="1"/>
  <c r="I1101" i="11"/>
  <c r="K1100" i="11"/>
  <c r="J1101" i="11"/>
  <c r="I1147" i="4"/>
  <c r="E1148" i="4"/>
  <c r="F1148" i="4" s="1"/>
  <c r="G1148" i="4"/>
  <c r="H1148" i="4"/>
  <c r="C1150" i="4"/>
  <c r="D1149" i="4"/>
  <c r="K1101" i="11" l="1"/>
  <c r="J1102" i="11"/>
  <c r="H1103" i="11"/>
  <c r="I1102" i="11"/>
  <c r="C1151" i="4"/>
  <c r="D1150" i="4"/>
  <c r="G1149" i="4"/>
  <c r="E1149" i="4"/>
  <c r="F1149" i="4" s="1"/>
  <c r="H1149" i="4"/>
  <c r="I1148" i="4"/>
  <c r="K1102" i="11" l="1"/>
  <c r="J1103" i="11"/>
  <c r="H1104" i="11"/>
  <c r="I1103" i="11"/>
  <c r="G1150" i="4"/>
  <c r="E1150" i="4"/>
  <c r="F1150" i="4" s="1"/>
  <c r="H1150" i="4" s="1"/>
  <c r="I1149" i="4"/>
  <c r="C1152" i="4"/>
  <c r="D1151" i="4"/>
  <c r="K1103" i="11" l="1"/>
  <c r="J1104" i="11"/>
  <c r="H1105" i="11"/>
  <c r="I1104" i="11"/>
  <c r="C1153" i="4"/>
  <c r="D1152" i="4"/>
  <c r="I1150" i="4"/>
  <c r="E1151" i="4"/>
  <c r="F1151" i="4" s="1"/>
  <c r="G1151" i="4"/>
  <c r="H1151" i="4"/>
  <c r="K1104" i="11" l="1"/>
  <c r="J1105" i="11"/>
  <c r="I1105" i="11"/>
  <c r="H1106" i="11"/>
  <c r="I1151" i="4"/>
  <c r="G1152" i="4"/>
  <c r="E1152" i="4"/>
  <c r="F1152" i="4" s="1"/>
  <c r="H1152" i="4"/>
  <c r="C1154" i="4"/>
  <c r="D1153" i="4"/>
  <c r="H1107" i="11" l="1"/>
  <c r="I1106" i="11"/>
  <c r="K1105" i="11"/>
  <c r="J1106" i="11"/>
  <c r="C1155" i="4"/>
  <c r="D1154" i="4"/>
  <c r="E1153" i="4"/>
  <c r="F1153" i="4" s="1"/>
  <c r="H1153" i="4"/>
  <c r="G1153" i="4"/>
  <c r="I1152" i="4"/>
  <c r="K1106" i="11" l="1"/>
  <c r="J1107" i="11"/>
  <c r="I1107" i="11"/>
  <c r="H1108" i="11"/>
  <c r="I1153" i="4"/>
  <c r="G1154" i="4"/>
  <c r="E1154" i="4"/>
  <c r="F1154" i="4" s="1"/>
  <c r="H1154" i="4"/>
  <c r="C1156" i="4"/>
  <c r="D1155" i="4"/>
  <c r="I1108" i="11" l="1"/>
  <c r="H1109" i="11"/>
  <c r="K1107" i="11"/>
  <c r="J1108" i="11"/>
  <c r="E1155" i="4"/>
  <c r="F1155" i="4" s="1"/>
  <c r="G1155" i="4"/>
  <c r="H1155" i="4"/>
  <c r="C1157" i="4"/>
  <c r="D1156" i="4"/>
  <c r="I1154" i="4"/>
  <c r="H1110" i="11" l="1"/>
  <c r="I1109" i="11"/>
  <c r="K1108" i="11"/>
  <c r="J1109" i="11"/>
  <c r="I1155" i="4"/>
  <c r="G1156" i="4"/>
  <c r="E1156" i="4"/>
  <c r="F1156" i="4" s="1"/>
  <c r="H1156" i="4"/>
  <c r="C1158" i="4"/>
  <c r="D1157" i="4"/>
  <c r="K1109" i="11" l="1"/>
  <c r="J1110" i="11"/>
  <c r="H1111" i="11"/>
  <c r="I1110" i="11"/>
  <c r="G1157" i="4"/>
  <c r="E1157" i="4"/>
  <c r="F1157" i="4" s="1"/>
  <c r="H1157" i="4"/>
  <c r="C1159" i="4"/>
  <c r="D1158" i="4"/>
  <c r="I1156" i="4"/>
  <c r="K1110" i="11" l="1"/>
  <c r="J1111" i="11"/>
  <c r="H1112" i="11"/>
  <c r="I1111" i="11"/>
  <c r="I1157" i="4"/>
  <c r="G1158" i="4"/>
  <c r="E1158" i="4"/>
  <c r="F1158" i="4" s="1"/>
  <c r="H1158" i="4"/>
  <c r="C1160" i="4"/>
  <c r="D1159" i="4"/>
  <c r="K1111" i="11" l="1"/>
  <c r="J1112" i="11"/>
  <c r="I1112" i="11"/>
  <c r="H1113" i="11"/>
  <c r="I1158" i="4"/>
  <c r="E1159" i="4"/>
  <c r="F1159" i="4" s="1"/>
  <c r="G1159" i="4"/>
  <c r="H1159" i="4"/>
  <c r="C1161" i="4"/>
  <c r="D1160" i="4"/>
  <c r="K1112" i="11" l="1"/>
  <c r="J1113" i="11"/>
  <c r="I1113" i="11"/>
  <c r="H1114" i="11"/>
  <c r="I1159" i="4"/>
  <c r="E1160" i="4"/>
  <c r="F1160" i="4" s="1"/>
  <c r="H1160" i="4"/>
  <c r="G1160" i="4"/>
  <c r="C1162" i="4"/>
  <c r="D1161" i="4"/>
  <c r="K1113" i="11" l="1"/>
  <c r="J1114" i="11"/>
  <c r="I1114" i="11"/>
  <c r="H1115" i="11"/>
  <c r="E1161" i="4"/>
  <c r="F1161" i="4" s="1"/>
  <c r="H1161" i="4"/>
  <c r="G1161" i="4"/>
  <c r="C1163" i="4"/>
  <c r="D1162" i="4"/>
  <c r="I1160" i="4"/>
  <c r="K1114" i="11" l="1"/>
  <c r="J1115" i="11"/>
  <c r="H1116" i="11"/>
  <c r="I1115" i="11"/>
  <c r="G1162" i="4"/>
  <c r="E1162" i="4"/>
  <c r="F1162" i="4" s="1"/>
  <c r="H1162" i="4"/>
  <c r="C1164" i="4"/>
  <c r="D1163" i="4"/>
  <c r="I1161" i="4"/>
  <c r="K1115" i="11" l="1"/>
  <c r="J1116" i="11"/>
  <c r="I1116" i="11"/>
  <c r="H1117" i="11"/>
  <c r="I1162" i="4"/>
  <c r="E1163" i="4"/>
  <c r="F1163" i="4" s="1"/>
  <c r="G1163" i="4"/>
  <c r="H1163" i="4"/>
  <c r="C1165" i="4"/>
  <c r="D1164" i="4"/>
  <c r="K1116" i="11" l="1"/>
  <c r="J1117" i="11"/>
  <c r="I1117" i="11"/>
  <c r="H1118" i="11"/>
  <c r="I1163" i="4"/>
  <c r="H1164" i="4"/>
  <c r="E1164" i="4"/>
  <c r="F1164" i="4" s="1"/>
  <c r="G1164" i="4"/>
  <c r="C1166" i="4"/>
  <c r="D1165" i="4"/>
  <c r="I1118" i="11" l="1"/>
  <c r="H1119" i="11"/>
  <c r="K1117" i="11"/>
  <c r="J1118" i="11"/>
  <c r="I1164" i="4"/>
  <c r="H1165" i="4"/>
  <c r="G1165" i="4"/>
  <c r="E1165" i="4"/>
  <c r="F1165" i="4" s="1"/>
  <c r="C1167" i="4"/>
  <c r="D1166" i="4"/>
  <c r="I1119" i="11" l="1"/>
  <c r="H1120" i="11"/>
  <c r="K1118" i="11"/>
  <c r="J1119" i="11"/>
  <c r="C1168" i="4"/>
  <c r="D1167" i="4"/>
  <c r="I1165" i="4"/>
  <c r="G1166" i="4"/>
  <c r="E1166" i="4"/>
  <c r="F1166" i="4" s="1"/>
  <c r="H1166" i="4"/>
  <c r="I1120" i="11" l="1"/>
  <c r="H1121" i="11"/>
  <c r="K1119" i="11"/>
  <c r="J1120" i="11"/>
  <c r="I1166" i="4"/>
  <c r="E1167" i="4"/>
  <c r="F1167" i="4" s="1"/>
  <c r="G1167" i="4"/>
  <c r="H1167" i="4"/>
  <c r="C1169" i="4"/>
  <c r="D1168" i="4"/>
  <c r="H1122" i="11" l="1"/>
  <c r="I1121" i="11"/>
  <c r="K1120" i="11"/>
  <c r="J1121" i="11"/>
  <c r="I1167" i="4"/>
  <c r="C1170" i="4"/>
  <c r="D1169" i="4"/>
  <c r="G1168" i="4"/>
  <c r="E1168" i="4"/>
  <c r="F1168" i="4" s="1"/>
  <c r="H1168" i="4"/>
  <c r="K1121" i="11" l="1"/>
  <c r="J1122" i="11"/>
  <c r="I1122" i="11"/>
  <c r="H1123" i="11"/>
  <c r="I1168" i="4"/>
  <c r="G1169" i="4"/>
  <c r="H1169" i="4"/>
  <c r="E1169" i="4"/>
  <c r="F1169" i="4" s="1"/>
  <c r="C1171" i="4"/>
  <c r="D1170" i="4"/>
  <c r="I1123" i="11" l="1"/>
  <c r="H1124" i="11"/>
  <c r="K1122" i="11"/>
  <c r="J1123" i="11"/>
  <c r="C1172" i="4"/>
  <c r="D1171" i="4"/>
  <c r="G1170" i="4"/>
  <c r="E1170" i="4"/>
  <c r="F1170" i="4" s="1"/>
  <c r="H1170" i="4"/>
  <c r="I1169" i="4"/>
  <c r="I1124" i="11" l="1"/>
  <c r="H1125" i="11"/>
  <c r="K1123" i="11"/>
  <c r="J1124" i="11"/>
  <c r="I1170" i="4"/>
  <c r="G1171" i="4"/>
  <c r="E1171" i="4"/>
  <c r="F1171" i="4" s="1"/>
  <c r="H1171" i="4"/>
  <c r="C1173" i="4"/>
  <c r="D1172" i="4"/>
  <c r="I1125" i="11" l="1"/>
  <c r="H1126" i="11"/>
  <c r="K1124" i="11"/>
  <c r="J1125" i="11"/>
  <c r="I1171" i="4"/>
  <c r="E1172" i="4"/>
  <c r="F1172" i="4" s="1"/>
  <c r="H1172" i="4"/>
  <c r="G1172" i="4"/>
  <c r="C1174" i="4"/>
  <c r="D1173" i="4"/>
  <c r="I1126" i="11" l="1"/>
  <c r="H1127" i="11"/>
  <c r="K1125" i="11"/>
  <c r="J1126" i="11"/>
  <c r="G1173" i="4"/>
  <c r="E1173" i="4"/>
  <c r="F1173" i="4" s="1"/>
  <c r="H1173" i="4"/>
  <c r="C1175" i="4"/>
  <c r="D1174" i="4"/>
  <c r="I1172" i="4"/>
  <c r="H1128" i="11" l="1"/>
  <c r="I1127" i="11"/>
  <c r="K1126" i="11"/>
  <c r="J1127" i="11"/>
  <c r="I1173" i="4"/>
  <c r="G1174" i="4"/>
  <c r="E1174" i="4"/>
  <c r="F1174" i="4" s="1"/>
  <c r="H1174" i="4"/>
  <c r="C1176" i="4"/>
  <c r="D1175" i="4"/>
  <c r="K1127" i="11" l="1"/>
  <c r="J1128" i="11"/>
  <c r="H1129" i="11"/>
  <c r="I1128" i="11"/>
  <c r="I1174" i="4"/>
  <c r="E1175" i="4"/>
  <c r="F1175" i="4" s="1"/>
  <c r="G1175" i="4"/>
  <c r="H1175" i="4"/>
  <c r="C1177" i="4"/>
  <c r="D1176" i="4"/>
  <c r="H1130" i="11" l="1"/>
  <c r="I1129" i="11"/>
  <c r="K1128" i="11"/>
  <c r="J1129" i="11"/>
  <c r="E1176" i="4"/>
  <c r="F1176" i="4" s="1"/>
  <c r="H1176" i="4"/>
  <c r="G1176" i="4"/>
  <c r="C1178" i="4"/>
  <c r="D1177" i="4"/>
  <c r="I1175" i="4"/>
  <c r="K1129" i="11" l="1"/>
  <c r="J1130" i="11"/>
  <c r="H1131" i="11"/>
  <c r="I1130" i="11"/>
  <c r="G1177" i="4"/>
  <c r="E1177" i="4"/>
  <c r="F1177" i="4" s="1"/>
  <c r="H1177" i="4"/>
  <c r="C1179" i="4"/>
  <c r="D1178" i="4"/>
  <c r="I1176" i="4"/>
  <c r="H1132" i="11" l="1"/>
  <c r="I1131" i="11"/>
  <c r="K1130" i="11"/>
  <c r="J1131" i="11"/>
  <c r="I1177" i="4"/>
  <c r="E1178" i="4"/>
  <c r="F1178" i="4" s="1"/>
  <c r="H1178" i="4"/>
  <c r="G1178" i="4"/>
  <c r="C1180" i="4"/>
  <c r="D1179" i="4"/>
  <c r="K1131" i="11" l="1"/>
  <c r="J1132" i="11"/>
  <c r="I1132" i="11"/>
  <c r="H1133" i="11"/>
  <c r="I1178" i="4"/>
  <c r="E1179" i="4"/>
  <c r="F1179" i="4" s="1"/>
  <c r="H1179" i="4" s="1"/>
  <c r="G1179" i="4"/>
  <c r="C1181" i="4"/>
  <c r="D1180" i="4"/>
  <c r="I1133" i="11" l="1"/>
  <c r="H1134" i="11"/>
  <c r="K1132" i="11"/>
  <c r="J1133" i="11"/>
  <c r="I1179" i="4"/>
  <c r="C1182" i="4"/>
  <c r="D1181" i="4"/>
  <c r="E1180" i="4"/>
  <c r="F1180" i="4" s="1"/>
  <c r="H1180" i="4"/>
  <c r="G1180" i="4"/>
  <c r="H1135" i="11" l="1"/>
  <c r="I1134" i="11"/>
  <c r="K1133" i="11"/>
  <c r="J1134" i="11"/>
  <c r="I1180" i="4"/>
  <c r="E1181" i="4"/>
  <c r="F1181" i="4" s="1"/>
  <c r="H1181" i="4" s="1"/>
  <c r="G1181" i="4"/>
  <c r="C1183" i="4"/>
  <c r="D1182" i="4"/>
  <c r="K1134" i="11" l="1"/>
  <c r="J1135" i="11"/>
  <c r="I1135" i="11"/>
  <c r="H1136" i="11"/>
  <c r="I1181" i="4"/>
  <c r="E1182" i="4"/>
  <c r="F1182" i="4" s="1"/>
  <c r="H1182" i="4" s="1"/>
  <c r="G1182" i="4"/>
  <c r="C1184" i="4"/>
  <c r="D1183" i="4"/>
  <c r="H1137" i="11" l="1"/>
  <c r="I1136" i="11"/>
  <c r="K1135" i="11"/>
  <c r="J1136" i="11"/>
  <c r="I1182" i="4"/>
  <c r="G1183" i="4"/>
  <c r="E1183" i="4"/>
  <c r="F1183" i="4" s="1"/>
  <c r="H1183" i="4" s="1"/>
  <c r="C1185" i="4"/>
  <c r="D1184" i="4"/>
  <c r="K1136" i="11" l="1"/>
  <c r="J1137" i="11"/>
  <c r="H1138" i="11"/>
  <c r="I1137" i="11"/>
  <c r="I1183" i="4"/>
  <c r="C1186" i="4"/>
  <c r="D1185" i="4"/>
  <c r="E1184" i="4"/>
  <c r="F1184" i="4" s="1"/>
  <c r="H1184" i="4"/>
  <c r="G1184" i="4"/>
  <c r="K1137" i="11" l="1"/>
  <c r="J1138" i="11"/>
  <c r="H1139" i="11"/>
  <c r="I1138" i="11"/>
  <c r="I1184" i="4"/>
  <c r="E1185" i="4"/>
  <c r="F1185" i="4" s="1"/>
  <c r="H1185" i="4" s="1"/>
  <c r="G1185" i="4"/>
  <c r="C1187" i="4"/>
  <c r="D1186" i="4"/>
  <c r="K1138" i="11" l="1"/>
  <c r="J1139" i="11"/>
  <c r="H1140" i="11"/>
  <c r="I1139" i="11"/>
  <c r="I1185" i="4"/>
  <c r="C1188" i="4"/>
  <c r="D1187" i="4"/>
  <c r="G1186" i="4"/>
  <c r="E1186" i="4"/>
  <c r="F1186" i="4" s="1"/>
  <c r="H1186" i="4"/>
  <c r="K1139" i="11" l="1"/>
  <c r="J1140" i="11"/>
  <c r="I1140" i="11"/>
  <c r="H1141" i="11"/>
  <c r="I1186" i="4"/>
  <c r="E1187" i="4"/>
  <c r="F1187" i="4" s="1"/>
  <c r="H1187" i="4" s="1"/>
  <c r="G1187" i="4"/>
  <c r="C1189" i="4"/>
  <c r="D1188" i="4"/>
  <c r="I1141" i="11" l="1"/>
  <c r="H1142" i="11"/>
  <c r="K1140" i="11"/>
  <c r="J1141" i="11"/>
  <c r="E1188" i="4"/>
  <c r="F1188" i="4" s="1"/>
  <c r="G1188" i="4"/>
  <c r="H1188" i="4"/>
  <c r="I1187" i="4"/>
  <c r="C1190" i="4"/>
  <c r="D1189" i="4"/>
  <c r="H1143" i="11" l="1"/>
  <c r="I1142" i="11"/>
  <c r="K1141" i="11"/>
  <c r="J1142" i="11"/>
  <c r="I1188" i="4"/>
  <c r="G1189" i="4"/>
  <c r="E1189" i="4"/>
  <c r="F1189" i="4" s="1"/>
  <c r="H1189" i="4"/>
  <c r="C1191" i="4"/>
  <c r="D1190" i="4"/>
  <c r="K1142" i="11" l="1"/>
  <c r="J1143" i="11"/>
  <c r="H1144" i="11"/>
  <c r="I1143" i="11"/>
  <c r="I1189" i="4"/>
  <c r="G1190" i="4"/>
  <c r="E1190" i="4"/>
  <c r="F1190" i="4" s="1"/>
  <c r="H1190" i="4"/>
  <c r="C1192" i="4"/>
  <c r="D1191" i="4"/>
  <c r="K1143" i="11" l="1"/>
  <c r="J1144" i="11"/>
  <c r="I1144" i="11"/>
  <c r="H1145" i="11"/>
  <c r="I1190" i="4"/>
  <c r="C1193" i="4"/>
  <c r="D1192" i="4"/>
  <c r="G1191" i="4"/>
  <c r="E1191" i="4"/>
  <c r="F1191" i="4" s="1"/>
  <c r="H1191" i="4" s="1"/>
  <c r="I1145" i="11" l="1"/>
  <c r="H1146" i="11"/>
  <c r="K1144" i="11"/>
  <c r="J1145" i="11"/>
  <c r="I1191" i="4"/>
  <c r="E1192" i="4"/>
  <c r="F1192" i="4" s="1"/>
  <c r="H1192" i="4"/>
  <c r="G1192" i="4"/>
  <c r="C1194" i="4"/>
  <c r="D1193" i="4"/>
  <c r="I1146" i="11" l="1"/>
  <c r="H1147" i="11"/>
  <c r="K1145" i="11"/>
  <c r="J1146" i="11"/>
  <c r="G1193" i="4"/>
  <c r="E1193" i="4"/>
  <c r="F1193" i="4" s="1"/>
  <c r="H1193" i="4"/>
  <c r="C1195" i="4"/>
  <c r="D1194" i="4"/>
  <c r="I1192" i="4"/>
  <c r="H1148" i="11" l="1"/>
  <c r="I1147" i="11"/>
  <c r="K1146" i="11"/>
  <c r="J1147" i="11"/>
  <c r="I1193" i="4"/>
  <c r="G1194" i="4"/>
  <c r="E1194" i="4"/>
  <c r="F1194" i="4" s="1"/>
  <c r="H1194" i="4"/>
  <c r="C1196" i="4"/>
  <c r="D1195" i="4"/>
  <c r="K1147" i="11" l="1"/>
  <c r="J1148" i="11"/>
  <c r="H1149" i="11"/>
  <c r="I1148" i="11"/>
  <c r="I1194" i="4"/>
  <c r="G1195" i="4"/>
  <c r="E1195" i="4"/>
  <c r="F1195" i="4" s="1"/>
  <c r="H1195" i="4"/>
  <c r="C1197" i="4"/>
  <c r="D1196" i="4"/>
  <c r="K1148" i="11" l="1"/>
  <c r="J1149" i="11"/>
  <c r="I1149" i="11"/>
  <c r="H1150" i="11"/>
  <c r="I1195" i="4"/>
  <c r="E1196" i="4"/>
  <c r="F1196" i="4" s="1"/>
  <c r="G1196" i="4"/>
  <c r="H1196" i="4"/>
  <c r="C1198" i="4"/>
  <c r="D1197" i="4"/>
  <c r="K1149" i="11" l="1"/>
  <c r="J1150" i="11"/>
  <c r="H1151" i="11"/>
  <c r="I1150" i="11"/>
  <c r="I1196" i="4"/>
  <c r="G1197" i="4"/>
  <c r="E1197" i="4"/>
  <c r="F1197" i="4" s="1"/>
  <c r="H1197" i="4"/>
  <c r="C1199" i="4"/>
  <c r="D1198" i="4"/>
  <c r="K1150" i="11" l="1"/>
  <c r="J1151" i="11"/>
  <c r="H1152" i="11"/>
  <c r="I1151" i="11"/>
  <c r="H1198" i="4"/>
  <c r="G1198" i="4"/>
  <c r="E1198" i="4"/>
  <c r="F1198" i="4" s="1"/>
  <c r="C1200" i="4"/>
  <c r="D1199" i="4"/>
  <c r="I1197" i="4"/>
  <c r="K1151" i="11" l="1"/>
  <c r="J1152" i="11"/>
  <c r="H1153" i="11"/>
  <c r="I1152" i="11"/>
  <c r="H1199" i="4"/>
  <c r="G1199" i="4"/>
  <c r="E1199" i="4"/>
  <c r="F1199" i="4" s="1"/>
  <c r="C1201" i="4"/>
  <c r="D1200" i="4"/>
  <c r="I1198" i="4"/>
  <c r="I1153" i="11" l="1"/>
  <c r="H1154" i="11"/>
  <c r="K1152" i="11"/>
  <c r="J1153" i="11"/>
  <c r="I1199" i="4"/>
  <c r="E1200" i="4"/>
  <c r="F1200" i="4" s="1"/>
  <c r="G1200" i="4"/>
  <c r="H1200" i="4"/>
  <c r="C1202" i="4"/>
  <c r="D1201" i="4"/>
  <c r="I1154" i="11" l="1"/>
  <c r="H1155" i="11"/>
  <c r="K1153" i="11"/>
  <c r="J1154" i="11"/>
  <c r="I1200" i="4"/>
  <c r="C1203" i="4"/>
  <c r="D1202" i="4"/>
  <c r="G1201" i="4"/>
  <c r="E1201" i="4"/>
  <c r="F1201" i="4" s="1"/>
  <c r="H1201" i="4"/>
  <c r="H1156" i="11" l="1"/>
  <c r="I1155" i="11"/>
  <c r="K1154" i="11"/>
  <c r="J1155" i="11"/>
  <c r="I1201" i="4"/>
  <c r="E1202" i="4"/>
  <c r="F1202" i="4" s="1"/>
  <c r="H1202" i="4"/>
  <c r="G1202" i="4"/>
  <c r="C1204" i="4"/>
  <c r="D1203" i="4"/>
  <c r="K1155" i="11" l="1"/>
  <c r="J1156" i="11"/>
  <c r="H1157" i="11"/>
  <c r="I1156" i="11"/>
  <c r="C1205" i="4"/>
  <c r="D1204" i="4"/>
  <c r="H1203" i="4"/>
  <c r="E1203" i="4"/>
  <c r="F1203" i="4" s="1"/>
  <c r="G1203" i="4"/>
  <c r="I1202" i="4"/>
  <c r="K1156" i="11" l="1"/>
  <c r="J1157" i="11"/>
  <c r="I1157" i="11"/>
  <c r="H1158" i="11"/>
  <c r="I1203" i="4"/>
  <c r="E1204" i="4"/>
  <c r="F1204" i="4" s="1"/>
  <c r="G1204" i="4"/>
  <c r="H1204" i="4"/>
  <c r="C1206" i="4"/>
  <c r="D1205" i="4"/>
  <c r="K1157" i="11" l="1"/>
  <c r="J1158" i="11"/>
  <c r="H1159" i="11"/>
  <c r="I1158" i="11"/>
  <c r="G1205" i="4"/>
  <c r="E1205" i="4"/>
  <c r="F1205" i="4" s="1"/>
  <c r="H1205" i="4"/>
  <c r="C1207" i="4"/>
  <c r="D1206" i="4"/>
  <c r="I1204" i="4"/>
  <c r="K1158" i="11" l="1"/>
  <c r="J1159" i="11"/>
  <c r="H1160" i="11"/>
  <c r="I1159" i="11"/>
  <c r="I1205" i="4"/>
  <c r="E1206" i="4"/>
  <c r="F1206" i="4" s="1"/>
  <c r="G1206" i="4"/>
  <c r="H1206" i="4"/>
  <c r="C1208" i="4"/>
  <c r="D1207" i="4"/>
  <c r="I1160" i="11" l="1"/>
  <c r="H1161" i="11"/>
  <c r="K1159" i="11"/>
  <c r="J1160" i="11"/>
  <c r="I1206" i="4"/>
  <c r="E1207" i="4"/>
  <c r="F1207" i="4" s="1"/>
  <c r="G1207" i="4"/>
  <c r="H1207" i="4"/>
  <c r="C1209" i="4"/>
  <c r="D1208" i="4"/>
  <c r="H1162" i="11" l="1"/>
  <c r="I1161" i="11"/>
  <c r="K1160" i="11"/>
  <c r="J1161" i="11"/>
  <c r="C1210" i="4"/>
  <c r="D1209" i="4"/>
  <c r="I1207" i="4"/>
  <c r="E1208" i="4"/>
  <c r="F1208" i="4" s="1"/>
  <c r="H1208" i="4"/>
  <c r="G1208" i="4"/>
  <c r="K1161" i="11" l="1"/>
  <c r="J1162" i="11"/>
  <c r="I1162" i="11"/>
  <c r="H1163" i="11"/>
  <c r="I1208" i="4"/>
  <c r="G1209" i="4"/>
  <c r="E1209" i="4"/>
  <c r="F1209" i="4" s="1"/>
  <c r="H1209" i="4"/>
  <c r="C1211" i="4"/>
  <c r="D1210" i="4"/>
  <c r="H1164" i="11" l="1"/>
  <c r="I1163" i="11"/>
  <c r="K1162" i="11"/>
  <c r="J1163" i="11"/>
  <c r="I1209" i="4"/>
  <c r="E1210" i="4"/>
  <c r="F1210" i="4" s="1"/>
  <c r="G1210" i="4"/>
  <c r="H1210" i="4"/>
  <c r="C1212" i="4"/>
  <c r="D1211" i="4"/>
  <c r="K1163" i="11" l="1"/>
  <c r="J1164" i="11"/>
  <c r="I1164" i="11"/>
  <c r="H1165" i="11"/>
  <c r="I1210" i="4"/>
  <c r="H1211" i="4"/>
  <c r="G1211" i="4"/>
  <c r="E1211" i="4"/>
  <c r="F1211" i="4" s="1"/>
  <c r="C1213" i="4"/>
  <c r="D1212" i="4"/>
  <c r="I1165" i="11" l="1"/>
  <c r="H1166" i="11"/>
  <c r="K1164" i="11"/>
  <c r="J1165" i="11"/>
  <c r="I1211" i="4"/>
  <c r="E1212" i="4"/>
  <c r="F1212" i="4" s="1"/>
  <c r="G1212" i="4"/>
  <c r="H1212" i="4"/>
  <c r="C1214" i="4"/>
  <c r="D1213" i="4"/>
  <c r="H1167" i="11" l="1"/>
  <c r="I1166" i="11"/>
  <c r="K1165" i="11"/>
  <c r="J1166" i="11"/>
  <c r="I1212" i="4"/>
  <c r="G1213" i="4"/>
  <c r="E1213" i="4"/>
  <c r="F1213" i="4" s="1"/>
  <c r="H1213" i="4"/>
  <c r="C1215" i="4"/>
  <c r="D1214" i="4"/>
  <c r="K1166" i="11" l="1"/>
  <c r="J1167" i="11"/>
  <c r="H1168" i="11"/>
  <c r="I1167" i="11"/>
  <c r="H1214" i="4"/>
  <c r="E1214" i="4"/>
  <c r="F1214" i="4" s="1"/>
  <c r="G1214" i="4"/>
  <c r="C1216" i="4"/>
  <c r="D1215" i="4"/>
  <c r="I1213" i="4"/>
  <c r="K1167" i="11" l="1"/>
  <c r="J1168" i="11"/>
  <c r="H1169" i="11"/>
  <c r="I1168" i="11"/>
  <c r="G1215" i="4"/>
  <c r="H1215" i="4"/>
  <c r="E1215" i="4"/>
  <c r="F1215" i="4" s="1"/>
  <c r="C1217" i="4"/>
  <c r="D1216" i="4"/>
  <c r="I1214" i="4"/>
  <c r="H1170" i="11" l="1"/>
  <c r="I1169" i="11"/>
  <c r="K1168" i="11"/>
  <c r="J1169" i="11"/>
  <c r="I1215" i="4"/>
  <c r="E1216" i="4"/>
  <c r="F1216" i="4" s="1"/>
  <c r="G1216" i="4"/>
  <c r="H1216" i="4"/>
  <c r="C1218" i="4"/>
  <c r="D1217" i="4"/>
  <c r="K1169" i="11" l="1"/>
  <c r="J1170" i="11"/>
  <c r="I1170" i="11"/>
  <c r="H1171" i="11"/>
  <c r="C1219" i="4"/>
  <c r="D1218" i="4"/>
  <c r="I1216" i="4"/>
  <c r="G1217" i="4"/>
  <c r="E1217" i="4"/>
  <c r="F1217" i="4" s="1"/>
  <c r="H1217" i="4"/>
  <c r="H1172" i="11" l="1"/>
  <c r="I1171" i="11"/>
  <c r="K1170" i="11"/>
  <c r="J1171" i="11"/>
  <c r="I1217" i="4"/>
  <c r="E1218" i="4"/>
  <c r="F1218" i="4" s="1"/>
  <c r="H1218" i="4" s="1"/>
  <c r="G1218" i="4"/>
  <c r="C1220" i="4"/>
  <c r="D1219" i="4"/>
  <c r="K1171" i="11" l="1"/>
  <c r="J1172" i="11"/>
  <c r="I1172" i="11"/>
  <c r="H1173" i="11"/>
  <c r="I1218" i="4"/>
  <c r="E1219" i="4"/>
  <c r="F1219" i="4" s="1"/>
  <c r="H1219" i="4" s="1"/>
  <c r="G1219" i="4"/>
  <c r="C1221" i="4"/>
  <c r="D1220" i="4"/>
  <c r="I1173" i="11" l="1"/>
  <c r="H1174" i="11"/>
  <c r="K1172" i="11"/>
  <c r="J1173" i="11"/>
  <c r="I1219" i="4"/>
  <c r="E1220" i="4"/>
  <c r="F1220" i="4" s="1"/>
  <c r="H1220" i="4"/>
  <c r="G1220" i="4"/>
  <c r="C1222" i="4"/>
  <c r="D1221" i="4"/>
  <c r="H1175" i="11" l="1"/>
  <c r="I1174" i="11"/>
  <c r="K1173" i="11"/>
  <c r="J1174" i="11"/>
  <c r="I1220" i="4"/>
  <c r="E1221" i="4"/>
  <c r="F1221" i="4" s="1"/>
  <c r="H1221" i="4"/>
  <c r="G1221" i="4"/>
  <c r="C1223" i="4"/>
  <c r="D1222" i="4"/>
  <c r="K1174" i="11" l="1"/>
  <c r="J1175" i="11"/>
  <c r="H1176" i="11"/>
  <c r="I1175" i="11"/>
  <c r="I1221" i="4"/>
  <c r="E1222" i="4"/>
  <c r="F1222" i="4" s="1"/>
  <c r="G1222" i="4"/>
  <c r="H1222" i="4"/>
  <c r="C1224" i="4"/>
  <c r="D1223" i="4"/>
  <c r="K1175" i="11" l="1"/>
  <c r="J1176" i="11"/>
  <c r="H1177" i="11"/>
  <c r="I1176" i="11"/>
  <c r="I1222" i="4"/>
  <c r="C1225" i="4"/>
  <c r="D1224" i="4"/>
  <c r="E1223" i="4"/>
  <c r="F1223" i="4" s="1"/>
  <c r="H1223" i="4" s="1"/>
  <c r="G1223" i="4"/>
  <c r="K1176" i="11" l="1"/>
  <c r="J1177" i="11"/>
  <c r="H1178" i="11"/>
  <c r="I1177" i="11"/>
  <c r="I1223" i="4"/>
  <c r="E1224" i="4"/>
  <c r="F1224" i="4" s="1"/>
  <c r="G1224" i="4"/>
  <c r="H1224" i="4"/>
  <c r="C1226" i="4"/>
  <c r="D1225" i="4"/>
  <c r="I1178" i="11" l="1"/>
  <c r="H1179" i="11"/>
  <c r="K1177" i="11"/>
  <c r="J1178" i="11"/>
  <c r="I1224" i="4"/>
  <c r="E1225" i="4"/>
  <c r="F1225" i="4" s="1"/>
  <c r="H1225" i="4" s="1"/>
  <c r="G1225" i="4"/>
  <c r="C1227" i="4"/>
  <c r="D1226" i="4"/>
  <c r="H1180" i="11" l="1"/>
  <c r="I1179" i="11"/>
  <c r="K1178" i="11"/>
  <c r="J1179" i="11"/>
  <c r="I1225" i="4"/>
  <c r="E1226" i="4"/>
  <c r="F1226" i="4" s="1"/>
  <c r="H1226" i="4" s="1"/>
  <c r="G1226" i="4"/>
  <c r="C1228" i="4"/>
  <c r="D1227" i="4"/>
  <c r="K1179" i="11" l="1"/>
  <c r="J1180" i="11"/>
  <c r="H1181" i="11"/>
  <c r="I1180" i="11"/>
  <c r="I1226" i="4"/>
  <c r="G1227" i="4"/>
  <c r="E1227" i="4"/>
  <c r="F1227" i="4" s="1"/>
  <c r="H1227" i="4"/>
  <c r="C1229" i="4"/>
  <c r="D1228" i="4"/>
  <c r="K1180" i="11" l="1"/>
  <c r="J1181" i="11"/>
  <c r="I1181" i="11"/>
  <c r="H1182" i="11"/>
  <c r="I1227" i="4"/>
  <c r="E1228" i="4"/>
  <c r="F1228" i="4" s="1"/>
  <c r="G1228" i="4"/>
  <c r="H1228" i="4"/>
  <c r="C1230" i="4"/>
  <c r="D1229" i="4"/>
  <c r="I1182" i="11" l="1"/>
  <c r="H1183" i="11"/>
  <c r="K1181" i="11"/>
  <c r="J1182" i="11"/>
  <c r="C1231" i="4"/>
  <c r="D1230" i="4"/>
  <c r="G1229" i="4"/>
  <c r="E1229" i="4"/>
  <c r="F1229" i="4" s="1"/>
  <c r="H1229" i="4"/>
  <c r="I1228" i="4"/>
  <c r="I1183" i="11" l="1"/>
  <c r="H1184" i="11"/>
  <c r="K1182" i="11"/>
  <c r="J1183" i="11"/>
  <c r="G1230" i="4"/>
  <c r="E1230" i="4"/>
  <c r="F1230" i="4" s="1"/>
  <c r="H1230" i="4" s="1"/>
  <c r="I1229" i="4"/>
  <c r="C1232" i="4"/>
  <c r="D1231" i="4"/>
  <c r="I1184" i="11" l="1"/>
  <c r="H1185" i="11"/>
  <c r="K1183" i="11"/>
  <c r="J1184" i="11"/>
  <c r="C1233" i="4"/>
  <c r="D1232" i="4"/>
  <c r="G1231" i="4"/>
  <c r="E1231" i="4"/>
  <c r="F1231" i="4" s="1"/>
  <c r="H1231" i="4" s="1"/>
  <c r="I1230" i="4"/>
  <c r="I1185" i="11" l="1"/>
  <c r="H1186" i="11"/>
  <c r="K1184" i="11"/>
  <c r="J1185" i="11"/>
  <c r="I1231" i="4"/>
  <c r="E1232" i="4"/>
  <c r="F1232" i="4" s="1"/>
  <c r="G1232" i="4"/>
  <c r="H1232" i="4"/>
  <c r="C1234" i="4"/>
  <c r="D1233" i="4"/>
  <c r="I1186" i="11" l="1"/>
  <c r="H1187" i="11"/>
  <c r="K1185" i="11"/>
  <c r="J1186" i="11"/>
  <c r="I1232" i="4"/>
  <c r="G1233" i="4"/>
  <c r="E1233" i="4"/>
  <c r="F1233" i="4" s="1"/>
  <c r="H1233" i="4"/>
  <c r="C1235" i="4"/>
  <c r="D1234" i="4"/>
  <c r="H1188" i="11" l="1"/>
  <c r="I1187" i="11"/>
  <c r="K1186" i="11"/>
  <c r="J1187" i="11"/>
  <c r="I1233" i="4"/>
  <c r="G1234" i="4"/>
  <c r="E1234" i="4"/>
  <c r="F1234" i="4" s="1"/>
  <c r="H1234" i="4" s="1"/>
  <c r="C1236" i="4"/>
  <c r="D1235" i="4"/>
  <c r="K1187" i="11" l="1"/>
  <c r="J1188" i="11"/>
  <c r="I1188" i="11"/>
  <c r="H1189" i="11"/>
  <c r="G1235" i="4"/>
  <c r="E1235" i="4"/>
  <c r="F1235" i="4" s="1"/>
  <c r="H1235" i="4" s="1"/>
  <c r="C1237" i="4"/>
  <c r="D1236" i="4"/>
  <c r="I1234" i="4"/>
  <c r="K1188" i="11" l="1"/>
  <c r="J1189" i="11"/>
  <c r="I1189" i="11"/>
  <c r="H1190" i="11"/>
  <c r="E1236" i="4"/>
  <c r="F1236" i="4" s="1"/>
  <c r="G1236" i="4"/>
  <c r="H1236" i="4"/>
  <c r="I1235" i="4"/>
  <c r="C1238" i="4"/>
  <c r="D1237" i="4"/>
  <c r="H1191" i="11" l="1"/>
  <c r="I1190" i="11"/>
  <c r="K1189" i="11"/>
  <c r="J1190" i="11"/>
  <c r="I1236" i="4"/>
  <c r="C1239" i="4"/>
  <c r="D1238" i="4"/>
  <c r="G1237" i="4"/>
  <c r="E1237" i="4"/>
  <c r="F1237" i="4" s="1"/>
  <c r="H1237" i="4"/>
  <c r="K1190" i="11" l="1"/>
  <c r="J1191" i="11"/>
  <c r="I1191" i="11"/>
  <c r="H1192" i="11"/>
  <c r="I1237" i="4"/>
  <c r="G1238" i="4"/>
  <c r="E1238" i="4"/>
  <c r="F1238" i="4" s="1"/>
  <c r="H1238" i="4"/>
  <c r="C1240" i="4"/>
  <c r="D1239" i="4"/>
  <c r="I1192" i="11" l="1"/>
  <c r="H1193" i="11"/>
  <c r="K1191" i="11"/>
  <c r="J1192" i="11"/>
  <c r="I1238" i="4"/>
  <c r="E1239" i="4"/>
  <c r="F1239" i="4" s="1"/>
  <c r="G1239" i="4"/>
  <c r="H1239" i="4"/>
  <c r="C1241" i="4"/>
  <c r="D1240" i="4"/>
  <c r="I1193" i="11" l="1"/>
  <c r="H1194" i="11"/>
  <c r="K1192" i="11"/>
  <c r="J1193" i="11"/>
  <c r="C1242" i="4"/>
  <c r="D1241" i="4"/>
  <c r="I1239" i="4"/>
  <c r="E1240" i="4"/>
  <c r="F1240" i="4" s="1"/>
  <c r="G1240" i="4"/>
  <c r="H1240" i="4"/>
  <c r="I1194" i="11" l="1"/>
  <c r="H1195" i="11"/>
  <c r="K1193" i="11"/>
  <c r="J1194" i="11"/>
  <c r="I1240" i="4"/>
  <c r="G1241" i="4"/>
  <c r="E1241" i="4"/>
  <c r="F1241" i="4" s="1"/>
  <c r="H1241" i="4"/>
  <c r="C1243" i="4"/>
  <c r="D1242" i="4"/>
  <c r="I1195" i="11" l="1"/>
  <c r="H1196" i="11"/>
  <c r="K1194" i="11"/>
  <c r="J1195" i="11"/>
  <c r="I1241" i="4"/>
  <c r="C1244" i="4"/>
  <c r="D1243" i="4"/>
  <c r="E1242" i="4"/>
  <c r="F1242" i="4" s="1"/>
  <c r="G1242" i="4"/>
  <c r="H1242" i="4"/>
  <c r="I1196" i="11" l="1"/>
  <c r="H1197" i="11"/>
  <c r="K1195" i="11"/>
  <c r="J1196" i="11"/>
  <c r="I1242" i="4"/>
  <c r="H1243" i="4"/>
  <c r="G1243" i="4"/>
  <c r="E1243" i="4"/>
  <c r="F1243" i="4" s="1"/>
  <c r="C1245" i="4"/>
  <c r="D1244" i="4"/>
  <c r="I1197" i="11" l="1"/>
  <c r="H1198" i="11"/>
  <c r="K1196" i="11"/>
  <c r="J1197" i="11"/>
  <c r="I1243" i="4"/>
  <c r="C1246" i="4"/>
  <c r="D1245" i="4"/>
  <c r="E1244" i="4"/>
  <c r="F1244" i="4" s="1"/>
  <c r="G1244" i="4"/>
  <c r="H1244" i="4"/>
  <c r="I1198" i="11" l="1"/>
  <c r="H1199" i="11"/>
  <c r="K1197" i="11"/>
  <c r="J1198" i="11"/>
  <c r="I1244" i="4"/>
  <c r="G1245" i="4"/>
  <c r="E1245" i="4"/>
  <c r="F1245" i="4" s="1"/>
  <c r="H1245" i="4"/>
  <c r="C1247" i="4"/>
  <c r="D1246" i="4"/>
  <c r="H1200" i="11" l="1"/>
  <c r="I1199" i="11"/>
  <c r="K1198" i="11"/>
  <c r="J1199" i="11"/>
  <c r="H1246" i="4"/>
  <c r="G1246" i="4"/>
  <c r="E1246" i="4"/>
  <c r="F1246" i="4" s="1"/>
  <c r="C1248" i="4"/>
  <c r="D1247" i="4"/>
  <c r="I1245" i="4"/>
  <c r="K1199" i="11" l="1"/>
  <c r="J1200" i="11"/>
  <c r="I1200" i="11"/>
  <c r="H1201" i="11"/>
  <c r="G1247" i="4"/>
  <c r="H1247" i="4"/>
  <c r="E1247" i="4"/>
  <c r="F1247" i="4" s="1"/>
  <c r="C1249" i="4"/>
  <c r="D1248" i="4"/>
  <c r="I1246" i="4"/>
  <c r="K1200" i="11" l="1"/>
  <c r="J1201" i="11"/>
  <c r="I1201" i="11"/>
  <c r="H1202" i="11"/>
  <c r="I1247" i="4"/>
  <c r="E1248" i="4"/>
  <c r="F1248" i="4" s="1"/>
  <c r="G1248" i="4"/>
  <c r="H1248" i="4"/>
  <c r="C1250" i="4"/>
  <c r="D1249" i="4"/>
  <c r="K1201" i="11" l="1"/>
  <c r="J1202" i="11"/>
  <c r="H1203" i="11"/>
  <c r="I1202" i="11"/>
  <c r="G1249" i="4"/>
  <c r="E1249" i="4"/>
  <c r="F1249" i="4" s="1"/>
  <c r="H1249" i="4"/>
  <c r="C1251" i="4"/>
  <c r="D1250" i="4"/>
  <c r="I1248" i="4"/>
  <c r="H1204" i="11" l="1"/>
  <c r="I1203" i="11"/>
  <c r="K1202" i="11"/>
  <c r="J1203" i="11"/>
  <c r="I1249" i="4"/>
  <c r="E1250" i="4"/>
  <c r="F1250" i="4" s="1"/>
  <c r="G1250" i="4"/>
  <c r="H1250" i="4"/>
  <c r="C1252" i="4"/>
  <c r="D1251" i="4"/>
  <c r="K1203" i="11" l="1"/>
  <c r="J1204" i="11"/>
  <c r="I1204" i="11"/>
  <c r="H1205" i="11"/>
  <c r="H1251" i="4"/>
  <c r="E1251" i="4"/>
  <c r="F1251" i="4" s="1"/>
  <c r="G1251" i="4"/>
  <c r="C1253" i="4"/>
  <c r="D1252" i="4"/>
  <c r="I1250" i="4"/>
  <c r="I1205" i="11" l="1"/>
  <c r="H1206" i="11"/>
  <c r="K1204" i="11"/>
  <c r="J1205" i="11"/>
  <c r="I1251" i="4"/>
  <c r="C1254" i="4"/>
  <c r="D1253" i="4"/>
  <c r="E1252" i="4"/>
  <c r="F1252" i="4" s="1"/>
  <c r="G1252" i="4"/>
  <c r="H1252" i="4"/>
  <c r="I1206" i="11" l="1"/>
  <c r="H1207" i="11"/>
  <c r="K1205" i="11"/>
  <c r="J1206" i="11"/>
  <c r="I1252" i="4"/>
  <c r="G1253" i="4"/>
  <c r="E1253" i="4"/>
  <c r="F1253" i="4" s="1"/>
  <c r="H1253" i="4"/>
  <c r="C1255" i="4"/>
  <c r="D1254" i="4"/>
  <c r="I1207" i="11" l="1"/>
  <c r="H1208" i="11"/>
  <c r="K1206" i="11"/>
  <c r="J1207" i="11"/>
  <c r="I1253" i="4"/>
  <c r="G1254" i="4"/>
  <c r="E1254" i="4"/>
  <c r="F1254" i="4" s="1"/>
  <c r="H1254" i="4"/>
  <c r="C1256" i="4"/>
  <c r="D1255" i="4"/>
  <c r="H1209" i="11" l="1"/>
  <c r="I1208" i="11"/>
  <c r="K1207" i="11"/>
  <c r="J1208" i="11"/>
  <c r="I1254" i="4"/>
  <c r="G1255" i="4"/>
  <c r="E1255" i="4"/>
  <c r="F1255" i="4" s="1"/>
  <c r="H1255" i="4"/>
  <c r="C1257" i="4"/>
  <c r="D1256" i="4"/>
  <c r="K1208" i="11" l="1"/>
  <c r="J1209" i="11"/>
  <c r="H1210" i="11"/>
  <c r="I1209" i="11"/>
  <c r="I1255" i="4"/>
  <c r="E1256" i="4"/>
  <c r="F1256" i="4" s="1"/>
  <c r="G1256" i="4"/>
  <c r="H1256" i="4"/>
  <c r="C1258" i="4"/>
  <c r="D1257" i="4"/>
  <c r="I1210" i="11" l="1"/>
  <c r="H1211" i="11"/>
  <c r="K1209" i="11"/>
  <c r="J1210" i="11"/>
  <c r="G1257" i="4"/>
  <c r="E1257" i="4"/>
  <c r="F1257" i="4" s="1"/>
  <c r="H1257" i="4"/>
  <c r="C1259" i="4"/>
  <c r="D1258" i="4"/>
  <c r="I1256" i="4"/>
  <c r="H1212" i="11" l="1"/>
  <c r="I1211" i="11"/>
  <c r="K1210" i="11"/>
  <c r="J1211" i="11"/>
  <c r="I1257" i="4"/>
  <c r="E1258" i="4"/>
  <c r="F1258" i="4" s="1"/>
  <c r="H1258" i="4" s="1"/>
  <c r="G1258" i="4"/>
  <c r="C1260" i="4"/>
  <c r="D1259" i="4"/>
  <c r="K1211" i="11" l="1"/>
  <c r="J1212" i="11"/>
  <c r="H1213" i="11"/>
  <c r="I1212" i="11"/>
  <c r="I1258" i="4"/>
  <c r="E1259" i="4"/>
  <c r="F1259" i="4" s="1"/>
  <c r="H1259" i="4" s="1"/>
  <c r="G1259" i="4"/>
  <c r="C1261" i="4"/>
  <c r="D1260" i="4"/>
  <c r="H1214" i="11" l="1"/>
  <c r="I1213" i="11"/>
  <c r="K1212" i="11"/>
  <c r="J1213" i="11"/>
  <c r="I1259" i="4"/>
  <c r="E1260" i="4"/>
  <c r="F1260" i="4" s="1"/>
  <c r="H1260" i="4"/>
  <c r="G1260" i="4"/>
  <c r="C1262" i="4"/>
  <c r="D1261" i="4"/>
  <c r="K1213" i="11" l="1"/>
  <c r="J1214" i="11"/>
  <c r="H1215" i="11"/>
  <c r="I1214" i="11"/>
  <c r="I1260" i="4"/>
  <c r="E1261" i="4"/>
  <c r="F1261" i="4" s="1"/>
  <c r="H1261" i="4" s="1"/>
  <c r="G1261" i="4"/>
  <c r="C1263" i="4"/>
  <c r="D1262" i="4"/>
  <c r="I1215" i="11" l="1"/>
  <c r="H1216" i="11"/>
  <c r="K1214" i="11"/>
  <c r="J1215" i="11"/>
  <c r="I1261" i="4"/>
  <c r="G1262" i="4"/>
  <c r="E1262" i="4"/>
  <c r="F1262" i="4" s="1"/>
  <c r="H1262" i="4" s="1"/>
  <c r="C1264" i="4"/>
  <c r="D1263" i="4"/>
  <c r="H1217" i="11" l="1"/>
  <c r="I1216" i="11"/>
  <c r="K1215" i="11"/>
  <c r="J1216" i="11"/>
  <c r="I1262" i="4"/>
  <c r="G1263" i="4"/>
  <c r="E1263" i="4"/>
  <c r="F1263" i="4" s="1"/>
  <c r="H1263" i="4" s="1"/>
  <c r="C1265" i="4"/>
  <c r="D1264" i="4"/>
  <c r="K1216" i="11" l="1"/>
  <c r="J1217" i="11"/>
  <c r="H1218" i="11"/>
  <c r="I1217" i="11"/>
  <c r="I1263" i="4"/>
  <c r="E1264" i="4"/>
  <c r="F1264" i="4" s="1"/>
  <c r="H1264" i="4"/>
  <c r="G1264" i="4"/>
  <c r="C1266" i="4"/>
  <c r="D1265" i="4"/>
  <c r="H1219" i="11" l="1"/>
  <c r="I1218" i="11"/>
  <c r="K1217" i="11"/>
  <c r="J1218" i="11"/>
  <c r="I1264" i="4"/>
  <c r="E1265" i="4"/>
  <c r="F1265" i="4" s="1"/>
  <c r="H1265" i="4" s="1"/>
  <c r="G1265" i="4"/>
  <c r="C1267" i="4"/>
  <c r="D1266" i="4"/>
  <c r="K1218" i="11" l="1"/>
  <c r="J1219" i="11"/>
  <c r="I1219" i="11"/>
  <c r="H1220" i="11"/>
  <c r="I1265" i="4"/>
  <c r="G1266" i="4"/>
  <c r="E1266" i="4"/>
  <c r="F1266" i="4" s="1"/>
  <c r="H1266" i="4" s="1"/>
  <c r="C1268" i="4"/>
  <c r="D1267" i="4"/>
  <c r="I1220" i="11" l="1"/>
  <c r="H1221" i="11"/>
  <c r="K1219" i="11"/>
  <c r="J1220" i="11"/>
  <c r="I1266" i="4"/>
  <c r="C1269" i="4"/>
  <c r="D1268" i="4"/>
  <c r="E1267" i="4"/>
  <c r="F1267" i="4" s="1"/>
  <c r="H1267" i="4"/>
  <c r="G1267" i="4"/>
  <c r="I1221" i="11" l="1"/>
  <c r="H1222" i="11"/>
  <c r="K1220" i="11"/>
  <c r="J1221" i="11"/>
  <c r="I1267" i="4"/>
  <c r="E1268" i="4"/>
  <c r="F1268" i="4" s="1"/>
  <c r="G1268" i="4"/>
  <c r="H1268" i="4"/>
  <c r="C1270" i="4"/>
  <c r="D1269" i="4"/>
  <c r="I1222" i="11" l="1"/>
  <c r="H1223" i="11"/>
  <c r="K1221" i="11"/>
  <c r="J1222" i="11"/>
  <c r="C1271" i="4"/>
  <c r="D1270" i="4"/>
  <c r="I1268" i="4"/>
  <c r="G1269" i="4"/>
  <c r="E1269" i="4"/>
  <c r="F1269" i="4" s="1"/>
  <c r="H1269" i="4"/>
  <c r="H1224" i="11" l="1"/>
  <c r="I1223" i="11"/>
  <c r="K1222" i="11"/>
  <c r="J1223" i="11"/>
  <c r="I1269" i="4"/>
  <c r="E1270" i="4"/>
  <c r="F1270" i="4" s="1"/>
  <c r="G1270" i="4"/>
  <c r="H1270" i="4"/>
  <c r="C1272" i="4"/>
  <c r="D1271" i="4"/>
  <c r="K1223" i="11" l="1"/>
  <c r="J1224" i="11"/>
  <c r="I1224" i="11"/>
  <c r="H1225" i="11"/>
  <c r="G1271" i="4"/>
  <c r="E1271" i="4"/>
  <c r="F1271" i="4" s="1"/>
  <c r="H1271" i="4" s="1"/>
  <c r="C1273" i="4"/>
  <c r="D1272" i="4"/>
  <c r="I1270" i="4"/>
  <c r="K1224" i="11" l="1"/>
  <c r="J1225" i="11"/>
  <c r="H1226" i="11"/>
  <c r="I1225" i="11"/>
  <c r="I1271" i="4"/>
  <c r="E1272" i="4"/>
  <c r="F1272" i="4" s="1"/>
  <c r="G1272" i="4"/>
  <c r="H1272" i="4"/>
  <c r="C1274" i="4"/>
  <c r="D1273" i="4"/>
  <c r="I1226" i="11" l="1"/>
  <c r="H1227" i="11"/>
  <c r="K1225" i="11"/>
  <c r="J1226" i="11"/>
  <c r="I1272" i="4"/>
  <c r="E1273" i="4"/>
  <c r="F1273" i="4" s="1"/>
  <c r="G1273" i="4"/>
  <c r="H1273" i="4"/>
  <c r="C1275" i="4"/>
  <c r="D1274" i="4"/>
  <c r="H1228" i="11" l="1"/>
  <c r="I1227" i="11"/>
  <c r="K1226" i="11"/>
  <c r="J1227" i="11"/>
  <c r="I1273" i="4"/>
  <c r="H1274" i="4"/>
  <c r="G1274" i="4"/>
  <c r="E1274" i="4"/>
  <c r="F1274" i="4" s="1"/>
  <c r="C1276" i="4"/>
  <c r="D1275" i="4"/>
  <c r="K1227" i="11" l="1"/>
  <c r="J1228" i="11"/>
  <c r="I1228" i="11"/>
  <c r="H1229" i="11"/>
  <c r="C1277" i="4"/>
  <c r="D1276" i="4"/>
  <c r="I1274" i="4"/>
  <c r="G1275" i="4"/>
  <c r="H1275" i="4"/>
  <c r="E1275" i="4"/>
  <c r="F1275" i="4" s="1"/>
  <c r="K1228" i="11" l="1"/>
  <c r="J1229" i="11"/>
  <c r="H1230" i="11"/>
  <c r="I1229" i="11"/>
  <c r="E1276" i="4"/>
  <c r="F1276" i="4" s="1"/>
  <c r="H1276" i="4"/>
  <c r="G1276" i="4"/>
  <c r="I1275" i="4"/>
  <c r="C1278" i="4"/>
  <c r="D1277" i="4"/>
  <c r="I1230" i="11" l="1"/>
  <c r="H1231" i="11"/>
  <c r="K1229" i="11"/>
  <c r="J1230" i="11"/>
  <c r="C1279" i="4"/>
  <c r="D1278" i="4"/>
  <c r="G1277" i="4"/>
  <c r="E1277" i="4"/>
  <c r="F1277" i="4" s="1"/>
  <c r="H1277" i="4"/>
  <c r="I1276" i="4"/>
  <c r="I1231" i="11" l="1"/>
  <c r="H1232" i="11"/>
  <c r="K1230" i="11"/>
  <c r="J1231" i="11"/>
  <c r="I1277" i="4"/>
  <c r="H1278" i="4"/>
  <c r="G1278" i="4"/>
  <c r="E1278" i="4"/>
  <c r="F1278" i="4" s="1"/>
  <c r="C1280" i="4"/>
  <c r="D1279" i="4"/>
  <c r="I1232" i="11" l="1"/>
  <c r="H1233" i="11"/>
  <c r="K1231" i="11"/>
  <c r="J1232" i="11"/>
  <c r="C1281" i="4"/>
  <c r="D1280" i="4"/>
  <c r="G1279" i="4"/>
  <c r="E1279" i="4"/>
  <c r="F1279" i="4" s="1"/>
  <c r="H1279" i="4"/>
  <c r="I1278" i="4"/>
  <c r="I1233" i="11" l="1"/>
  <c r="H1234" i="11"/>
  <c r="K1232" i="11"/>
  <c r="J1233" i="11"/>
  <c r="I1279" i="4"/>
  <c r="E1280" i="4"/>
  <c r="F1280" i="4" s="1"/>
  <c r="G1280" i="4"/>
  <c r="H1280" i="4"/>
  <c r="C1282" i="4"/>
  <c r="D1281" i="4"/>
  <c r="I1234" i="11" l="1"/>
  <c r="H1235" i="11"/>
  <c r="K1233" i="11"/>
  <c r="J1234" i="11"/>
  <c r="I1280" i="4"/>
  <c r="E1281" i="4"/>
  <c r="F1281" i="4" s="1"/>
  <c r="G1281" i="4"/>
  <c r="H1281" i="4"/>
  <c r="C1283" i="4"/>
  <c r="D1282" i="4"/>
  <c r="H1236" i="11" l="1"/>
  <c r="I1235" i="11"/>
  <c r="K1234" i="11"/>
  <c r="J1235" i="11"/>
  <c r="I1281" i="4"/>
  <c r="G1282" i="4"/>
  <c r="E1282" i="4"/>
  <c r="F1282" i="4" s="1"/>
  <c r="H1282" i="4"/>
  <c r="C1284" i="4"/>
  <c r="D1283" i="4"/>
  <c r="K1235" i="11" l="1"/>
  <c r="J1236" i="11"/>
  <c r="H1237" i="11"/>
  <c r="I1236" i="11"/>
  <c r="C1285" i="4"/>
  <c r="D1284" i="4"/>
  <c r="E1283" i="4"/>
  <c r="F1283" i="4" s="1"/>
  <c r="H1283" i="4"/>
  <c r="G1283" i="4"/>
  <c r="I1282" i="4"/>
  <c r="K1236" i="11" l="1"/>
  <c r="J1237" i="11"/>
  <c r="H1238" i="11"/>
  <c r="I1237" i="11"/>
  <c r="I1283" i="4"/>
  <c r="E1284" i="4"/>
  <c r="F1284" i="4" s="1"/>
  <c r="G1284" i="4"/>
  <c r="H1284" i="4"/>
  <c r="C1286" i="4"/>
  <c r="D1285" i="4"/>
  <c r="K1237" i="11" l="1"/>
  <c r="J1238" i="11"/>
  <c r="I1238" i="11"/>
  <c r="H1239" i="11"/>
  <c r="I1284" i="4"/>
  <c r="H1285" i="4"/>
  <c r="G1285" i="4"/>
  <c r="E1285" i="4"/>
  <c r="F1285" i="4" s="1"/>
  <c r="C1287" i="4"/>
  <c r="D1286" i="4"/>
  <c r="K1238" i="11" l="1"/>
  <c r="J1239" i="11"/>
  <c r="I1239" i="11"/>
  <c r="H1240" i="11"/>
  <c r="I1285" i="4"/>
  <c r="C1288" i="4"/>
  <c r="D1287" i="4"/>
  <c r="H1286" i="4"/>
  <c r="E1286" i="4"/>
  <c r="F1286" i="4" s="1"/>
  <c r="G1286" i="4"/>
  <c r="H1241" i="11" l="1"/>
  <c r="I1240" i="11"/>
  <c r="K1239" i="11"/>
  <c r="J1240" i="11"/>
  <c r="I1286" i="4"/>
  <c r="G1287" i="4"/>
  <c r="E1287" i="4"/>
  <c r="F1287" i="4" s="1"/>
  <c r="H1287" i="4"/>
  <c r="C1289" i="4"/>
  <c r="D1288" i="4"/>
  <c r="K1240" i="11" l="1"/>
  <c r="J1241" i="11"/>
  <c r="I1241" i="11"/>
  <c r="H1242" i="11"/>
  <c r="I1287" i="4"/>
  <c r="E1288" i="4"/>
  <c r="F1288" i="4" s="1"/>
  <c r="H1288" i="4"/>
  <c r="G1288" i="4"/>
  <c r="C1290" i="4"/>
  <c r="D1289" i="4"/>
  <c r="I1242" i="11" l="1"/>
  <c r="H1243" i="11"/>
  <c r="K1241" i="11"/>
  <c r="J1242" i="11"/>
  <c r="C1291" i="4"/>
  <c r="D1290" i="4"/>
  <c r="G1289" i="4"/>
  <c r="E1289" i="4"/>
  <c r="F1289" i="4" s="1"/>
  <c r="H1289" i="4"/>
  <c r="I1288" i="4"/>
  <c r="I1243" i="11" l="1"/>
  <c r="H1244" i="11"/>
  <c r="K1242" i="11"/>
  <c r="J1243" i="11"/>
  <c r="I1289" i="4"/>
  <c r="G1290" i="4"/>
  <c r="H1290" i="4"/>
  <c r="E1290" i="4"/>
  <c r="F1290" i="4" s="1"/>
  <c r="C1292" i="4"/>
  <c r="D1291" i="4"/>
  <c r="H1245" i="11" l="1"/>
  <c r="I1244" i="11"/>
  <c r="K1243" i="11"/>
  <c r="J1244" i="11"/>
  <c r="I1290" i="4"/>
  <c r="E1291" i="4"/>
  <c r="F1291" i="4" s="1"/>
  <c r="G1291" i="4"/>
  <c r="H1291" i="4"/>
  <c r="C1293" i="4"/>
  <c r="D1292" i="4"/>
  <c r="K1244" i="11" l="1"/>
  <c r="J1245" i="11"/>
  <c r="H1246" i="11"/>
  <c r="I1245" i="11"/>
  <c r="I1291" i="4"/>
  <c r="E1292" i="4"/>
  <c r="F1292" i="4" s="1"/>
  <c r="G1292" i="4"/>
  <c r="H1292" i="4"/>
  <c r="C1294" i="4"/>
  <c r="D1293" i="4"/>
  <c r="I1246" i="11" l="1"/>
  <c r="H1247" i="11"/>
  <c r="K1245" i="11"/>
  <c r="J1246" i="11"/>
  <c r="C1295" i="4"/>
  <c r="D1294" i="4"/>
  <c r="G1293" i="4"/>
  <c r="E1293" i="4"/>
  <c r="F1293" i="4" s="1"/>
  <c r="H1293" i="4"/>
  <c r="I1292" i="4"/>
  <c r="I1247" i="11" l="1"/>
  <c r="H1248" i="11"/>
  <c r="K1246" i="11"/>
  <c r="J1247" i="11"/>
  <c r="I1293" i="4"/>
  <c r="G1294" i="4"/>
  <c r="E1294" i="4"/>
  <c r="F1294" i="4" s="1"/>
  <c r="H1294" i="4"/>
  <c r="C1296" i="4"/>
  <c r="D1295" i="4"/>
  <c r="I1248" i="11" l="1"/>
  <c r="H1249" i="11"/>
  <c r="K1247" i="11"/>
  <c r="J1248" i="11"/>
  <c r="I1294" i="4"/>
  <c r="E1295" i="4"/>
  <c r="F1295" i="4" s="1"/>
  <c r="G1295" i="4"/>
  <c r="H1295" i="4"/>
  <c r="C1297" i="4"/>
  <c r="D1296" i="4"/>
  <c r="I1249" i="11" l="1"/>
  <c r="H1250" i="11"/>
  <c r="K1248" i="11"/>
  <c r="J1249" i="11"/>
  <c r="C1298" i="4"/>
  <c r="D1297" i="4"/>
  <c r="I1295" i="4"/>
  <c r="G1296" i="4"/>
  <c r="E1296" i="4"/>
  <c r="F1296" i="4" s="1"/>
  <c r="H1296" i="4" s="1"/>
  <c r="I1250" i="11" l="1"/>
  <c r="H1251" i="11"/>
  <c r="K1249" i="11"/>
  <c r="J1250" i="11"/>
  <c r="G1297" i="4"/>
  <c r="E1297" i="4"/>
  <c r="F1297" i="4" s="1"/>
  <c r="H1297" i="4" s="1"/>
  <c r="I1296" i="4"/>
  <c r="C1299" i="4"/>
  <c r="D1298" i="4"/>
  <c r="H1252" i="11" l="1"/>
  <c r="I1251" i="11"/>
  <c r="K1250" i="11"/>
  <c r="J1251" i="11"/>
  <c r="I1297" i="4"/>
  <c r="C1300" i="4"/>
  <c r="D1299" i="4"/>
  <c r="G1298" i="4"/>
  <c r="E1298" i="4"/>
  <c r="F1298" i="4" s="1"/>
  <c r="H1298" i="4" s="1"/>
  <c r="K1251" i="11" l="1"/>
  <c r="J1252" i="11"/>
  <c r="I1252" i="11"/>
  <c r="H1253" i="11"/>
  <c r="I1298" i="4"/>
  <c r="E1299" i="4"/>
  <c r="F1299" i="4" s="1"/>
  <c r="H1299" i="4" s="1"/>
  <c r="G1299" i="4"/>
  <c r="C1301" i="4"/>
  <c r="D1300" i="4"/>
  <c r="K1252" i="11" l="1"/>
  <c r="J1253" i="11"/>
  <c r="H1254" i="11"/>
  <c r="I1253" i="11"/>
  <c r="I1299" i="4"/>
  <c r="E1300" i="4"/>
  <c r="F1300" i="4" s="1"/>
  <c r="H1300" i="4"/>
  <c r="G1300" i="4"/>
  <c r="C1302" i="4"/>
  <c r="D1301" i="4"/>
  <c r="K1253" i="11" l="1"/>
  <c r="J1254" i="11"/>
  <c r="I1254" i="11"/>
  <c r="H1255" i="11"/>
  <c r="I1300" i="4"/>
  <c r="C1303" i="4"/>
  <c r="D1302" i="4"/>
  <c r="E1301" i="4"/>
  <c r="F1301" i="4" s="1"/>
  <c r="H1301" i="4"/>
  <c r="G1301" i="4"/>
  <c r="I1255" i="11" l="1"/>
  <c r="H1256" i="11"/>
  <c r="K1254" i="11"/>
  <c r="J1255" i="11"/>
  <c r="I1301" i="4"/>
  <c r="E1302" i="4"/>
  <c r="F1302" i="4" s="1"/>
  <c r="H1302" i="4"/>
  <c r="G1302" i="4"/>
  <c r="C1304" i="4"/>
  <c r="D1303" i="4"/>
  <c r="H1257" i="11" l="1"/>
  <c r="I1256" i="11"/>
  <c r="K1255" i="11"/>
  <c r="J1256" i="11"/>
  <c r="I1302" i="4"/>
  <c r="E1303" i="4"/>
  <c r="F1303" i="4" s="1"/>
  <c r="H1303" i="4"/>
  <c r="G1303" i="4"/>
  <c r="C1305" i="4"/>
  <c r="D1304" i="4"/>
  <c r="K1256" i="11" l="1"/>
  <c r="J1257" i="11"/>
  <c r="I1257" i="11"/>
  <c r="H1258" i="11"/>
  <c r="I1303" i="4"/>
  <c r="E1304" i="4"/>
  <c r="F1304" i="4" s="1"/>
  <c r="H1304" i="4"/>
  <c r="G1304" i="4"/>
  <c r="C1306" i="4"/>
  <c r="D1305" i="4"/>
  <c r="K1257" i="11" l="1"/>
  <c r="J1258" i="11"/>
  <c r="I1258" i="11"/>
  <c r="H1259" i="11"/>
  <c r="I1304" i="4"/>
  <c r="C1307" i="4"/>
  <c r="D1306" i="4"/>
  <c r="E1305" i="4"/>
  <c r="F1305" i="4" s="1"/>
  <c r="H1305" i="4" s="1"/>
  <c r="G1305" i="4"/>
  <c r="H1260" i="11" l="1"/>
  <c r="I1259" i="11"/>
  <c r="K1258" i="11"/>
  <c r="J1259" i="11"/>
  <c r="I1305" i="4"/>
  <c r="E1306" i="4"/>
  <c r="F1306" i="4" s="1"/>
  <c r="H1306" i="4" s="1"/>
  <c r="G1306" i="4"/>
  <c r="C1308" i="4"/>
  <c r="D1307" i="4"/>
  <c r="H1261" i="11" l="1"/>
  <c r="I1260" i="11"/>
  <c r="K1259" i="11"/>
  <c r="J1260" i="11"/>
  <c r="I1306" i="4"/>
  <c r="G1307" i="4"/>
  <c r="E1307" i="4"/>
  <c r="F1307" i="4" s="1"/>
  <c r="H1307" i="4" s="1"/>
  <c r="C1309" i="4"/>
  <c r="D1308" i="4"/>
  <c r="K1260" i="11" l="1"/>
  <c r="J1261" i="11"/>
  <c r="I1261" i="11"/>
  <c r="H1262" i="11"/>
  <c r="I1307" i="4"/>
  <c r="E1308" i="4"/>
  <c r="F1308" i="4" s="1"/>
  <c r="H1308" i="4" s="1"/>
  <c r="G1308" i="4"/>
  <c r="C1310" i="4"/>
  <c r="D1309" i="4"/>
  <c r="H1263" i="11" l="1"/>
  <c r="I1262" i="11"/>
  <c r="K1261" i="11"/>
  <c r="J1262" i="11"/>
  <c r="C1311" i="4"/>
  <c r="D1310" i="4"/>
  <c r="I1308" i="4"/>
  <c r="E1309" i="4"/>
  <c r="F1309" i="4" s="1"/>
  <c r="G1309" i="4"/>
  <c r="H1309" i="4"/>
  <c r="K1262" i="11" l="1"/>
  <c r="J1263" i="11"/>
  <c r="I1263" i="11"/>
  <c r="H1264" i="11"/>
  <c r="I1309" i="4"/>
  <c r="G1310" i="4"/>
  <c r="E1310" i="4"/>
  <c r="F1310" i="4" s="1"/>
  <c r="H1310" i="4"/>
  <c r="C1312" i="4"/>
  <c r="D1311" i="4"/>
  <c r="H1265" i="11" l="1"/>
  <c r="I1264" i="11"/>
  <c r="K1263" i="11"/>
  <c r="J1264" i="11"/>
  <c r="I1310" i="4"/>
  <c r="E1311" i="4"/>
  <c r="F1311" i="4" s="1"/>
  <c r="H1311" i="4" s="1"/>
  <c r="G1311" i="4"/>
  <c r="C1313" i="4"/>
  <c r="D1312" i="4"/>
  <c r="K1264" i="11" l="1"/>
  <c r="J1265" i="11"/>
  <c r="H1266" i="11"/>
  <c r="I1265" i="11"/>
  <c r="H1312" i="4"/>
  <c r="G1312" i="4"/>
  <c r="E1312" i="4"/>
  <c r="F1312" i="4" s="1"/>
  <c r="I1311" i="4"/>
  <c r="C1314" i="4"/>
  <c r="D1313" i="4"/>
  <c r="K1265" i="11" l="1"/>
  <c r="J1266" i="11"/>
  <c r="I1266" i="11"/>
  <c r="H1267" i="11"/>
  <c r="C1315" i="4"/>
  <c r="D1314" i="4"/>
  <c r="I1312" i="4"/>
  <c r="E1313" i="4"/>
  <c r="F1313" i="4" s="1"/>
  <c r="G1313" i="4"/>
  <c r="H1313" i="4"/>
  <c r="H1268" i="11" l="1"/>
  <c r="I1267" i="11"/>
  <c r="K1266" i="11"/>
  <c r="J1267" i="11"/>
  <c r="I1313" i="4"/>
  <c r="E1314" i="4"/>
  <c r="F1314" i="4" s="1"/>
  <c r="G1314" i="4"/>
  <c r="H1314" i="4"/>
  <c r="C1316" i="4"/>
  <c r="D1315" i="4"/>
  <c r="K1267" i="11" l="1"/>
  <c r="J1268" i="11"/>
  <c r="H1269" i="11"/>
  <c r="I1268" i="11"/>
  <c r="I1314" i="4"/>
  <c r="C1317" i="4"/>
  <c r="D1316" i="4"/>
  <c r="H1315" i="4"/>
  <c r="E1315" i="4"/>
  <c r="F1315" i="4" s="1"/>
  <c r="G1315" i="4"/>
  <c r="K1268" i="11" l="1"/>
  <c r="J1269" i="11"/>
  <c r="H1270" i="11"/>
  <c r="I1269" i="11"/>
  <c r="I1315" i="4"/>
  <c r="G1316" i="4"/>
  <c r="E1316" i="4"/>
  <c r="F1316" i="4" s="1"/>
  <c r="H1316" i="4"/>
  <c r="C1318" i="4"/>
  <c r="D1317" i="4"/>
  <c r="K1269" i="11" l="1"/>
  <c r="J1270" i="11"/>
  <c r="H1271" i="11"/>
  <c r="I1270" i="11"/>
  <c r="I1316" i="4"/>
  <c r="G1317" i="4"/>
  <c r="E1317" i="4"/>
  <c r="F1317" i="4" s="1"/>
  <c r="H1317" i="4"/>
  <c r="C1319" i="4"/>
  <c r="D1318" i="4"/>
  <c r="K1270" i="11" l="1"/>
  <c r="J1271" i="11"/>
  <c r="H1272" i="11"/>
  <c r="I1271" i="11"/>
  <c r="I1317" i="4"/>
  <c r="C1320" i="4"/>
  <c r="D1319" i="4"/>
  <c r="G1318" i="4"/>
  <c r="H1318" i="4"/>
  <c r="E1318" i="4"/>
  <c r="F1318" i="4" s="1"/>
  <c r="K1271" i="11" l="1"/>
  <c r="J1272" i="11"/>
  <c r="I1272" i="11"/>
  <c r="H1273" i="11"/>
  <c r="E1319" i="4"/>
  <c r="F1319" i="4" s="1"/>
  <c r="G1319" i="4"/>
  <c r="H1319" i="4"/>
  <c r="I1318" i="4"/>
  <c r="C1321" i="4"/>
  <c r="D1320" i="4"/>
  <c r="K1272" i="11" l="1"/>
  <c r="J1273" i="11"/>
  <c r="I1273" i="11"/>
  <c r="H1274" i="11"/>
  <c r="I1319" i="4"/>
  <c r="G1320" i="4"/>
  <c r="E1320" i="4"/>
  <c r="F1320" i="4" s="1"/>
  <c r="H1320" i="4"/>
  <c r="C1322" i="4"/>
  <c r="D1321" i="4"/>
  <c r="I1274" i="11" l="1"/>
  <c r="H1275" i="11"/>
  <c r="K1273" i="11"/>
  <c r="J1274" i="11"/>
  <c r="I1320" i="4"/>
  <c r="G1321" i="4"/>
  <c r="E1321" i="4"/>
  <c r="F1321" i="4" s="1"/>
  <c r="H1321" i="4"/>
  <c r="C1323" i="4"/>
  <c r="D1322" i="4"/>
  <c r="H1276" i="11" l="1"/>
  <c r="I1275" i="11"/>
  <c r="K1274" i="11"/>
  <c r="J1275" i="11"/>
  <c r="C1324" i="4"/>
  <c r="D1323" i="4"/>
  <c r="E1322" i="4"/>
  <c r="F1322" i="4" s="1"/>
  <c r="G1322" i="4"/>
  <c r="H1322" i="4"/>
  <c r="I1321" i="4"/>
  <c r="K1275" i="11" l="1"/>
  <c r="J1276" i="11"/>
  <c r="I1276" i="11"/>
  <c r="H1277" i="11"/>
  <c r="I1322" i="4"/>
  <c r="E1323" i="4"/>
  <c r="F1323" i="4" s="1"/>
  <c r="G1323" i="4"/>
  <c r="H1323" i="4"/>
  <c r="C1325" i="4"/>
  <c r="D1324" i="4"/>
  <c r="I1277" i="11" l="1"/>
  <c r="H1278" i="11"/>
  <c r="K1276" i="11"/>
  <c r="J1277" i="11"/>
  <c r="I1323" i="4"/>
  <c r="C1326" i="4"/>
  <c r="D1325" i="4"/>
  <c r="E1324" i="4"/>
  <c r="F1324" i="4" s="1"/>
  <c r="H1324" i="4"/>
  <c r="G1324" i="4"/>
  <c r="I1278" i="11" l="1"/>
  <c r="H1279" i="11"/>
  <c r="K1277" i="11"/>
  <c r="J1278" i="11"/>
  <c r="I1324" i="4"/>
  <c r="E1325" i="4"/>
  <c r="F1325" i="4" s="1"/>
  <c r="G1325" i="4"/>
  <c r="H1325" i="4"/>
  <c r="C1327" i="4"/>
  <c r="D1326" i="4"/>
  <c r="H1280" i="11" l="1"/>
  <c r="I1279" i="11"/>
  <c r="K1278" i="11"/>
  <c r="J1279" i="11"/>
  <c r="I1325" i="4"/>
  <c r="G1326" i="4"/>
  <c r="H1326" i="4"/>
  <c r="E1326" i="4"/>
  <c r="F1326" i="4" s="1"/>
  <c r="C1328" i="4"/>
  <c r="D1327" i="4"/>
  <c r="K1279" i="11" l="1"/>
  <c r="J1280" i="11"/>
  <c r="H1281" i="11"/>
  <c r="I1280" i="11"/>
  <c r="I1326" i="4"/>
  <c r="E1327" i="4"/>
  <c r="F1327" i="4" s="1"/>
  <c r="G1327" i="4"/>
  <c r="H1327" i="4"/>
  <c r="C1329" i="4"/>
  <c r="D1328" i="4"/>
  <c r="H1282" i="11" l="1"/>
  <c r="I1281" i="11"/>
  <c r="K1280" i="11"/>
  <c r="J1281" i="11"/>
  <c r="C1330" i="4"/>
  <c r="D1329" i="4"/>
  <c r="I1327" i="4"/>
  <c r="H1328" i="4"/>
  <c r="G1328" i="4"/>
  <c r="E1328" i="4"/>
  <c r="F1328" i="4" s="1"/>
  <c r="K1281" i="11" l="1"/>
  <c r="J1282" i="11"/>
  <c r="I1282" i="11"/>
  <c r="H1283" i="11"/>
  <c r="I1328" i="4"/>
  <c r="G1329" i="4"/>
  <c r="H1329" i="4"/>
  <c r="E1329" i="4"/>
  <c r="F1329" i="4" s="1"/>
  <c r="C1331" i="4"/>
  <c r="D1330" i="4"/>
  <c r="I1283" i="11" l="1"/>
  <c r="H1284" i="11"/>
  <c r="K1282" i="11"/>
  <c r="J1283" i="11"/>
  <c r="I1329" i="4"/>
  <c r="G1330" i="4"/>
  <c r="H1330" i="4"/>
  <c r="E1330" i="4"/>
  <c r="F1330" i="4" s="1"/>
  <c r="C1332" i="4"/>
  <c r="D1331" i="4"/>
  <c r="H1285" i="11" l="1"/>
  <c r="I1284" i="11"/>
  <c r="K1283" i="11"/>
  <c r="J1284" i="11"/>
  <c r="E1331" i="4"/>
  <c r="F1331" i="4" s="1"/>
  <c r="G1331" i="4"/>
  <c r="H1331" i="4"/>
  <c r="C1333" i="4"/>
  <c r="D1332" i="4"/>
  <c r="I1330" i="4"/>
  <c r="K1284" i="11" l="1"/>
  <c r="J1285" i="11"/>
  <c r="I1285" i="11"/>
  <c r="H1286" i="11"/>
  <c r="I1331" i="4"/>
  <c r="C1334" i="4"/>
  <c r="D1333" i="4"/>
  <c r="G1332" i="4"/>
  <c r="E1332" i="4"/>
  <c r="F1332" i="4" s="1"/>
  <c r="H1332" i="4" s="1"/>
  <c r="I1286" i="11" l="1"/>
  <c r="H1287" i="11"/>
  <c r="K1285" i="11"/>
  <c r="J1286" i="11"/>
  <c r="I1332" i="4"/>
  <c r="E1333" i="4"/>
  <c r="F1333" i="4" s="1"/>
  <c r="G1333" i="4"/>
  <c r="H1333" i="4"/>
  <c r="C1335" i="4"/>
  <c r="D1334" i="4"/>
  <c r="H1288" i="11" l="1"/>
  <c r="I1287" i="11"/>
  <c r="K1286" i="11"/>
  <c r="J1287" i="11"/>
  <c r="C1336" i="4"/>
  <c r="D1335" i="4"/>
  <c r="I1333" i="4"/>
  <c r="E1334" i="4"/>
  <c r="F1334" i="4" s="1"/>
  <c r="H1334" i="4" s="1"/>
  <c r="G1334" i="4"/>
  <c r="K1287" i="11" l="1"/>
  <c r="J1288" i="11"/>
  <c r="I1288" i="11"/>
  <c r="H1289" i="11"/>
  <c r="I1334" i="4"/>
  <c r="E1335" i="4"/>
  <c r="F1335" i="4" s="1"/>
  <c r="G1335" i="4"/>
  <c r="H1335" i="4"/>
  <c r="C1337" i="4"/>
  <c r="D1336" i="4"/>
  <c r="K1288" i="11" l="1"/>
  <c r="J1289" i="11"/>
  <c r="H1290" i="11"/>
  <c r="I1289" i="11"/>
  <c r="I1335" i="4"/>
  <c r="E1336" i="4"/>
  <c r="F1336" i="4" s="1"/>
  <c r="G1336" i="4"/>
  <c r="H1336" i="4"/>
  <c r="C1338" i="4"/>
  <c r="D1337" i="4"/>
  <c r="I1290" i="11" l="1"/>
  <c r="H1291" i="11"/>
  <c r="K1289" i="11"/>
  <c r="J1290" i="11"/>
  <c r="G1337" i="4"/>
  <c r="E1337" i="4"/>
  <c r="F1337" i="4" s="1"/>
  <c r="H1337" i="4"/>
  <c r="C1339" i="4"/>
  <c r="D1338" i="4"/>
  <c r="I1336" i="4"/>
  <c r="I1291" i="11" l="1"/>
  <c r="H1292" i="11"/>
  <c r="K1290" i="11"/>
  <c r="J1291" i="11"/>
  <c r="I1337" i="4"/>
  <c r="C1340" i="4"/>
  <c r="D1339" i="4"/>
  <c r="E1338" i="4"/>
  <c r="F1338" i="4" s="1"/>
  <c r="H1338" i="4" s="1"/>
  <c r="G1338" i="4"/>
  <c r="H1293" i="11" l="1"/>
  <c r="I1292" i="11"/>
  <c r="K1291" i="11"/>
  <c r="J1292" i="11"/>
  <c r="I1338" i="4"/>
  <c r="E1339" i="4"/>
  <c r="F1339" i="4" s="1"/>
  <c r="H1339" i="4"/>
  <c r="G1339" i="4"/>
  <c r="C1341" i="4"/>
  <c r="D1340" i="4"/>
  <c r="K1292" i="11" l="1"/>
  <c r="J1293" i="11"/>
  <c r="I1293" i="11"/>
  <c r="H1294" i="11"/>
  <c r="I1339" i="4"/>
  <c r="E1340" i="4"/>
  <c r="F1340" i="4" s="1"/>
  <c r="H1340" i="4" s="1"/>
  <c r="G1340" i="4"/>
  <c r="C1342" i="4"/>
  <c r="D1341" i="4"/>
  <c r="I1294" i="11" l="1"/>
  <c r="H1295" i="11"/>
  <c r="K1293" i="11"/>
  <c r="J1294" i="11"/>
  <c r="I1340" i="4"/>
  <c r="E1341" i="4"/>
  <c r="F1341" i="4" s="1"/>
  <c r="H1341" i="4"/>
  <c r="G1341" i="4"/>
  <c r="C1343" i="4"/>
  <c r="D1342" i="4"/>
  <c r="H1296" i="11" l="1"/>
  <c r="I1295" i="11"/>
  <c r="K1294" i="11"/>
  <c r="J1295" i="11"/>
  <c r="I1341" i="4"/>
  <c r="C1344" i="4"/>
  <c r="D1343" i="4"/>
  <c r="E1342" i="4"/>
  <c r="F1342" i="4" s="1"/>
  <c r="H1342" i="4" s="1"/>
  <c r="G1342" i="4"/>
  <c r="K1295" i="11" l="1"/>
  <c r="J1296" i="11"/>
  <c r="H1297" i="11"/>
  <c r="I1296" i="11"/>
  <c r="I1342" i="4"/>
  <c r="E1343" i="4"/>
  <c r="F1343" i="4" s="1"/>
  <c r="H1343" i="4"/>
  <c r="G1343" i="4"/>
  <c r="C1345" i="4"/>
  <c r="D1344" i="4"/>
  <c r="H1298" i="11" l="1"/>
  <c r="I1297" i="11"/>
  <c r="K1296" i="11"/>
  <c r="J1297" i="11"/>
  <c r="I1343" i="4"/>
  <c r="C1346" i="4"/>
  <c r="D1345" i="4"/>
  <c r="E1344" i="4"/>
  <c r="F1344" i="4" s="1"/>
  <c r="H1344" i="4" s="1"/>
  <c r="G1344" i="4"/>
  <c r="K1297" i="11" l="1"/>
  <c r="J1298" i="11"/>
  <c r="H1299" i="11"/>
  <c r="I1298" i="11"/>
  <c r="I1344" i="4"/>
  <c r="E1345" i="4"/>
  <c r="F1345" i="4" s="1"/>
  <c r="H1345" i="4"/>
  <c r="G1345" i="4"/>
  <c r="C1347" i="4"/>
  <c r="D1346" i="4"/>
  <c r="H1300" i="11" l="1"/>
  <c r="I1299" i="11"/>
  <c r="K1298" i="11"/>
  <c r="J1299" i="11"/>
  <c r="I1345" i="4"/>
  <c r="E1346" i="4"/>
  <c r="F1346" i="4" s="1"/>
  <c r="H1346" i="4"/>
  <c r="G1346" i="4"/>
  <c r="C1348" i="4"/>
  <c r="D1347" i="4"/>
  <c r="K1299" i="11" l="1"/>
  <c r="J1300" i="11"/>
  <c r="H1301" i="11"/>
  <c r="I1300" i="11"/>
  <c r="I1346" i="4"/>
  <c r="E1347" i="4"/>
  <c r="F1347" i="4" s="1"/>
  <c r="H1347" i="4"/>
  <c r="G1347" i="4"/>
  <c r="C1349" i="4"/>
  <c r="D1348" i="4"/>
  <c r="I1301" i="11" l="1"/>
  <c r="H1302" i="11"/>
  <c r="K1300" i="11"/>
  <c r="J1301" i="11"/>
  <c r="G1348" i="4"/>
  <c r="E1348" i="4"/>
  <c r="F1348" i="4" s="1"/>
  <c r="H1348" i="4"/>
  <c r="C1350" i="4"/>
  <c r="D1349" i="4"/>
  <c r="I1347" i="4"/>
  <c r="H1303" i="11" l="1"/>
  <c r="I1302" i="11"/>
  <c r="K1301" i="11"/>
  <c r="J1302" i="11"/>
  <c r="I1348" i="4"/>
  <c r="G1349" i="4"/>
  <c r="E1349" i="4"/>
  <c r="F1349" i="4" s="1"/>
  <c r="H1349" i="4"/>
  <c r="C1351" i="4"/>
  <c r="D1350" i="4"/>
  <c r="K1302" i="11" l="1"/>
  <c r="J1303" i="11"/>
  <c r="H1304" i="11"/>
  <c r="I1303" i="11"/>
  <c r="I1349" i="4"/>
  <c r="E1350" i="4"/>
  <c r="F1350" i="4" s="1"/>
  <c r="G1350" i="4"/>
  <c r="H1350" i="4"/>
  <c r="C1352" i="4"/>
  <c r="D1351" i="4"/>
  <c r="H1305" i="11" l="1"/>
  <c r="I1304" i="11"/>
  <c r="K1303" i="11"/>
  <c r="J1304" i="11"/>
  <c r="E1351" i="4"/>
  <c r="F1351" i="4" s="1"/>
  <c r="G1351" i="4"/>
  <c r="H1351" i="4"/>
  <c r="C1353" i="4"/>
  <c r="D1352" i="4"/>
  <c r="I1350" i="4"/>
  <c r="K1304" i="11" l="1"/>
  <c r="J1305" i="11"/>
  <c r="I1305" i="11"/>
  <c r="H1306" i="11"/>
  <c r="I1351" i="4"/>
  <c r="G1352" i="4"/>
  <c r="E1352" i="4"/>
  <c r="F1352" i="4" s="1"/>
  <c r="H1352" i="4"/>
  <c r="C1354" i="4"/>
  <c r="D1353" i="4"/>
  <c r="H1307" i="11" l="1"/>
  <c r="I1306" i="11"/>
  <c r="K1305" i="11"/>
  <c r="J1306" i="11"/>
  <c r="I1352" i="4"/>
  <c r="H1353" i="4"/>
  <c r="E1353" i="4"/>
  <c r="F1353" i="4" s="1"/>
  <c r="G1353" i="4"/>
  <c r="C1355" i="4"/>
  <c r="D1354" i="4"/>
  <c r="K1306" i="11" l="1"/>
  <c r="J1307" i="11"/>
  <c r="H1308" i="11"/>
  <c r="I1307" i="11"/>
  <c r="I1353" i="4"/>
  <c r="C1356" i="4"/>
  <c r="D1355" i="4"/>
  <c r="E1354" i="4"/>
  <c r="F1354" i="4" s="1"/>
  <c r="G1354" i="4"/>
  <c r="H1354" i="4"/>
  <c r="K1307" i="11" l="1"/>
  <c r="J1308" i="11"/>
  <c r="I1308" i="11"/>
  <c r="H1309" i="11"/>
  <c r="I1354" i="4"/>
  <c r="E1355" i="4"/>
  <c r="F1355" i="4" s="1"/>
  <c r="G1355" i="4"/>
  <c r="H1355" i="4"/>
  <c r="C1357" i="4"/>
  <c r="D1356" i="4"/>
  <c r="H1310" i="11" l="1"/>
  <c r="I1309" i="11"/>
  <c r="K1308" i="11"/>
  <c r="J1309" i="11"/>
  <c r="I1355" i="4"/>
  <c r="C1358" i="4"/>
  <c r="D1357" i="4"/>
  <c r="G1356" i="4"/>
  <c r="E1356" i="4"/>
  <c r="F1356" i="4" s="1"/>
  <c r="H1356" i="4"/>
  <c r="K1309" i="11" l="1"/>
  <c r="J1310" i="11"/>
  <c r="I1310" i="11"/>
  <c r="H1311" i="11"/>
  <c r="I1356" i="4"/>
  <c r="E1357" i="4"/>
  <c r="F1357" i="4" s="1"/>
  <c r="G1357" i="4"/>
  <c r="H1357" i="4"/>
  <c r="C1359" i="4"/>
  <c r="D1358" i="4"/>
  <c r="I1311" i="11" l="1"/>
  <c r="H1312" i="11"/>
  <c r="K1310" i="11"/>
  <c r="J1311" i="11"/>
  <c r="I1357" i="4"/>
  <c r="G1358" i="4"/>
  <c r="H1358" i="4"/>
  <c r="E1358" i="4"/>
  <c r="F1358" i="4" s="1"/>
  <c r="C1360" i="4"/>
  <c r="D1359" i="4"/>
  <c r="H1313" i="11" l="1"/>
  <c r="I1312" i="11"/>
  <c r="K1311" i="11"/>
  <c r="J1312" i="11"/>
  <c r="I1358" i="4"/>
  <c r="E1359" i="4"/>
  <c r="F1359" i="4" s="1"/>
  <c r="H1359" i="4"/>
  <c r="G1359" i="4"/>
  <c r="C1361" i="4"/>
  <c r="D1360" i="4"/>
  <c r="K1312" i="11" l="1"/>
  <c r="J1313" i="11"/>
  <c r="H1314" i="11"/>
  <c r="I1313" i="11"/>
  <c r="G1360" i="4"/>
  <c r="E1360" i="4"/>
  <c r="F1360" i="4" s="1"/>
  <c r="H1360" i="4"/>
  <c r="C1362" i="4"/>
  <c r="D1361" i="4"/>
  <c r="I1359" i="4"/>
  <c r="K1313" i="11" l="1"/>
  <c r="J1314" i="11"/>
  <c r="H1315" i="11"/>
  <c r="I1314" i="11"/>
  <c r="I1360" i="4"/>
  <c r="C1363" i="4"/>
  <c r="D1362" i="4"/>
  <c r="G1361" i="4"/>
  <c r="H1361" i="4"/>
  <c r="E1361" i="4"/>
  <c r="F1361" i="4" s="1"/>
  <c r="K1314" i="11" l="1"/>
  <c r="J1315" i="11"/>
  <c r="H1316" i="11"/>
  <c r="I1315" i="11"/>
  <c r="I1361" i="4"/>
  <c r="H1362" i="4"/>
  <c r="G1362" i="4"/>
  <c r="E1362" i="4"/>
  <c r="F1362" i="4" s="1"/>
  <c r="C1364" i="4"/>
  <c r="D1363" i="4"/>
  <c r="K1315" i="11" l="1"/>
  <c r="J1316" i="11"/>
  <c r="H1317" i="11"/>
  <c r="I1316" i="11"/>
  <c r="C1365" i="4"/>
  <c r="D1364" i="4"/>
  <c r="I1362" i="4"/>
  <c r="E1363" i="4"/>
  <c r="F1363" i="4" s="1"/>
  <c r="G1363" i="4"/>
  <c r="H1363" i="4"/>
  <c r="K1316" i="11" l="1"/>
  <c r="J1317" i="11"/>
  <c r="H1318" i="11"/>
  <c r="I1317" i="11"/>
  <c r="I1363" i="4"/>
  <c r="G1364" i="4"/>
  <c r="E1364" i="4"/>
  <c r="F1364" i="4" s="1"/>
  <c r="H1364" i="4"/>
  <c r="C1366" i="4"/>
  <c r="D1365" i="4"/>
  <c r="K1317" i="11" l="1"/>
  <c r="J1318" i="11"/>
  <c r="I1318" i="11"/>
  <c r="H1319" i="11"/>
  <c r="I1364" i="4"/>
  <c r="C1367" i="4"/>
  <c r="D1366" i="4"/>
  <c r="G1365" i="4"/>
  <c r="E1365" i="4"/>
  <c r="F1365" i="4" s="1"/>
  <c r="H1365" i="4"/>
  <c r="I1319" i="11" l="1"/>
  <c r="H1320" i="11"/>
  <c r="K1318" i="11"/>
  <c r="J1319" i="11"/>
  <c r="I1365" i="4"/>
  <c r="G1366" i="4"/>
  <c r="E1366" i="4"/>
  <c r="F1366" i="4" s="1"/>
  <c r="H1366" i="4"/>
  <c r="C1368" i="4"/>
  <c r="D1367" i="4"/>
  <c r="I1320" i="11" l="1"/>
  <c r="H1321" i="11"/>
  <c r="K1319" i="11"/>
  <c r="J1320" i="11"/>
  <c r="I1366" i="4"/>
  <c r="E1367" i="4"/>
  <c r="F1367" i="4" s="1"/>
  <c r="G1367" i="4"/>
  <c r="H1367" i="4"/>
  <c r="C1369" i="4"/>
  <c r="D1368" i="4"/>
  <c r="I1321" i="11" l="1"/>
  <c r="H1322" i="11"/>
  <c r="K1320" i="11"/>
  <c r="J1321" i="11"/>
  <c r="I1367" i="4"/>
  <c r="G1368" i="4"/>
  <c r="E1368" i="4"/>
  <c r="F1368" i="4" s="1"/>
  <c r="H1368" i="4"/>
  <c r="C1370" i="4"/>
  <c r="D1369" i="4"/>
  <c r="I1322" i="11" l="1"/>
  <c r="H1323" i="11"/>
  <c r="K1321" i="11"/>
  <c r="J1322" i="11"/>
  <c r="I1368" i="4"/>
  <c r="G1369" i="4"/>
  <c r="E1369" i="4"/>
  <c r="F1369" i="4" s="1"/>
  <c r="H1369" i="4"/>
  <c r="C1371" i="4"/>
  <c r="D1370" i="4"/>
  <c r="H1324" i="11" l="1"/>
  <c r="I1323" i="11"/>
  <c r="K1322" i="11"/>
  <c r="J1323" i="11"/>
  <c r="I1369" i="4"/>
  <c r="C1372" i="4"/>
  <c r="D1371" i="4"/>
  <c r="E1370" i="4"/>
  <c r="F1370" i="4" s="1"/>
  <c r="G1370" i="4"/>
  <c r="H1370" i="4"/>
  <c r="K1323" i="11" l="1"/>
  <c r="J1324" i="11"/>
  <c r="I1324" i="11"/>
  <c r="H1325" i="11"/>
  <c r="I1370" i="4"/>
  <c r="E1371" i="4"/>
  <c r="F1371" i="4" s="1"/>
  <c r="H1371" i="4"/>
  <c r="G1371" i="4"/>
  <c r="C1373" i="4"/>
  <c r="D1372" i="4"/>
  <c r="K1324" i="11" l="1"/>
  <c r="J1325" i="11"/>
  <c r="I1325" i="11"/>
  <c r="H1326" i="11"/>
  <c r="G1372" i="4"/>
  <c r="E1372" i="4"/>
  <c r="F1372" i="4" s="1"/>
  <c r="H1372" i="4"/>
  <c r="C1374" i="4"/>
  <c r="D1373" i="4"/>
  <c r="I1371" i="4"/>
  <c r="K1325" i="11" l="1"/>
  <c r="J1326" i="11"/>
  <c r="I1326" i="11"/>
  <c r="H1327" i="11"/>
  <c r="I1372" i="4"/>
  <c r="E1373" i="4"/>
  <c r="F1373" i="4" s="1"/>
  <c r="G1373" i="4"/>
  <c r="H1373" i="4"/>
  <c r="C1375" i="4"/>
  <c r="D1374" i="4"/>
  <c r="K1326" i="11" l="1"/>
  <c r="J1327" i="11"/>
  <c r="H1328" i="11"/>
  <c r="I1327" i="11"/>
  <c r="I1373" i="4"/>
  <c r="G1374" i="4"/>
  <c r="E1374" i="4"/>
  <c r="F1374" i="4" s="1"/>
  <c r="H1374" i="4"/>
  <c r="C1376" i="4"/>
  <c r="D1375" i="4"/>
  <c r="K1327" i="11" l="1"/>
  <c r="J1328" i="11"/>
  <c r="I1328" i="11"/>
  <c r="H1329" i="11"/>
  <c r="I1374" i="4"/>
  <c r="E1375" i="4"/>
  <c r="F1375" i="4" s="1"/>
  <c r="G1375" i="4"/>
  <c r="H1375" i="4"/>
  <c r="C1377" i="4"/>
  <c r="D1376" i="4"/>
  <c r="K1328" i="11" l="1"/>
  <c r="J1329" i="11"/>
  <c r="I1329" i="11"/>
  <c r="H1330" i="11"/>
  <c r="I1375" i="4"/>
  <c r="G1376" i="4"/>
  <c r="E1376" i="4"/>
  <c r="F1376" i="4" s="1"/>
  <c r="H1376" i="4"/>
  <c r="C1378" i="4"/>
  <c r="D1377" i="4"/>
  <c r="H1331" i="11" l="1"/>
  <c r="I1330" i="11"/>
  <c r="K1329" i="11"/>
  <c r="J1330" i="11"/>
  <c r="I1376" i="4"/>
  <c r="E1377" i="4"/>
  <c r="F1377" i="4" s="1"/>
  <c r="G1377" i="4"/>
  <c r="H1377" i="4"/>
  <c r="C1379" i="4"/>
  <c r="D1378" i="4"/>
  <c r="K1330" i="11" l="1"/>
  <c r="J1331" i="11"/>
  <c r="I1331" i="11"/>
  <c r="H1332" i="11"/>
  <c r="I1377" i="4"/>
  <c r="E1378" i="4"/>
  <c r="F1378" i="4" s="1"/>
  <c r="H1378" i="4"/>
  <c r="G1378" i="4"/>
  <c r="C1380" i="4"/>
  <c r="D1379" i="4"/>
  <c r="K1331" i="11" l="1"/>
  <c r="J1332" i="11"/>
  <c r="I1332" i="11"/>
  <c r="H1333" i="11"/>
  <c r="I1378" i="4"/>
  <c r="E1379" i="4"/>
  <c r="F1379" i="4" s="1"/>
  <c r="H1379" i="4"/>
  <c r="G1379" i="4"/>
  <c r="C1381" i="4"/>
  <c r="D1380" i="4"/>
  <c r="I1333" i="11" l="1"/>
  <c r="H1334" i="11"/>
  <c r="K1332" i="11"/>
  <c r="J1333" i="11"/>
  <c r="I1379" i="4"/>
  <c r="E1380" i="4"/>
  <c r="F1380" i="4" s="1"/>
  <c r="H1380" i="4"/>
  <c r="G1380" i="4"/>
  <c r="C1382" i="4"/>
  <c r="D1381" i="4"/>
  <c r="I1334" i="11" l="1"/>
  <c r="H1335" i="11"/>
  <c r="K1333" i="11"/>
  <c r="J1334" i="11"/>
  <c r="I1380" i="4"/>
  <c r="E1381" i="4"/>
  <c r="F1381" i="4" s="1"/>
  <c r="H1381" i="4" s="1"/>
  <c r="G1381" i="4"/>
  <c r="C1383" i="4"/>
  <c r="D1382" i="4"/>
  <c r="I1335" i="11" l="1"/>
  <c r="H1336" i="11"/>
  <c r="K1334" i="11"/>
  <c r="J1335" i="11"/>
  <c r="I1381" i="4"/>
  <c r="E1382" i="4"/>
  <c r="F1382" i="4" s="1"/>
  <c r="H1382" i="4"/>
  <c r="G1382" i="4"/>
  <c r="C1384" i="4"/>
  <c r="D1383" i="4"/>
  <c r="H1337" i="11" l="1"/>
  <c r="I1336" i="11"/>
  <c r="K1335" i="11"/>
  <c r="J1336" i="11"/>
  <c r="I1382" i="4"/>
  <c r="E1383" i="4"/>
  <c r="F1383" i="4" s="1"/>
  <c r="H1383" i="4"/>
  <c r="G1383" i="4"/>
  <c r="C1385" i="4"/>
  <c r="D1384" i="4"/>
  <c r="K1336" i="11" l="1"/>
  <c r="J1337" i="11"/>
  <c r="I1337" i="11"/>
  <c r="H1338" i="11"/>
  <c r="I1383" i="4"/>
  <c r="E1384" i="4"/>
  <c r="F1384" i="4" s="1"/>
  <c r="H1384" i="4" s="1"/>
  <c r="G1384" i="4"/>
  <c r="C1386" i="4"/>
  <c r="D1385" i="4"/>
  <c r="K1337" i="11" l="1"/>
  <c r="J1338" i="11"/>
  <c r="I1338" i="11"/>
  <c r="H1339" i="11"/>
  <c r="I1384" i="4"/>
  <c r="G1385" i="4"/>
  <c r="E1385" i="4"/>
  <c r="F1385" i="4" s="1"/>
  <c r="H1385" i="4" s="1"/>
  <c r="C1387" i="4"/>
  <c r="D1386" i="4"/>
  <c r="H1340" i="11" l="1"/>
  <c r="I1339" i="11"/>
  <c r="K1338" i="11"/>
  <c r="J1339" i="11"/>
  <c r="I1385" i="4"/>
  <c r="E1386" i="4"/>
  <c r="F1386" i="4" s="1"/>
  <c r="H1386" i="4"/>
  <c r="G1386" i="4"/>
  <c r="C1388" i="4"/>
  <c r="D1387" i="4"/>
  <c r="K1339" i="11" l="1"/>
  <c r="J1340" i="11"/>
  <c r="I1340" i="11"/>
  <c r="H1341" i="11"/>
  <c r="I1386" i="4"/>
  <c r="C1389" i="4"/>
  <c r="D1388" i="4"/>
  <c r="E1387" i="4"/>
  <c r="F1387" i="4" s="1"/>
  <c r="G1387" i="4"/>
  <c r="H1387" i="4"/>
  <c r="I1341" i="11" l="1"/>
  <c r="H1342" i="11"/>
  <c r="K1340" i="11"/>
  <c r="J1341" i="11"/>
  <c r="I1387" i="4"/>
  <c r="G1388" i="4"/>
  <c r="H1388" i="4"/>
  <c r="E1388" i="4"/>
  <c r="F1388" i="4" s="1"/>
  <c r="C1390" i="4"/>
  <c r="D1389" i="4"/>
  <c r="H1343" i="11" l="1"/>
  <c r="I1342" i="11"/>
  <c r="K1341" i="11"/>
  <c r="J1342" i="11"/>
  <c r="I1388" i="4"/>
  <c r="E1389" i="4"/>
  <c r="F1389" i="4" s="1"/>
  <c r="G1389" i="4"/>
  <c r="H1389" i="4"/>
  <c r="C1391" i="4"/>
  <c r="D1390" i="4"/>
  <c r="K1342" i="11" l="1"/>
  <c r="J1343" i="11"/>
  <c r="I1343" i="11"/>
  <c r="H1344" i="11"/>
  <c r="I1389" i="4"/>
  <c r="G1390" i="4"/>
  <c r="E1390" i="4"/>
  <c r="F1390" i="4" s="1"/>
  <c r="H1390" i="4"/>
  <c r="C1392" i="4"/>
  <c r="D1391" i="4"/>
  <c r="I1344" i="11" l="1"/>
  <c r="H1345" i="11"/>
  <c r="K1343" i="11"/>
  <c r="J1344" i="11"/>
  <c r="I1390" i="4"/>
  <c r="H1391" i="4"/>
  <c r="E1391" i="4"/>
  <c r="F1391" i="4" s="1"/>
  <c r="G1391" i="4"/>
  <c r="C1393" i="4"/>
  <c r="D1392" i="4"/>
  <c r="H1346" i="11" l="1"/>
  <c r="I1345" i="11"/>
  <c r="K1344" i="11"/>
  <c r="J1345" i="11"/>
  <c r="C1394" i="4"/>
  <c r="D1393" i="4"/>
  <c r="H1392" i="4"/>
  <c r="G1392" i="4"/>
  <c r="E1392" i="4"/>
  <c r="F1392" i="4" s="1"/>
  <c r="I1391" i="4"/>
  <c r="K1345" i="11" l="1"/>
  <c r="J1346" i="11"/>
  <c r="I1346" i="11"/>
  <c r="H1347" i="11"/>
  <c r="I1392" i="4"/>
  <c r="G1393" i="4"/>
  <c r="E1393" i="4"/>
  <c r="F1393" i="4" s="1"/>
  <c r="H1393" i="4"/>
  <c r="C1395" i="4"/>
  <c r="D1394" i="4"/>
  <c r="I1347" i="11" l="1"/>
  <c r="H1348" i="11"/>
  <c r="K1346" i="11"/>
  <c r="J1347" i="11"/>
  <c r="G1394" i="4"/>
  <c r="E1394" i="4"/>
  <c r="F1394" i="4" s="1"/>
  <c r="H1394" i="4"/>
  <c r="C1396" i="4"/>
  <c r="D1395" i="4"/>
  <c r="I1393" i="4"/>
  <c r="H1349" i="11" l="1"/>
  <c r="I1348" i="11"/>
  <c r="K1347" i="11"/>
  <c r="J1348" i="11"/>
  <c r="I1394" i="4"/>
  <c r="G1395" i="4"/>
  <c r="E1395" i="4"/>
  <c r="F1395" i="4" s="1"/>
  <c r="H1395" i="4"/>
  <c r="C1397" i="4"/>
  <c r="D1396" i="4"/>
  <c r="K1348" i="11" l="1"/>
  <c r="J1349" i="11"/>
  <c r="I1349" i="11"/>
  <c r="H1350" i="11"/>
  <c r="C1398" i="4"/>
  <c r="D1397" i="4"/>
  <c r="H1396" i="4"/>
  <c r="G1396" i="4"/>
  <c r="E1396" i="4"/>
  <c r="F1396" i="4" s="1"/>
  <c r="I1395" i="4"/>
  <c r="K1349" i="11" l="1"/>
  <c r="J1350" i="11"/>
  <c r="H1351" i="11"/>
  <c r="I1350" i="11"/>
  <c r="I1396" i="4"/>
  <c r="E1397" i="4"/>
  <c r="F1397" i="4" s="1"/>
  <c r="G1397" i="4"/>
  <c r="H1397" i="4"/>
  <c r="C1399" i="4"/>
  <c r="D1398" i="4"/>
  <c r="K1350" i="11" l="1"/>
  <c r="J1351" i="11"/>
  <c r="I1351" i="11"/>
  <c r="H1352" i="11"/>
  <c r="I1397" i="4"/>
  <c r="G1398" i="4"/>
  <c r="E1398" i="4"/>
  <c r="F1398" i="4" s="1"/>
  <c r="H1398" i="4"/>
  <c r="C1400" i="4"/>
  <c r="D1399" i="4"/>
  <c r="H1353" i="11" l="1"/>
  <c r="I1352" i="11"/>
  <c r="K1351" i="11"/>
  <c r="J1352" i="11"/>
  <c r="I1398" i="4"/>
  <c r="C1401" i="4"/>
  <c r="D1400" i="4"/>
  <c r="G1399" i="4"/>
  <c r="H1399" i="4"/>
  <c r="E1399" i="4"/>
  <c r="F1399" i="4" s="1"/>
  <c r="K1352" i="11" l="1"/>
  <c r="J1353" i="11"/>
  <c r="I1353" i="11"/>
  <c r="H1354" i="11"/>
  <c r="E1400" i="4"/>
  <c r="F1400" i="4" s="1"/>
  <c r="H1400" i="4"/>
  <c r="G1400" i="4"/>
  <c r="I1399" i="4"/>
  <c r="C1402" i="4"/>
  <c r="D1401" i="4"/>
  <c r="K1353" i="11" l="1"/>
  <c r="J1354" i="11"/>
  <c r="H1355" i="11"/>
  <c r="I1354" i="11"/>
  <c r="E1401" i="4"/>
  <c r="F1401" i="4" s="1"/>
  <c r="G1401" i="4"/>
  <c r="H1401" i="4"/>
  <c r="C1403" i="4"/>
  <c r="D1402" i="4"/>
  <c r="I1400" i="4"/>
  <c r="K1354" i="11" l="1"/>
  <c r="J1355" i="11"/>
  <c r="I1355" i="11"/>
  <c r="H1356" i="11"/>
  <c r="I1401" i="4"/>
  <c r="E1402" i="4"/>
  <c r="F1402" i="4" s="1"/>
  <c r="H1402" i="4"/>
  <c r="G1402" i="4"/>
  <c r="C1404" i="4"/>
  <c r="D1403" i="4"/>
  <c r="K1355" i="11" l="1"/>
  <c r="J1356" i="11"/>
  <c r="I1356" i="11"/>
  <c r="H1357" i="11"/>
  <c r="C1405" i="4"/>
  <c r="D1404" i="4"/>
  <c r="H1403" i="4"/>
  <c r="E1403" i="4"/>
  <c r="F1403" i="4" s="1"/>
  <c r="G1403" i="4"/>
  <c r="I1402" i="4"/>
  <c r="H1358" i="11" l="1"/>
  <c r="I1357" i="11"/>
  <c r="K1356" i="11"/>
  <c r="J1357" i="11"/>
  <c r="I1403" i="4"/>
  <c r="H1404" i="4"/>
  <c r="E1404" i="4"/>
  <c r="F1404" i="4" s="1"/>
  <c r="G1404" i="4"/>
  <c r="C1406" i="4"/>
  <c r="D1405" i="4"/>
  <c r="K1357" i="11" l="1"/>
  <c r="J1358" i="11"/>
  <c r="I1358" i="11"/>
  <c r="H1359" i="11"/>
  <c r="I1404" i="4"/>
  <c r="C1407" i="4"/>
  <c r="D1406" i="4"/>
  <c r="E1405" i="4"/>
  <c r="F1405" i="4" s="1"/>
  <c r="G1405" i="4"/>
  <c r="H1405" i="4"/>
  <c r="I1359" i="11" l="1"/>
  <c r="H1360" i="11"/>
  <c r="K1358" i="11"/>
  <c r="J1359" i="11"/>
  <c r="I1405" i="4"/>
  <c r="E1406" i="4"/>
  <c r="F1406" i="4" s="1"/>
  <c r="G1406" i="4"/>
  <c r="H1406" i="4"/>
  <c r="C1408" i="4"/>
  <c r="D1407" i="4"/>
  <c r="I1360" i="11" l="1"/>
  <c r="H1361" i="11"/>
  <c r="K1359" i="11"/>
  <c r="J1360" i="11"/>
  <c r="I1406" i="4"/>
  <c r="E1407" i="4"/>
  <c r="F1407" i="4" s="1"/>
  <c r="H1407" i="4"/>
  <c r="G1407" i="4"/>
  <c r="C1409" i="4"/>
  <c r="D1408" i="4"/>
  <c r="H1362" i="11" l="1"/>
  <c r="I1361" i="11"/>
  <c r="K1360" i="11"/>
  <c r="J1361" i="11"/>
  <c r="G1408" i="4"/>
  <c r="E1408" i="4"/>
  <c r="F1408" i="4" s="1"/>
  <c r="H1408" i="4" s="1"/>
  <c r="C1410" i="4"/>
  <c r="D1409" i="4"/>
  <c r="I1407" i="4"/>
  <c r="K1361" i="11" l="1"/>
  <c r="J1362" i="11"/>
  <c r="I1362" i="11"/>
  <c r="H1363" i="11"/>
  <c r="C1411" i="4"/>
  <c r="D1410" i="4"/>
  <c r="E1409" i="4"/>
  <c r="F1409" i="4" s="1"/>
  <c r="G1409" i="4"/>
  <c r="H1409" i="4"/>
  <c r="I1408" i="4"/>
  <c r="I1363" i="11" l="1"/>
  <c r="H1364" i="11"/>
  <c r="K1362" i="11"/>
  <c r="J1363" i="11"/>
  <c r="I1409" i="4"/>
  <c r="G1410" i="4"/>
  <c r="E1410" i="4"/>
  <c r="F1410" i="4" s="1"/>
  <c r="H1410" i="4"/>
  <c r="C1412" i="4"/>
  <c r="D1411" i="4"/>
  <c r="H1365" i="11" l="1"/>
  <c r="I1364" i="11"/>
  <c r="K1363" i="11"/>
  <c r="J1364" i="11"/>
  <c r="I1410" i="4"/>
  <c r="E1411" i="4"/>
  <c r="F1411" i="4" s="1"/>
  <c r="H1411" i="4" s="1"/>
  <c r="G1411" i="4"/>
  <c r="C1413" i="4"/>
  <c r="D1412" i="4"/>
  <c r="K1364" i="11" l="1"/>
  <c r="J1365" i="11"/>
  <c r="I1365" i="11"/>
  <c r="H1366" i="11"/>
  <c r="G1412" i="4"/>
  <c r="E1412" i="4"/>
  <c r="F1412" i="4" s="1"/>
  <c r="H1412" i="4" s="1"/>
  <c r="I1411" i="4"/>
  <c r="C1414" i="4"/>
  <c r="D1413" i="4"/>
  <c r="K1365" i="11" l="1"/>
  <c r="J1366" i="11"/>
  <c r="I1366" i="11"/>
  <c r="H1367" i="11"/>
  <c r="C1415" i="4"/>
  <c r="D1414" i="4"/>
  <c r="I1412" i="4"/>
  <c r="E1413" i="4"/>
  <c r="F1413" i="4" s="1"/>
  <c r="G1413" i="4"/>
  <c r="H1413" i="4"/>
  <c r="I1367" i="11" l="1"/>
  <c r="H1368" i="11"/>
  <c r="K1366" i="11"/>
  <c r="J1367" i="11"/>
  <c r="I1413" i="4"/>
  <c r="G1414" i="4"/>
  <c r="E1414" i="4"/>
  <c r="F1414" i="4" s="1"/>
  <c r="H1414" i="4"/>
  <c r="C1416" i="4"/>
  <c r="D1415" i="4"/>
  <c r="H1369" i="11" l="1"/>
  <c r="I1368" i="11"/>
  <c r="K1367" i="11"/>
  <c r="J1368" i="11"/>
  <c r="I1414" i="4"/>
  <c r="G1415" i="4"/>
  <c r="E1415" i="4"/>
  <c r="F1415" i="4" s="1"/>
  <c r="H1415" i="4"/>
  <c r="C1417" i="4"/>
  <c r="D1416" i="4"/>
  <c r="K1368" i="11" l="1"/>
  <c r="J1369" i="11"/>
  <c r="H1370" i="11"/>
  <c r="I1369" i="11"/>
  <c r="I1415" i="4"/>
  <c r="E1416" i="4"/>
  <c r="F1416" i="4" s="1"/>
  <c r="G1416" i="4"/>
  <c r="H1416" i="4"/>
  <c r="C1418" i="4"/>
  <c r="D1417" i="4"/>
  <c r="I1370" i="11" l="1"/>
  <c r="H1371" i="11"/>
  <c r="K1369" i="11"/>
  <c r="J1370" i="11"/>
  <c r="I1416" i="4"/>
  <c r="E1417" i="4"/>
  <c r="F1417" i="4" s="1"/>
  <c r="G1417" i="4"/>
  <c r="H1417" i="4"/>
  <c r="C1419" i="4"/>
  <c r="D1418" i="4"/>
  <c r="I1371" i="11" l="1"/>
  <c r="H1372" i="11"/>
  <c r="K1370" i="11"/>
  <c r="J1371" i="11"/>
  <c r="I1417" i="4"/>
  <c r="E1418" i="4"/>
  <c r="F1418" i="4" s="1"/>
  <c r="H1418" i="4"/>
  <c r="G1418" i="4"/>
  <c r="C1420" i="4"/>
  <c r="D1419" i="4"/>
  <c r="I1372" i="11" l="1"/>
  <c r="H1373" i="11"/>
  <c r="K1371" i="11"/>
  <c r="J1372" i="11"/>
  <c r="I1418" i="4"/>
  <c r="E1419" i="4"/>
  <c r="F1419" i="4" s="1"/>
  <c r="H1419" i="4" s="1"/>
  <c r="G1419" i="4"/>
  <c r="C1421" i="4"/>
  <c r="D1420" i="4"/>
  <c r="H1374" i="11" l="1"/>
  <c r="I1373" i="11"/>
  <c r="K1372" i="11"/>
  <c r="J1373" i="11"/>
  <c r="I1419" i="4"/>
  <c r="G1420" i="4"/>
  <c r="E1420" i="4"/>
  <c r="F1420" i="4" s="1"/>
  <c r="H1420" i="4"/>
  <c r="C1422" i="4"/>
  <c r="D1421" i="4"/>
  <c r="K1373" i="11" l="1"/>
  <c r="J1374" i="11"/>
  <c r="I1374" i="11"/>
  <c r="H1375" i="11"/>
  <c r="I1420" i="4"/>
  <c r="E1421" i="4"/>
  <c r="F1421" i="4" s="1"/>
  <c r="H1421" i="4"/>
  <c r="G1421" i="4"/>
  <c r="C1423" i="4"/>
  <c r="D1422" i="4"/>
  <c r="K1374" i="11" l="1"/>
  <c r="J1375" i="11"/>
  <c r="H1376" i="11"/>
  <c r="I1375" i="11"/>
  <c r="I1421" i="4"/>
  <c r="C1424" i="4"/>
  <c r="D1423" i="4"/>
  <c r="E1422" i="4"/>
  <c r="F1422" i="4" s="1"/>
  <c r="H1422" i="4"/>
  <c r="G1422" i="4"/>
  <c r="K1375" i="11" l="1"/>
  <c r="J1376" i="11"/>
  <c r="I1376" i="11"/>
  <c r="H1377" i="11"/>
  <c r="I1422" i="4"/>
  <c r="E1423" i="4"/>
  <c r="F1423" i="4" s="1"/>
  <c r="H1423" i="4" s="1"/>
  <c r="G1423" i="4"/>
  <c r="C1425" i="4"/>
  <c r="D1424" i="4"/>
  <c r="K1376" i="11" l="1"/>
  <c r="J1377" i="11"/>
  <c r="I1377" i="11"/>
  <c r="H1378" i="11"/>
  <c r="I1423" i="4"/>
  <c r="C1426" i="4"/>
  <c r="D1425" i="4"/>
  <c r="E1424" i="4"/>
  <c r="F1424" i="4" s="1"/>
  <c r="H1424" i="4"/>
  <c r="G1424" i="4"/>
  <c r="K1377" i="11" l="1"/>
  <c r="J1378" i="11"/>
  <c r="H1379" i="11"/>
  <c r="I1378" i="11"/>
  <c r="I1424" i="4"/>
  <c r="E1425" i="4"/>
  <c r="F1425" i="4" s="1"/>
  <c r="H1425" i="4"/>
  <c r="G1425" i="4"/>
  <c r="C1427" i="4"/>
  <c r="D1426" i="4"/>
  <c r="H1380" i="11" l="1"/>
  <c r="I1379" i="11"/>
  <c r="K1378" i="11"/>
  <c r="J1379" i="11"/>
  <c r="I1425" i="4"/>
  <c r="C1428" i="4"/>
  <c r="D1427" i="4"/>
  <c r="H1426" i="4"/>
  <c r="E1426" i="4"/>
  <c r="F1426" i="4" s="1"/>
  <c r="G1426" i="4"/>
  <c r="K1379" i="11" l="1"/>
  <c r="J1380" i="11"/>
  <c r="I1380" i="11"/>
  <c r="H1381" i="11"/>
  <c r="I1426" i="4"/>
  <c r="G1427" i="4"/>
  <c r="H1427" i="4"/>
  <c r="E1427" i="4"/>
  <c r="F1427" i="4" s="1"/>
  <c r="C1429" i="4"/>
  <c r="D1428" i="4"/>
  <c r="K1380" i="11" l="1"/>
  <c r="J1381" i="11"/>
  <c r="H1382" i="11"/>
  <c r="I1381" i="11"/>
  <c r="I1427" i="4"/>
  <c r="E1428" i="4"/>
  <c r="F1428" i="4" s="1"/>
  <c r="H1428" i="4"/>
  <c r="G1428" i="4"/>
  <c r="C1430" i="4"/>
  <c r="D1429" i="4"/>
  <c r="H1383" i="11" l="1"/>
  <c r="I1382" i="11"/>
  <c r="K1381" i="11"/>
  <c r="J1382" i="11"/>
  <c r="E1429" i="4"/>
  <c r="F1429" i="4" s="1"/>
  <c r="G1429" i="4"/>
  <c r="H1429" i="4"/>
  <c r="C1431" i="4"/>
  <c r="D1430" i="4"/>
  <c r="I1428" i="4"/>
  <c r="K1382" i="11" l="1"/>
  <c r="J1383" i="11"/>
  <c r="I1383" i="11"/>
  <c r="H1384" i="11"/>
  <c r="I1429" i="4"/>
  <c r="C1432" i="4"/>
  <c r="D1431" i="4"/>
  <c r="G1430" i="4"/>
  <c r="E1430" i="4"/>
  <c r="F1430" i="4" s="1"/>
  <c r="H1430" i="4"/>
  <c r="H1385" i="11" l="1"/>
  <c r="I1384" i="11"/>
  <c r="K1383" i="11"/>
  <c r="J1384" i="11"/>
  <c r="I1430" i="4"/>
  <c r="H1431" i="4"/>
  <c r="G1431" i="4"/>
  <c r="E1431" i="4"/>
  <c r="F1431" i="4" s="1"/>
  <c r="C1433" i="4"/>
  <c r="D1432" i="4"/>
  <c r="K1384" i="11" l="1"/>
  <c r="J1385" i="11"/>
  <c r="H1386" i="11"/>
  <c r="I1385" i="11"/>
  <c r="C1434" i="4"/>
  <c r="D1433" i="4"/>
  <c r="I1431" i="4"/>
  <c r="E1432" i="4"/>
  <c r="F1432" i="4" s="1"/>
  <c r="H1432" i="4"/>
  <c r="G1432" i="4"/>
  <c r="K1385" i="11" l="1"/>
  <c r="J1386" i="11"/>
  <c r="I1386" i="11"/>
  <c r="H1387" i="11"/>
  <c r="I1432" i="4"/>
  <c r="E1433" i="4"/>
  <c r="F1433" i="4" s="1"/>
  <c r="G1433" i="4"/>
  <c r="H1433" i="4"/>
  <c r="C1435" i="4"/>
  <c r="D1434" i="4"/>
  <c r="K1386" i="11" l="1"/>
  <c r="J1387" i="11"/>
  <c r="I1387" i="11"/>
  <c r="H1388" i="11"/>
  <c r="I1433" i="4"/>
  <c r="G1434" i="4"/>
  <c r="E1434" i="4"/>
  <c r="F1434" i="4" s="1"/>
  <c r="H1434" i="4"/>
  <c r="C1436" i="4"/>
  <c r="D1435" i="4"/>
  <c r="H1389" i="11" l="1"/>
  <c r="I1388" i="11"/>
  <c r="K1387" i="11"/>
  <c r="J1388" i="11"/>
  <c r="I1434" i="4"/>
  <c r="E1435" i="4"/>
  <c r="F1435" i="4" s="1"/>
  <c r="G1435" i="4"/>
  <c r="H1435" i="4"/>
  <c r="C1437" i="4"/>
  <c r="D1436" i="4"/>
  <c r="K1388" i="11" l="1"/>
  <c r="J1389" i="11"/>
  <c r="H1390" i="11"/>
  <c r="I1389" i="11"/>
  <c r="E1436" i="4"/>
  <c r="F1436" i="4" s="1"/>
  <c r="G1436" i="4"/>
  <c r="H1436" i="4"/>
  <c r="C1438" i="4"/>
  <c r="D1437" i="4"/>
  <c r="I1435" i="4"/>
  <c r="K1389" i="11" l="1"/>
  <c r="J1390" i="11"/>
  <c r="I1390" i="11"/>
  <c r="H1391" i="11"/>
  <c r="I1436" i="4"/>
  <c r="G1437" i="4"/>
  <c r="E1437" i="4"/>
  <c r="F1437" i="4" s="1"/>
  <c r="H1437" i="4"/>
  <c r="C1439" i="4"/>
  <c r="D1438" i="4"/>
  <c r="I1391" i="11" l="1"/>
  <c r="H1392" i="11"/>
  <c r="K1390" i="11"/>
  <c r="J1391" i="11"/>
  <c r="I1437" i="4"/>
  <c r="C1440" i="4"/>
  <c r="D1439" i="4"/>
  <c r="G1438" i="4"/>
  <c r="E1438" i="4"/>
  <c r="F1438" i="4" s="1"/>
  <c r="H1438" i="4"/>
  <c r="H1393" i="11" l="1"/>
  <c r="I1392" i="11"/>
  <c r="K1391" i="11"/>
  <c r="J1392" i="11"/>
  <c r="I1438" i="4"/>
  <c r="G1439" i="4"/>
  <c r="E1439" i="4"/>
  <c r="F1439" i="4" s="1"/>
  <c r="H1439" i="4"/>
  <c r="C1441" i="4"/>
  <c r="D1440" i="4"/>
  <c r="K1392" i="11" l="1"/>
  <c r="J1393" i="11"/>
  <c r="H1394" i="11"/>
  <c r="I1393" i="11"/>
  <c r="I1439" i="4"/>
  <c r="E1440" i="4"/>
  <c r="F1440" i="4" s="1"/>
  <c r="G1440" i="4"/>
  <c r="H1440" i="4"/>
  <c r="C1442" i="4"/>
  <c r="D1441" i="4"/>
  <c r="H1395" i="11" l="1"/>
  <c r="I1394" i="11"/>
  <c r="K1393" i="11"/>
  <c r="J1394" i="11"/>
  <c r="C1443" i="4"/>
  <c r="D1442" i="4"/>
  <c r="I1440" i="4"/>
  <c r="E1441" i="4"/>
  <c r="F1441" i="4" s="1"/>
  <c r="H1441" i="4"/>
  <c r="G1441" i="4"/>
  <c r="K1394" i="11" l="1"/>
  <c r="J1395" i="11"/>
  <c r="I1395" i="11"/>
  <c r="H1396" i="11"/>
  <c r="I1441" i="4"/>
  <c r="G1442" i="4"/>
  <c r="E1442" i="4"/>
  <c r="F1442" i="4" s="1"/>
  <c r="H1442" i="4"/>
  <c r="C1444" i="4"/>
  <c r="D1443" i="4"/>
  <c r="H1397" i="11" l="1"/>
  <c r="I1396" i="11"/>
  <c r="K1395" i="11"/>
  <c r="J1396" i="11"/>
  <c r="I1442" i="4"/>
  <c r="E1443" i="4"/>
  <c r="F1443" i="4" s="1"/>
  <c r="H1443" i="4"/>
  <c r="G1443" i="4"/>
  <c r="C1445" i="4"/>
  <c r="D1444" i="4"/>
  <c r="K1396" i="11" l="1"/>
  <c r="J1397" i="11"/>
  <c r="I1397" i="11"/>
  <c r="H1398" i="11"/>
  <c r="E1444" i="4"/>
  <c r="F1444" i="4" s="1"/>
  <c r="H1444" i="4"/>
  <c r="G1444" i="4"/>
  <c r="C1446" i="4"/>
  <c r="D1445" i="4"/>
  <c r="I1443" i="4"/>
  <c r="H1399" i="11" l="1"/>
  <c r="I1398" i="11"/>
  <c r="K1397" i="11"/>
  <c r="J1398" i="11"/>
  <c r="C1447" i="4"/>
  <c r="D1446" i="4"/>
  <c r="G1445" i="4"/>
  <c r="E1445" i="4"/>
  <c r="F1445" i="4" s="1"/>
  <c r="H1445" i="4"/>
  <c r="I1444" i="4"/>
  <c r="K1398" i="11" l="1"/>
  <c r="J1399" i="11"/>
  <c r="I1399" i="11"/>
  <c r="H1400" i="11"/>
  <c r="G1446" i="4"/>
  <c r="E1446" i="4"/>
  <c r="F1446" i="4" s="1"/>
  <c r="H1446" i="4"/>
  <c r="I1445" i="4"/>
  <c r="C1448" i="4"/>
  <c r="D1447" i="4"/>
  <c r="K1399" i="11" l="1"/>
  <c r="J1400" i="11"/>
  <c r="I1400" i="11"/>
  <c r="H1401" i="11"/>
  <c r="I1446" i="4"/>
  <c r="C1449" i="4"/>
  <c r="D1448" i="4"/>
  <c r="G1447" i="4"/>
  <c r="E1447" i="4"/>
  <c r="F1447" i="4" s="1"/>
  <c r="H1447" i="4" s="1"/>
  <c r="K1400" i="11" l="1"/>
  <c r="J1401" i="11"/>
  <c r="I1401" i="11"/>
  <c r="H1402" i="11"/>
  <c r="I1447" i="4"/>
  <c r="E1448" i="4"/>
  <c r="F1448" i="4" s="1"/>
  <c r="H1448" i="4" s="1"/>
  <c r="G1448" i="4"/>
  <c r="C1450" i="4"/>
  <c r="D1449" i="4"/>
  <c r="K1401" i="11" l="1"/>
  <c r="J1402" i="11"/>
  <c r="H1403" i="11"/>
  <c r="I1402" i="11"/>
  <c r="I1448" i="4"/>
  <c r="C1451" i="4"/>
  <c r="D1450" i="4"/>
  <c r="G1449" i="4"/>
  <c r="E1449" i="4"/>
  <c r="F1449" i="4" s="1"/>
  <c r="H1449" i="4" s="1"/>
  <c r="K1402" i="11" l="1"/>
  <c r="J1403" i="11"/>
  <c r="I1403" i="11"/>
  <c r="H1404" i="11"/>
  <c r="I1449" i="4"/>
  <c r="G1450" i="4"/>
  <c r="E1450" i="4"/>
  <c r="F1450" i="4" s="1"/>
  <c r="H1450" i="4"/>
  <c r="C1452" i="4"/>
  <c r="D1451" i="4"/>
  <c r="K1403" i="11" l="1"/>
  <c r="J1404" i="11"/>
  <c r="I1404" i="11"/>
  <c r="H1405" i="11"/>
  <c r="I1450" i="4"/>
  <c r="G1451" i="4"/>
  <c r="E1451" i="4"/>
  <c r="F1451" i="4" s="1"/>
  <c r="H1451" i="4"/>
  <c r="C1453" i="4"/>
  <c r="D1452" i="4"/>
  <c r="K1404" i="11" l="1"/>
  <c r="J1405" i="11"/>
  <c r="H1406" i="11"/>
  <c r="I1405" i="11"/>
  <c r="I1451" i="4"/>
  <c r="E1452" i="4"/>
  <c r="F1452" i="4" s="1"/>
  <c r="G1452" i="4"/>
  <c r="H1452" i="4"/>
  <c r="C1454" i="4"/>
  <c r="D1453" i="4"/>
  <c r="K1405" i="11" l="1"/>
  <c r="J1406" i="11"/>
  <c r="H1407" i="11"/>
  <c r="I1406" i="11"/>
  <c r="G1453" i="4"/>
  <c r="E1453" i="4"/>
  <c r="F1453" i="4" s="1"/>
  <c r="H1453" i="4" s="1"/>
  <c r="C1455" i="4"/>
  <c r="D1454" i="4"/>
  <c r="I1452" i="4"/>
  <c r="K1406" i="11" l="1"/>
  <c r="J1407" i="11"/>
  <c r="I1407" i="11"/>
  <c r="H1408" i="11"/>
  <c r="I1408" i="11" s="1"/>
  <c r="C1456" i="4"/>
  <c r="D1455" i="4"/>
  <c r="I1453" i="4"/>
  <c r="G1454" i="4"/>
  <c r="E1454" i="4"/>
  <c r="F1454" i="4" s="1"/>
  <c r="H1454" i="4" s="1"/>
  <c r="K1407" i="11" l="1"/>
  <c r="J1408" i="11"/>
  <c r="I1454" i="4"/>
  <c r="G1455" i="4"/>
  <c r="E1455" i="4"/>
  <c r="F1455" i="4" s="1"/>
  <c r="H1455" i="4" s="1"/>
  <c r="C1457" i="4"/>
  <c r="D1456" i="4"/>
  <c r="K1408" i="11" l="1"/>
  <c r="I1455" i="4"/>
  <c r="C1458" i="4"/>
  <c r="D1457" i="4"/>
  <c r="E1456" i="4"/>
  <c r="F1456" i="4" s="1"/>
  <c r="H1456" i="4"/>
  <c r="G1456" i="4"/>
  <c r="E1457" i="4" l="1"/>
  <c r="F1457" i="4" s="1"/>
  <c r="H1457" i="4" s="1"/>
  <c r="G1457" i="4"/>
  <c r="I1456" i="4"/>
  <c r="C1459" i="4"/>
  <c r="D1458" i="4"/>
  <c r="C1460" i="4" l="1"/>
  <c r="D1459" i="4"/>
  <c r="I1457" i="4"/>
  <c r="E1458" i="4"/>
  <c r="F1458" i="4" s="1"/>
  <c r="H1458" i="4" s="1"/>
  <c r="G1458" i="4"/>
  <c r="I1458" i="4" l="1"/>
  <c r="E1459" i="4"/>
  <c r="F1459" i="4" s="1"/>
  <c r="H1459" i="4" s="1"/>
  <c r="G1459" i="4"/>
  <c r="C1461" i="4"/>
  <c r="D1460" i="4"/>
  <c r="I1459" i="4" l="1"/>
  <c r="E1460" i="4"/>
  <c r="F1460" i="4" s="1"/>
  <c r="H1460" i="4" s="1"/>
  <c r="G1460" i="4"/>
  <c r="C1462" i="4"/>
  <c r="D1461" i="4"/>
  <c r="I1460" i="4" l="1"/>
  <c r="E1461" i="4"/>
  <c r="F1461" i="4" s="1"/>
  <c r="H1461" i="4" s="1"/>
  <c r="G1461" i="4"/>
  <c r="C1463" i="4"/>
  <c r="D1462" i="4"/>
  <c r="I1461" i="4" l="1"/>
  <c r="E1462" i="4"/>
  <c r="F1462" i="4" s="1"/>
  <c r="H1462" i="4" s="1"/>
  <c r="G1462" i="4"/>
  <c r="C1464" i="4"/>
  <c r="D1463" i="4"/>
  <c r="I1462" i="4" l="1"/>
  <c r="E1463" i="4"/>
  <c r="F1463" i="4" s="1"/>
  <c r="H1463" i="4" s="1"/>
  <c r="G1463" i="4"/>
  <c r="C1465" i="4"/>
  <c r="D1464" i="4"/>
  <c r="I1463" i="4" l="1"/>
  <c r="C1466" i="4"/>
  <c r="D1465" i="4"/>
  <c r="H1464" i="4"/>
  <c r="E1464" i="4"/>
  <c r="F1464" i="4" s="1"/>
  <c r="G1464" i="4"/>
  <c r="I1464" i="4" l="1"/>
  <c r="H1465" i="4"/>
  <c r="E1465" i="4"/>
  <c r="F1465" i="4" s="1"/>
  <c r="G1465" i="4"/>
  <c r="C1467" i="4"/>
  <c r="D1466" i="4"/>
  <c r="I1465" i="4" l="1"/>
  <c r="H1466" i="4"/>
  <c r="E1466" i="4"/>
  <c r="F1466" i="4" s="1"/>
  <c r="G1466" i="4"/>
  <c r="C1468" i="4"/>
  <c r="D1467" i="4"/>
  <c r="I1466" i="4" l="1"/>
  <c r="G1467" i="4"/>
  <c r="E1467" i="4"/>
  <c r="F1467" i="4" s="1"/>
  <c r="H1467" i="4"/>
  <c r="C1469" i="4"/>
  <c r="D1468" i="4"/>
  <c r="I1467" i="4" l="1"/>
  <c r="E1468" i="4"/>
  <c r="F1468" i="4" s="1"/>
  <c r="H1468" i="4"/>
  <c r="G1468" i="4"/>
  <c r="C1470" i="4"/>
  <c r="D1469" i="4"/>
  <c r="C1471" i="4" l="1"/>
  <c r="D1470" i="4"/>
  <c r="E1469" i="4"/>
  <c r="F1469" i="4" s="1"/>
  <c r="H1469" i="4"/>
  <c r="G1469" i="4"/>
  <c r="I1468" i="4"/>
  <c r="I1469" i="4" l="1"/>
  <c r="G1470" i="4"/>
  <c r="E1470" i="4"/>
  <c r="F1470" i="4" s="1"/>
  <c r="H1470" i="4"/>
  <c r="C1472" i="4"/>
  <c r="D1471" i="4"/>
  <c r="I1470" i="4" l="1"/>
  <c r="G1471" i="4"/>
  <c r="E1471" i="4"/>
  <c r="F1471" i="4" s="1"/>
  <c r="H1471" i="4"/>
  <c r="C1473" i="4"/>
  <c r="D1472" i="4"/>
  <c r="I1471" i="4" l="1"/>
  <c r="E1472" i="4"/>
  <c r="F1472" i="4" s="1"/>
  <c r="H1472" i="4"/>
  <c r="G1472" i="4"/>
  <c r="C1474" i="4"/>
  <c r="D1473" i="4"/>
  <c r="G1473" i="4" l="1"/>
  <c r="E1473" i="4"/>
  <c r="F1473" i="4" s="1"/>
  <c r="H1473" i="4"/>
  <c r="C1475" i="4"/>
  <c r="D1474" i="4"/>
  <c r="I1472" i="4"/>
  <c r="I1473" i="4" l="1"/>
  <c r="G1474" i="4"/>
  <c r="E1474" i="4"/>
  <c r="F1474" i="4" s="1"/>
  <c r="H1474" i="4"/>
  <c r="C1476" i="4"/>
  <c r="D1475" i="4"/>
  <c r="I1474" i="4" l="1"/>
  <c r="C1477" i="4"/>
  <c r="D1476" i="4"/>
  <c r="G1475" i="4"/>
  <c r="E1475" i="4"/>
  <c r="F1475" i="4" s="1"/>
  <c r="H1475" i="4"/>
  <c r="I1475" i="4" l="1"/>
  <c r="H1476" i="4"/>
  <c r="E1476" i="4"/>
  <c r="F1476" i="4" s="1"/>
  <c r="G1476" i="4"/>
  <c r="C1478" i="4"/>
  <c r="D1477" i="4"/>
  <c r="I1476" i="4" l="1"/>
  <c r="C1479" i="4"/>
  <c r="D1478" i="4"/>
  <c r="G1477" i="4"/>
  <c r="E1477" i="4"/>
  <c r="F1477" i="4" s="1"/>
  <c r="H1477" i="4"/>
  <c r="I1477" i="4" l="1"/>
  <c r="G1478" i="4"/>
  <c r="E1478" i="4"/>
  <c r="F1478" i="4" s="1"/>
  <c r="H1478" i="4"/>
  <c r="C1480" i="4"/>
  <c r="D1479" i="4"/>
  <c r="I1478" i="4" l="1"/>
  <c r="C1481" i="4"/>
  <c r="D1480" i="4"/>
  <c r="G1479" i="4"/>
  <c r="H1479" i="4"/>
  <c r="E1479" i="4"/>
  <c r="F1479" i="4" s="1"/>
  <c r="I1479" i="4" l="1"/>
  <c r="G1480" i="4"/>
  <c r="E1480" i="4"/>
  <c r="F1480" i="4" s="1"/>
  <c r="H1480" i="4"/>
  <c r="C1482" i="4"/>
  <c r="D1481" i="4"/>
  <c r="I1480" i="4" l="1"/>
  <c r="E1481" i="4"/>
  <c r="F1481" i="4" s="1"/>
  <c r="H1481" i="4"/>
  <c r="G1481" i="4"/>
  <c r="C1483" i="4"/>
  <c r="D1482" i="4"/>
  <c r="C1484" i="4" l="1"/>
  <c r="D1483" i="4"/>
  <c r="I1481" i="4"/>
  <c r="G1482" i="4"/>
  <c r="E1482" i="4"/>
  <c r="F1482" i="4" s="1"/>
  <c r="H1482" i="4"/>
  <c r="I1482" i="4" l="1"/>
  <c r="E1483" i="4"/>
  <c r="F1483" i="4" s="1"/>
  <c r="G1483" i="4"/>
  <c r="H1483" i="4"/>
  <c r="C1485" i="4"/>
  <c r="D1484" i="4"/>
  <c r="I1483" i="4" l="1"/>
  <c r="E1484" i="4"/>
  <c r="F1484" i="4" s="1"/>
  <c r="H1484" i="4" s="1"/>
  <c r="G1484" i="4"/>
  <c r="C1486" i="4"/>
  <c r="D1485" i="4"/>
  <c r="C1487" i="4" l="1"/>
  <c r="D1486" i="4"/>
  <c r="I1484" i="4"/>
  <c r="G1485" i="4"/>
  <c r="E1485" i="4"/>
  <c r="F1485" i="4" s="1"/>
  <c r="H1485" i="4"/>
  <c r="I1485" i="4" l="1"/>
  <c r="E1486" i="4"/>
  <c r="F1486" i="4" s="1"/>
  <c r="G1486" i="4"/>
  <c r="H1486" i="4"/>
  <c r="C1488" i="4"/>
  <c r="D1487" i="4"/>
  <c r="I1486" i="4" l="1"/>
  <c r="G1487" i="4"/>
  <c r="E1487" i="4"/>
  <c r="F1487" i="4" s="1"/>
  <c r="H1487" i="4" s="1"/>
  <c r="C1489" i="4"/>
  <c r="D1488" i="4"/>
  <c r="I1487" i="4" l="1"/>
  <c r="C1490" i="4"/>
  <c r="D1489" i="4"/>
  <c r="G1488" i="4"/>
  <c r="E1488" i="4"/>
  <c r="F1488" i="4" s="1"/>
  <c r="H1488" i="4" s="1"/>
  <c r="I1488" i="4" l="1"/>
  <c r="E1489" i="4"/>
  <c r="F1489" i="4" s="1"/>
  <c r="G1489" i="4"/>
  <c r="H1489" i="4"/>
  <c r="C1491" i="4"/>
  <c r="D1490" i="4"/>
  <c r="I1489" i="4" l="1"/>
  <c r="C1492" i="4"/>
  <c r="D1491" i="4"/>
  <c r="G1490" i="4"/>
  <c r="E1490" i="4"/>
  <c r="F1490" i="4" s="1"/>
  <c r="H1490" i="4"/>
  <c r="I1490" i="4" l="1"/>
  <c r="E1491" i="4"/>
  <c r="F1491" i="4" s="1"/>
  <c r="H1491" i="4"/>
  <c r="G1491" i="4"/>
  <c r="C1493" i="4"/>
  <c r="D1492" i="4"/>
  <c r="G1492" i="4" l="1"/>
  <c r="E1492" i="4"/>
  <c r="F1492" i="4" s="1"/>
  <c r="H1492" i="4"/>
  <c r="C1494" i="4"/>
  <c r="D1493" i="4"/>
  <c r="I1491" i="4"/>
  <c r="I1492" i="4" l="1"/>
  <c r="G1493" i="4"/>
  <c r="E1493" i="4"/>
  <c r="F1493" i="4" s="1"/>
  <c r="H1493" i="4"/>
  <c r="C1495" i="4"/>
  <c r="D1494" i="4"/>
  <c r="C1496" i="4" l="1"/>
  <c r="D1495" i="4"/>
  <c r="E1494" i="4"/>
  <c r="F1494" i="4" s="1"/>
  <c r="G1494" i="4"/>
  <c r="H1494" i="4"/>
  <c r="I1493" i="4"/>
  <c r="I1494" i="4" l="1"/>
  <c r="E1495" i="4"/>
  <c r="F1495" i="4" s="1"/>
  <c r="G1495" i="4"/>
  <c r="H1495" i="4"/>
  <c r="C1497" i="4"/>
  <c r="D1496" i="4"/>
  <c r="I1495" i="4" l="1"/>
  <c r="G1496" i="4"/>
  <c r="E1496" i="4"/>
  <c r="F1496" i="4" s="1"/>
  <c r="H1496" i="4"/>
  <c r="C1498" i="4"/>
  <c r="D1497" i="4"/>
  <c r="I1496" i="4" l="1"/>
  <c r="E1497" i="4"/>
  <c r="F1497" i="4" s="1"/>
  <c r="G1497" i="4"/>
  <c r="H1497" i="4"/>
  <c r="C1499" i="4"/>
  <c r="D1498" i="4"/>
  <c r="C1500" i="4" l="1"/>
  <c r="D1499" i="4"/>
  <c r="E1498" i="4"/>
  <c r="F1498" i="4" s="1"/>
  <c r="H1498" i="4" s="1"/>
  <c r="G1498" i="4"/>
  <c r="I1497" i="4"/>
  <c r="I1498" i="4" l="1"/>
  <c r="E1499" i="4"/>
  <c r="F1499" i="4" s="1"/>
  <c r="H1499" i="4"/>
  <c r="G1499" i="4"/>
  <c r="C1501" i="4"/>
  <c r="D1500" i="4"/>
  <c r="I1499" i="4" l="1"/>
  <c r="G1500" i="4"/>
  <c r="E1500" i="4"/>
  <c r="F1500" i="4" s="1"/>
  <c r="H1500" i="4" s="1"/>
  <c r="C1502" i="4"/>
  <c r="D1501" i="4"/>
  <c r="I1500" i="4" l="1"/>
  <c r="E1501" i="4"/>
  <c r="F1501" i="4" s="1"/>
  <c r="H1501" i="4" s="1"/>
  <c r="G1501" i="4"/>
  <c r="C1503" i="4"/>
  <c r="D1502" i="4"/>
  <c r="I1501" i="4" l="1"/>
  <c r="E1502" i="4"/>
  <c r="F1502" i="4" s="1"/>
  <c r="H1502" i="4"/>
  <c r="G1502" i="4"/>
  <c r="C1504" i="4"/>
  <c r="D1503" i="4"/>
  <c r="I1502" i="4" l="1"/>
  <c r="E1503" i="4"/>
  <c r="F1503" i="4" s="1"/>
  <c r="H1503" i="4"/>
  <c r="G1503" i="4"/>
  <c r="C1505" i="4"/>
  <c r="D1504" i="4"/>
  <c r="I1503" i="4" l="1"/>
  <c r="H1504" i="4"/>
  <c r="G1504" i="4"/>
  <c r="E1504" i="4"/>
  <c r="F1504" i="4" s="1"/>
  <c r="C1506" i="4"/>
  <c r="D1505" i="4"/>
  <c r="I1504" i="4" l="1"/>
  <c r="H1505" i="4"/>
  <c r="E1505" i="4"/>
  <c r="F1505" i="4" s="1"/>
  <c r="G1505" i="4"/>
  <c r="C1507" i="4"/>
  <c r="D1506" i="4"/>
  <c r="I1505" i="4" l="1"/>
  <c r="H1506" i="4"/>
  <c r="E1506" i="4"/>
  <c r="F1506" i="4" s="1"/>
  <c r="G1506" i="4"/>
  <c r="C1508" i="4"/>
  <c r="D1507" i="4"/>
  <c r="I1506" i="4" l="1"/>
  <c r="E1507" i="4"/>
  <c r="F1507" i="4" s="1"/>
  <c r="H1507" i="4"/>
  <c r="G1507" i="4"/>
  <c r="C1509" i="4"/>
  <c r="D1508" i="4"/>
  <c r="G1508" i="4" l="1"/>
  <c r="E1508" i="4"/>
  <c r="F1508" i="4" s="1"/>
  <c r="H1508" i="4"/>
  <c r="C1510" i="4"/>
  <c r="D1509" i="4"/>
  <c r="I1507" i="4"/>
  <c r="I1508" i="4" l="1"/>
  <c r="E1509" i="4"/>
  <c r="F1509" i="4" s="1"/>
  <c r="G1509" i="4"/>
  <c r="H1509" i="4"/>
  <c r="C1511" i="4"/>
  <c r="D1510" i="4"/>
  <c r="I1509" i="4" l="1"/>
  <c r="H1510" i="4"/>
  <c r="G1510" i="4"/>
  <c r="E1510" i="4"/>
  <c r="F1510" i="4" s="1"/>
  <c r="C1512" i="4"/>
  <c r="D1511" i="4"/>
  <c r="I1510" i="4" l="1"/>
  <c r="C1513" i="4"/>
  <c r="D1512" i="4"/>
  <c r="E1511" i="4"/>
  <c r="F1511" i="4" s="1"/>
  <c r="G1511" i="4"/>
  <c r="H1511" i="4"/>
  <c r="I1511" i="4" l="1"/>
  <c r="G1512" i="4"/>
  <c r="E1512" i="4"/>
  <c r="F1512" i="4" s="1"/>
  <c r="H1512" i="4"/>
  <c r="C1514" i="4"/>
  <c r="D1513" i="4"/>
  <c r="I1512" i="4" l="1"/>
  <c r="H1513" i="4"/>
  <c r="E1513" i="4"/>
  <c r="F1513" i="4" s="1"/>
  <c r="G1513" i="4"/>
  <c r="C1515" i="4"/>
  <c r="D1514" i="4"/>
  <c r="I1513" i="4" l="1"/>
  <c r="C1516" i="4"/>
  <c r="D1515" i="4"/>
  <c r="G1514" i="4"/>
  <c r="H1514" i="4"/>
  <c r="E1514" i="4"/>
  <c r="F1514" i="4" s="1"/>
  <c r="I1514" i="4" l="1"/>
  <c r="E1515" i="4"/>
  <c r="F1515" i="4" s="1"/>
  <c r="G1515" i="4"/>
  <c r="H1515" i="4"/>
  <c r="C1517" i="4"/>
  <c r="D1516" i="4"/>
  <c r="I1515" i="4" l="1"/>
  <c r="G1516" i="4"/>
  <c r="H1516" i="4"/>
  <c r="E1516" i="4"/>
  <c r="F1516" i="4" s="1"/>
  <c r="C1518" i="4"/>
  <c r="D1517" i="4"/>
  <c r="I1516" i="4" l="1"/>
  <c r="G1517" i="4"/>
  <c r="E1517" i="4"/>
  <c r="F1517" i="4" s="1"/>
  <c r="H1517" i="4"/>
  <c r="C1519" i="4"/>
  <c r="D1518" i="4"/>
  <c r="I1517" i="4" l="1"/>
  <c r="E1518" i="4"/>
  <c r="F1518" i="4" s="1"/>
  <c r="G1518" i="4"/>
  <c r="H1518" i="4"/>
  <c r="C1520" i="4"/>
  <c r="D1519" i="4"/>
  <c r="I1518" i="4" l="1"/>
  <c r="C1521" i="4"/>
  <c r="D1520" i="4"/>
  <c r="E1519" i="4"/>
  <c r="F1519" i="4" s="1"/>
  <c r="H1519" i="4"/>
  <c r="G1519" i="4"/>
  <c r="I1519" i="4" l="1"/>
  <c r="G1520" i="4"/>
  <c r="E1520" i="4"/>
  <c r="F1520" i="4" s="1"/>
  <c r="H1520" i="4"/>
  <c r="C1522" i="4"/>
  <c r="D1521" i="4"/>
  <c r="I1520" i="4" l="1"/>
  <c r="G1521" i="4"/>
  <c r="E1521" i="4"/>
  <c r="F1521" i="4" s="1"/>
  <c r="H1521" i="4"/>
  <c r="C1523" i="4"/>
  <c r="D1522" i="4"/>
  <c r="I1521" i="4" l="1"/>
  <c r="G1522" i="4"/>
  <c r="E1522" i="4"/>
  <c r="F1522" i="4" s="1"/>
  <c r="H1522" i="4"/>
  <c r="C1524" i="4"/>
  <c r="D1523" i="4"/>
  <c r="I1522" i="4" l="1"/>
  <c r="G1523" i="4"/>
  <c r="E1523" i="4"/>
  <c r="F1523" i="4" s="1"/>
  <c r="H1523" i="4" s="1"/>
  <c r="C1525" i="4"/>
  <c r="D1524" i="4"/>
  <c r="I1523" i="4" l="1"/>
  <c r="G1524" i="4"/>
  <c r="E1524" i="4"/>
  <c r="F1524" i="4" s="1"/>
  <c r="H1524" i="4" s="1"/>
  <c r="C1526" i="4"/>
  <c r="D1525" i="4"/>
  <c r="G1525" i="4" l="1"/>
  <c r="E1525" i="4"/>
  <c r="F1525" i="4" s="1"/>
  <c r="H1525" i="4"/>
  <c r="C1527" i="4"/>
  <c r="D1526" i="4"/>
  <c r="I1524" i="4"/>
  <c r="I1525" i="4" l="1"/>
  <c r="G1526" i="4"/>
  <c r="E1526" i="4"/>
  <c r="F1526" i="4" s="1"/>
  <c r="H1526" i="4"/>
  <c r="C1528" i="4"/>
  <c r="D1527" i="4"/>
  <c r="I1526" i="4" l="1"/>
  <c r="E1527" i="4"/>
  <c r="F1527" i="4" s="1"/>
  <c r="G1527" i="4"/>
  <c r="H1527" i="4"/>
  <c r="C1529" i="4"/>
  <c r="D1528" i="4"/>
  <c r="G1528" i="4" l="1"/>
  <c r="E1528" i="4"/>
  <c r="F1528" i="4" s="1"/>
  <c r="H1528" i="4" s="1"/>
  <c r="C1530" i="4"/>
  <c r="D1529" i="4"/>
  <c r="I1527" i="4"/>
  <c r="C1531" i="4" l="1"/>
  <c r="D1530" i="4"/>
  <c r="G1529" i="4"/>
  <c r="E1529" i="4"/>
  <c r="F1529" i="4" s="1"/>
  <c r="H1529" i="4" s="1"/>
  <c r="I1528" i="4"/>
  <c r="I1529" i="4" l="1"/>
  <c r="G1530" i="4"/>
  <c r="E1530" i="4"/>
  <c r="F1530" i="4" s="1"/>
  <c r="H1530" i="4"/>
  <c r="C1532" i="4"/>
  <c r="D1531" i="4"/>
  <c r="I1530" i="4" l="1"/>
  <c r="G1531" i="4"/>
  <c r="E1531" i="4"/>
  <c r="F1531" i="4" s="1"/>
  <c r="H1531" i="4" s="1"/>
  <c r="C1533" i="4"/>
  <c r="D1532" i="4"/>
  <c r="I1531" i="4" l="1"/>
  <c r="E1532" i="4"/>
  <c r="F1532" i="4" s="1"/>
  <c r="G1532" i="4"/>
  <c r="H1532" i="4"/>
  <c r="C1534" i="4"/>
  <c r="D1533" i="4"/>
  <c r="C1535" i="4" l="1"/>
  <c r="D1534" i="4"/>
  <c r="I1532" i="4"/>
  <c r="E1533" i="4"/>
  <c r="F1533" i="4" s="1"/>
  <c r="G1533" i="4"/>
  <c r="H1533" i="4"/>
  <c r="I1533" i="4" l="1"/>
  <c r="E1534" i="4"/>
  <c r="F1534" i="4" s="1"/>
  <c r="G1534" i="4"/>
  <c r="H1534" i="4"/>
  <c r="C1536" i="4"/>
  <c r="D1535" i="4"/>
  <c r="G1535" i="4" l="1"/>
  <c r="E1535" i="4"/>
  <c r="F1535" i="4" s="1"/>
  <c r="H1535" i="4" s="1"/>
  <c r="C1537" i="4"/>
  <c r="D1536" i="4"/>
  <c r="I1534" i="4"/>
  <c r="G1536" i="4" l="1"/>
  <c r="E1536" i="4"/>
  <c r="F1536" i="4" s="1"/>
  <c r="H1536" i="4" s="1"/>
  <c r="C1538" i="4"/>
  <c r="D1537" i="4"/>
  <c r="I1535" i="4"/>
  <c r="E1537" i="4" l="1"/>
  <c r="F1537" i="4" s="1"/>
  <c r="G1537" i="4"/>
  <c r="H1537" i="4"/>
  <c r="C1539" i="4"/>
  <c r="D1538" i="4"/>
  <c r="I1536" i="4"/>
  <c r="I1537" i="4" l="1"/>
  <c r="C1540" i="4"/>
  <c r="D1539" i="4"/>
  <c r="E1538" i="4"/>
  <c r="F1538" i="4" s="1"/>
  <c r="H1538" i="4"/>
  <c r="G1538" i="4"/>
  <c r="I1538" i="4" l="1"/>
  <c r="E1539" i="4"/>
  <c r="F1539" i="4" s="1"/>
  <c r="H1539" i="4"/>
  <c r="G1539" i="4"/>
  <c r="C1541" i="4"/>
  <c r="D1540" i="4"/>
  <c r="I1539" i="4" l="1"/>
  <c r="C1542" i="4"/>
  <c r="D1541" i="4"/>
  <c r="E1540" i="4"/>
  <c r="F1540" i="4" s="1"/>
  <c r="H1540" i="4"/>
  <c r="G1540" i="4"/>
  <c r="I1540" i="4" l="1"/>
  <c r="H1541" i="4"/>
  <c r="E1541" i="4"/>
  <c r="F1541" i="4" s="1"/>
  <c r="G1541" i="4"/>
  <c r="C1543" i="4"/>
  <c r="D1542" i="4"/>
  <c r="I1541" i="4" l="1"/>
  <c r="H1542" i="4"/>
  <c r="E1542" i="4"/>
  <c r="F1542" i="4" s="1"/>
  <c r="G1542" i="4"/>
  <c r="C1544" i="4"/>
  <c r="D1543" i="4"/>
  <c r="I1542" i="4" l="1"/>
  <c r="H1543" i="4"/>
  <c r="E1543" i="4"/>
  <c r="F1543" i="4" s="1"/>
  <c r="G1543" i="4"/>
  <c r="C1545" i="4"/>
  <c r="D1544" i="4"/>
  <c r="I1543" i="4" l="1"/>
  <c r="H1544" i="4"/>
  <c r="E1544" i="4"/>
  <c r="F1544" i="4" s="1"/>
  <c r="G1544" i="4"/>
  <c r="C1546" i="4"/>
  <c r="D1545" i="4"/>
  <c r="I1544" i="4" l="1"/>
  <c r="E1545" i="4"/>
  <c r="F1545" i="4" s="1"/>
  <c r="H1545" i="4"/>
  <c r="G1545" i="4"/>
  <c r="C1547" i="4"/>
  <c r="D1546" i="4"/>
  <c r="I1545" i="4" l="1"/>
  <c r="E1546" i="4"/>
  <c r="F1546" i="4" s="1"/>
  <c r="H1546" i="4"/>
  <c r="G1546" i="4"/>
  <c r="C1548" i="4"/>
  <c r="D1547" i="4"/>
  <c r="I1546" i="4" l="1"/>
  <c r="G1547" i="4"/>
  <c r="E1547" i="4"/>
  <c r="F1547" i="4" s="1"/>
  <c r="H1547" i="4"/>
  <c r="C1549" i="4"/>
  <c r="D1548" i="4"/>
  <c r="I1547" i="4" l="1"/>
  <c r="E1548" i="4"/>
  <c r="F1548" i="4" s="1"/>
  <c r="G1548" i="4"/>
  <c r="H1548" i="4"/>
  <c r="C1550" i="4"/>
  <c r="D1549" i="4"/>
  <c r="I1548" i="4" l="1"/>
  <c r="G1549" i="4"/>
  <c r="E1549" i="4"/>
  <c r="F1549" i="4" s="1"/>
  <c r="H1549" i="4"/>
  <c r="C1551" i="4"/>
  <c r="D1550" i="4"/>
  <c r="I1549" i="4" l="1"/>
  <c r="H1550" i="4"/>
  <c r="G1550" i="4"/>
  <c r="E1550" i="4"/>
  <c r="F1550" i="4" s="1"/>
  <c r="C1552" i="4"/>
  <c r="D1551" i="4"/>
  <c r="I1550" i="4" l="1"/>
  <c r="C1553" i="4"/>
  <c r="D1552" i="4"/>
  <c r="H1551" i="4"/>
  <c r="G1551" i="4"/>
  <c r="E1551" i="4"/>
  <c r="F1551" i="4" s="1"/>
  <c r="I1551" i="4" l="1"/>
  <c r="E1552" i="4"/>
  <c r="F1552" i="4" s="1"/>
  <c r="G1552" i="4"/>
  <c r="H1552" i="4"/>
  <c r="C1554" i="4"/>
  <c r="D1553" i="4"/>
  <c r="E1553" i="4" l="1"/>
  <c r="F1553" i="4" s="1"/>
  <c r="G1553" i="4"/>
  <c r="H1553" i="4"/>
  <c r="C1555" i="4"/>
  <c r="D1554" i="4"/>
  <c r="I1552" i="4"/>
  <c r="I1553" i="4" l="1"/>
  <c r="E1554" i="4"/>
  <c r="F1554" i="4" s="1"/>
  <c r="H1554" i="4"/>
  <c r="G1554" i="4"/>
  <c r="C1556" i="4"/>
  <c r="D1555" i="4"/>
  <c r="H1555" i="4" l="1"/>
  <c r="G1555" i="4"/>
  <c r="E1555" i="4"/>
  <c r="F1555" i="4" s="1"/>
  <c r="C1557" i="4"/>
  <c r="D1556" i="4"/>
  <c r="I1554" i="4"/>
  <c r="I1555" i="4" l="1"/>
  <c r="C1558" i="4"/>
  <c r="D1557" i="4"/>
  <c r="G1556" i="4"/>
  <c r="E1556" i="4"/>
  <c r="F1556" i="4" s="1"/>
  <c r="H1556" i="4"/>
  <c r="I1556" i="4" l="1"/>
  <c r="G1557" i="4"/>
  <c r="H1557" i="4"/>
  <c r="E1557" i="4"/>
  <c r="F1557" i="4" s="1"/>
  <c r="C1559" i="4"/>
  <c r="D1558" i="4"/>
  <c r="I1557" i="4" l="1"/>
  <c r="E1558" i="4"/>
  <c r="F1558" i="4" s="1"/>
  <c r="G1558" i="4"/>
  <c r="H1558" i="4"/>
  <c r="C1560" i="4"/>
  <c r="D1559" i="4"/>
  <c r="I1558" i="4" l="1"/>
  <c r="E1559" i="4"/>
  <c r="F1559" i="4" s="1"/>
  <c r="G1559" i="4"/>
  <c r="H1559" i="4"/>
  <c r="C1561" i="4"/>
  <c r="D1560" i="4"/>
  <c r="E1560" i="4" l="1"/>
  <c r="F1560" i="4" s="1"/>
  <c r="G1560" i="4"/>
  <c r="H1560" i="4"/>
  <c r="C1562" i="4"/>
  <c r="D1561" i="4"/>
  <c r="I1559" i="4"/>
  <c r="C1563" i="4" l="1"/>
  <c r="D1562" i="4"/>
  <c r="I1560" i="4"/>
  <c r="E1561" i="4"/>
  <c r="F1561" i="4" s="1"/>
  <c r="G1561" i="4"/>
  <c r="H1561" i="4"/>
  <c r="I1561" i="4" l="1"/>
  <c r="G1562" i="4"/>
  <c r="E1562" i="4"/>
  <c r="F1562" i="4" s="1"/>
  <c r="H1562" i="4"/>
  <c r="C1564" i="4"/>
  <c r="D1563" i="4"/>
  <c r="I1562" i="4" l="1"/>
  <c r="G1563" i="4"/>
  <c r="E1563" i="4"/>
  <c r="F1563" i="4" s="1"/>
  <c r="H1563" i="4"/>
  <c r="C1565" i="4"/>
  <c r="D1564" i="4"/>
  <c r="I1563" i="4" l="1"/>
  <c r="E1564" i="4"/>
  <c r="F1564" i="4" s="1"/>
  <c r="G1564" i="4"/>
  <c r="H1564" i="4"/>
  <c r="C1566" i="4"/>
  <c r="D1565" i="4"/>
  <c r="I1564" i="4" l="1"/>
  <c r="C1567" i="4"/>
  <c r="D1566" i="4"/>
  <c r="E1565" i="4"/>
  <c r="F1565" i="4" s="1"/>
  <c r="G1565" i="4"/>
  <c r="H1565" i="4"/>
  <c r="I1565" i="4" l="1"/>
  <c r="G1566" i="4"/>
  <c r="E1566" i="4"/>
  <c r="F1566" i="4" s="1"/>
  <c r="H1566" i="4" s="1"/>
  <c r="C1568" i="4"/>
  <c r="D1567" i="4"/>
  <c r="G1567" i="4" l="1"/>
  <c r="E1567" i="4"/>
  <c r="F1567" i="4" s="1"/>
  <c r="H1567" i="4" s="1"/>
  <c r="C1569" i="4"/>
  <c r="D1568" i="4"/>
  <c r="I1566" i="4"/>
  <c r="C1570" i="4" l="1"/>
  <c r="D1569" i="4"/>
  <c r="I1567" i="4"/>
  <c r="E1568" i="4"/>
  <c r="F1568" i="4" s="1"/>
  <c r="H1568" i="4" s="1"/>
  <c r="G1568" i="4"/>
  <c r="I1568" i="4" l="1"/>
  <c r="E1569" i="4"/>
  <c r="F1569" i="4" s="1"/>
  <c r="G1569" i="4"/>
  <c r="H1569" i="4"/>
  <c r="C1571" i="4"/>
  <c r="D1570" i="4"/>
  <c r="I1569" i="4" l="1"/>
  <c r="G1570" i="4"/>
  <c r="E1570" i="4"/>
  <c r="F1570" i="4" s="1"/>
  <c r="H1570" i="4"/>
  <c r="C1572" i="4"/>
  <c r="D1571" i="4"/>
  <c r="E1571" i="4" l="1"/>
  <c r="F1571" i="4" s="1"/>
  <c r="H1571" i="4" s="1"/>
  <c r="G1571" i="4"/>
  <c r="C1573" i="4"/>
  <c r="D1572" i="4"/>
  <c r="I1570" i="4"/>
  <c r="G1572" i="4" l="1"/>
  <c r="E1572" i="4"/>
  <c r="F1572" i="4" s="1"/>
  <c r="H1572" i="4" s="1"/>
  <c r="C1574" i="4"/>
  <c r="D1573" i="4"/>
  <c r="I1571" i="4"/>
  <c r="G1573" i="4" l="1"/>
  <c r="E1573" i="4"/>
  <c r="F1573" i="4" s="1"/>
  <c r="H1573" i="4" s="1"/>
  <c r="C1575" i="4"/>
  <c r="D1574" i="4"/>
  <c r="I1572" i="4"/>
  <c r="I1573" i="4" l="1"/>
  <c r="G1574" i="4"/>
  <c r="E1574" i="4"/>
  <c r="F1574" i="4" s="1"/>
  <c r="H1574" i="4"/>
  <c r="C1576" i="4"/>
  <c r="D1575" i="4"/>
  <c r="I1574" i="4" l="1"/>
  <c r="G1575" i="4"/>
  <c r="E1575" i="4"/>
  <c r="F1575" i="4" s="1"/>
  <c r="H1575" i="4"/>
  <c r="C1577" i="4"/>
  <c r="D1576" i="4"/>
  <c r="C1578" i="4" l="1"/>
  <c r="D1577" i="4"/>
  <c r="E1576" i="4"/>
  <c r="F1576" i="4" s="1"/>
  <c r="H1576" i="4" s="1"/>
  <c r="G1576" i="4"/>
  <c r="I1575" i="4"/>
  <c r="I1576" i="4" l="1"/>
  <c r="E1577" i="4"/>
  <c r="F1577" i="4" s="1"/>
  <c r="G1577" i="4"/>
  <c r="H1577" i="4"/>
  <c r="C1579" i="4"/>
  <c r="D1578" i="4"/>
  <c r="C1580" i="4" l="1"/>
  <c r="D1579" i="4"/>
  <c r="I1577" i="4"/>
  <c r="E1578" i="4"/>
  <c r="F1578" i="4" s="1"/>
  <c r="H1578" i="4"/>
  <c r="G1578" i="4"/>
  <c r="I1578" i="4" l="1"/>
  <c r="H1579" i="4"/>
  <c r="E1579" i="4"/>
  <c r="F1579" i="4" s="1"/>
  <c r="G1579" i="4"/>
  <c r="C1581" i="4"/>
  <c r="D1580" i="4"/>
  <c r="I1579" i="4" l="1"/>
  <c r="E1580" i="4"/>
  <c r="F1580" i="4" s="1"/>
  <c r="H1580" i="4"/>
  <c r="G1580" i="4"/>
  <c r="C1582" i="4"/>
  <c r="D1581" i="4"/>
  <c r="I1580" i="4" l="1"/>
  <c r="H1581" i="4"/>
  <c r="E1581" i="4"/>
  <c r="F1581" i="4" s="1"/>
  <c r="G1581" i="4"/>
  <c r="C1583" i="4"/>
  <c r="D1582" i="4"/>
  <c r="I1581" i="4" l="1"/>
  <c r="H1582" i="4"/>
  <c r="E1582" i="4"/>
  <c r="F1582" i="4" s="1"/>
  <c r="G1582" i="4"/>
  <c r="C1584" i="4"/>
  <c r="D1583" i="4"/>
  <c r="I1582" i="4" l="1"/>
  <c r="H1583" i="4"/>
  <c r="E1583" i="4"/>
  <c r="F1583" i="4" s="1"/>
  <c r="G1583" i="4"/>
  <c r="C1585" i="4"/>
  <c r="D1584" i="4"/>
  <c r="I1583" i="4" l="1"/>
  <c r="E1584" i="4"/>
  <c r="F1584" i="4" s="1"/>
  <c r="H1584" i="4"/>
  <c r="G1584" i="4"/>
  <c r="C1586" i="4"/>
  <c r="D1585" i="4"/>
  <c r="I1584" i="4" l="1"/>
  <c r="C1587" i="4"/>
  <c r="D1586" i="4"/>
  <c r="E1585" i="4"/>
  <c r="F1585" i="4" s="1"/>
  <c r="H1585" i="4"/>
  <c r="G1585" i="4"/>
  <c r="I1585" i="4" l="1"/>
  <c r="H1586" i="4"/>
  <c r="E1586" i="4"/>
  <c r="F1586" i="4" s="1"/>
  <c r="G1586" i="4"/>
  <c r="C1588" i="4"/>
  <c r="D1587" i="4"/>
  <c r="I1586" i="4" l="1"/>
  <c r="H1587" i="4"/>
  <c r="G1587" i="4"/>
  <c r="E1587" i="4"/>
  <c r="F1587" i="4" s="1"/>
  <c r="C1589" i="4"/>
  <c r="D1588" i="4"/>
  <c r="I1587" i="4" l="1"/>
  <c r="C1590" i="4"/>
  <c r="D1589" i="4"/>
  <c r="H1588" i="4"/>
  <c r="G1588" i="4"/>
  <c r="E1588" i="4"/>
  <c r="F1588" i="4" s="1"/>
  <c r="I1588" i="4" l="1"/>
  <c r="G1589" i="4"/>
  <c r="H1589" i="4"/>
  <c r="E1589" i="4"/>
  <c r="F1589" i="4" s="1"/>
  <c r="C1591" i="4"/>
  <c r="D1590" i="4"/>
  <c r="I1589" i="4" l="1"/>
  <c r="C1592" i="4"/>
  <c r="D1591" i="4"/>
  <c r="E1590" i="4"/>
  <c r="F1590" i="4" s="1"/>
  <c r="G1590" i="4"/>
  <c r="H1590" i="4"/>
  <c r="I1590" i="4" l="1"/>
  <c r="G1591" i="4"/>
  <c r="E1591" i="4"/>
  <c r="F1591" i="4" s="1"/>
  <c r="H1591" i="4"/>
  <c r="C1593" i="4"/>
  <c r="D1592" i="4"/>
  <c r="H1592" i="4" l="1"/>
  <c r="G1592" i="4"/>
  <c r="E1592" i="4"/>
  <c r="F1592" i="4" s="1"/>
  <c r="C1594" i="4"/>
  <c r="D1593" i="4"/>
  <c r="I1591" i="4"/>
  <c r="C1595" i="4" l="1"/>
  <c r="D1594" i="4"/>
  <c r="G1593" i="4"/>
  <c r="E1593" i="4"/>
  <c r="F1593" i="4" s="1"/>
  <c r="H1593" i="4"/>
  <c r="I1592" i="4"/>
  <c r="I1593" i="4" l="1"/>
  <c r="G1594" i="4"/>
  <c r="E1594" i="4"/>
  <c r="F1594" i="4" s="1"/>
  <c r="H1594" i="4"/>
  <c r="C1596" i="4"/>
  <c r="D1595" i="4"/>
  <c r="I1594" i="4" l="1"/>
  <c r="H1595" i="4"/>
  <c r="G1595" i="4"/>
  <c r="E1595" i="4"/>
  <c r="F1595" i="4" s="1"/>
  <c r="C1597" i="4"/>
  <c r="D1596" i="4"/>
  <c r="C1598" i="4" l="1"/>
  <c r="D1597" i="4"/>
  <c r="E1596" i="4"/>
  <c r="F1596" i="4" s="1"/>
  <c r="G1596" i="4"/>
  <c r="H1596" i="4"/>
  <c r="I1595" i="4"/>
  <c r="I1596" i="4" l="1"/>
  <c r="E1597" i="4"/>
  <c r="F1597" i="4" s="1"/>
  <c r="G1597" i="4"/>
  <c r="H1597" i="4"/>
  <c r="C1599" i="4"/>
  <c r="D1598" i="4"/>
  <c r="C1600" i="4" l="1"/>
  <c r="D1599" i="4"/>
  <c r="G1598" i="4"/>
  <c r="E1598" i="4"/>
  <c r="F1598" i="4" s="1"/>
  <c r="H1598" i="4"/>
  <c r="I1597" i="4"/>
  <c r="I1598" i="4" l="1"/>
  <c r="G1599" i="4"/>
  <c r="E1599" i="4"/>
  <c r="F1599" i="4" s="1"/>
  <c r="H1599" i="4" s="1"/>
  <c r="C1601" i="4"/>
  <c r="D1600" i="4"/>
  <c r="I1599" i="4" l="1"/>
  <c r="E1600" i="4"/>
  <c r="F1600" i="4" s="1"/>
  <c r="G1600" i="4"/>
  <c r="H1600" i="4"/>
  <c r="C1602" i="4"/>
  <c r="D1601" i="4"/>
  <c r="C1603" i="4" l="1"/>
  <c r="D1602" i="4"/>
  <c r="I1600" i="4"/>
  <c r="G1601" i="4"/>
  <c r="E1601" i="4"/>
  <c r="F1601" i="4" s="1"/>
  <c r="H1601" i="4"/>
  <c r="I1601" i="4" l="1"/>
  <c r="G1602" i="4"/>
  <c r="E1602" i="4"/>
  <c r="F1602" i="4" s="1"/>
  <c r="H1602" i="4"/>
  <c r="C1604" i="4"/>
  <c r="D1603" i="4"/>
  <c r="I1602" i="4" l="1"/>
  <c r="G1603" i="4"/>
  <c r="E1603" i="4"/>
  <c r="F1603" i="4" s="1"/>
  <c r="H1603" i="4" s="1"/>
  <c r="C1605" i="4"/>
  <c r="D1604" i="4"/>
  <c r="I1603" i="4" l="1"/>
  <c r="E1604" i="4"/>
  <c r="F1604" i="4" s="1"/>
  <c r="G1604" i="4"/>
  <c r="H1604" i="4"/>
  <c r="C1606" i="4"/>
  <c r="D1605" i="4"/>
  <c r="G1605" i="4" l="1"/>
  <c r="E1605" i="4"/>
  <c r="F1605" i="4" s="1"/>
  <c r="H1605" i="4"/>
  <c r="C1607" i="4"/>
  <c r="D1606" i="4"/>
  <c r="I1604" i="4"/>
  <c r="I1605" i="4" l="1"/>
  <c r="G1606" i="4"/>
  <c r="E1606" i="4"/>
  <c r="F1606" i="4" s="1"/>
  <c r="H1606" i="4"/>
  <c r="C1608" i="4"/>
  <c r="D1607" i="4"/>
  <c r="I1606" i="4" l="1"/>
  <c r="G1607" i="4"/>
  <c r="E1607" i="4"/>
  <c r="F1607" i="4" s="1"/>
  <c r="H1607" i="4" s="1"/>
  <c r="C1609" i="4"/>
  <c r="D1608" i="4"/>
  <c r="E1608" i="4" l="1"/>
  <c r="F1608" i="4" s="1"/>
  <c r="H1608" i="4" s="1"/>
  <c r="G1608" i="4"/>
  <c r="C1610" i="4"/>
  <c r="D1609" i="4"/>
  <c r="I1607" i="4"/>
  <c r="G1609" i="4" l="1"/>
  <c r="E1609" i="4"/>
  <c r="F1609" i="4" s="1"/>
  <c r="H1609" i="4"/>
  <c r="I1608" i="4"/>
  <c r="C1611" i="4"/>
  <c r="D1610" i="4"/>
  <c r="I1609" i="4" l="1"/>
  <c r="C1612" i="4"/>
  <c r="D1611" i="4"/>
  <c r="G1610" i="4"/>
  <c r="E1610" i="4"/>
  <c r="F1610" i="4" s="1"/>
  <c r="H1610" i="4"/>
  <c r="I1610" i="4" l="1"/>
  <c r="G1611" i="4"/>
  <c r="E1611" i="4"/>
  <c r="F1611" i="4" s="1"/>
  <c r="H1611" i="4" s="1"/>
  <c r="C1613" i="4"/>
  <c r="D1612" i="4"/>
  <c r="E1612" i="4" l="1"/>
  <c r="F1612" i="4" s="1"/>
  <c r="H1612" i="4" s="1"/>
  <c r="G1612" i="4"/>
  <c r="I1611" i="4"/>
  <c r="C1614" i="4"/>
  <c r="D1613" i="4"/>
  <c r="C1615" i="4" l="1"/>
  <c r="D1614" i="4"/>
  <c r="G1613" i="4"/>
  <c r="E1613" i="4"/>
  <c r="F1613" i="4" s="1"/>
  <c r="H1613" i="4"/>
  <c r="I1612" i="4"/>
  <c r="I1613" i="4" l="1"/>
  <c r="G1614" i="4"/>
  <c r="E1614" i="4"/>
  <c r="F1614" i="4" s="1"/>
  <c r="H1614" i="4"/>
  <c r="C1616" i="4"/>
  <c r="D1615" i="4"/>
  <c r="I1614" i="4" l="1"/>
  <c r="G1615" i="4"/>
  <c r="E1615" i="4"/>
  <c r="F1615" i="4" s="1"/>
  <c r="H1615" i="4"/>
  <c r="C1617" i="4"/>
  <c r="D1616" i="4"/>
  <c r="I1615" i="4" l="1"/>
  <c r="C1618" i="4"/>
  <c r="D1617" i="4"/>
  <c r="E1616" i="4"/>
  <c r="F1616" i="4" s="1"/>
  <c r="H1616" i="4"/>
  <c r="G1616" i="4"/>
  <c r="I1616" i="4" l="1"/>
  <c r="G1617" i="4"/>
  <c r="E1617" i="4"/>
  <c r="F1617" i="4" s="1"/>
  <c r="H1617" i="4"/>
  <c r="C1619" i="4"/>
  <c r="D1618" i="4"/>
  <c r="I1617" i="4" l="1"/>
  <c r="C1620" i="4"/>
  <c r="D1619" i="4"/>
  <c r="H1618" i="4"/>
  <c r="E1618" i="4"/>
  <c r="F1618" i="4" s="1"/>
  <c r="G1618" i="4"/>
  <c r="I1618" i="4" l="1"/>
  <c r="H1619" i="4"/>
  <c r="E1619" i="4"/>
  <c r="F1619" i="4" s="1"/>
  <c r="G1619" i="4"/>
  <c r="C1621" i="4"/>
  <c r="D1620" i="4"/>
  <c r="I1619" i="4" l="1"/>
  <c r="E1620" i="4"/>
  <c r="F1620" i="4" s="1"/>
  <c r="H1620" i="4"/>
  <c r="G1620" i="4"/>
  <c r="C1622" i="4"/>
  <c r="D1621" i="4"/>
  <c r="I1620" i="4" l="1"/>
  <c r="H1621" i="4"/>
  <c r="E1621" i="4"/>
  <c r="F1621" i="4" s="1"/>
  <c r="G1621" i="4"/>
  <c r="C1623" i="4"/>
  <c r="D1622" i="4"/>
  <c r="I1621" i="4" l="1"/>
  <c r="H1622" i="4"/>
  <c r="E1622" i="4"/>
  <c r="F1622" i="4" s="1"/>
  <c r="G1622" i="4"/>
  <c r="C1624" i="4"/>
  <c r="D1623" i="4"/>
  <c r="I1622" i="4" l="1"/>
  <c r="H1623" i="4"/>
  <c r="E1623" i="4"/>
  <c r="F1623" i="4" s="1"/>
  <c r="G1623" i="4"/>
  <c r="C1625" i="4"/>
  <c r="D1624" i="4"/>
  <c r="I1623" i="4" l="1"/>
  <c r="E1624" i="4"/>
  <c r="F1624" i="4" s="1"/>
  <c r="H1624" i="4"/>
  <c r="G1624" i="4"/>
  <c r="C1626" i="4"/>
  <c r="D1625" i="4"/>
  <c r="I1624" i="4" l="1"/>
  <c r="H1625" i="4"/>
  <c r="E1625" i="4"/>
  <c r="F1625" i="4" s="1"/>
  <c r="G1625" i="4"/>
  <c r="C1627" i="4"/>
  <c r="D1626" i="4"/>
  <c r="I1625" i="4" l="1"/>
  <c r="H1626" i="4"/>
  <c r="E1626" i="4"/>
  <c r="F1626" i="4" s="1"/>
  <c r="G1626" i="4"/>
  <c r="C1628" i="4"/>
  <c r="D1627" i="4"/>
  <c r="I1626" i="4" l="1"/>
  <c r="G1627" i="4"/>
  <c r="H1627" i="4"/>
  <c r="E1627" i="4"/>
  <c r="F1627" i="4" s="1"/>
  <c r="C1629" i="4"/>
  <c r="D1628" i="4"/>
  <c r="G1628" i="4" l="1"/>
  <c r="E1628" i="4"/>
  <c r="F1628" i="4" s="1"/>
  <c r="H1628" i="4"/>
  <c r="C1630" i="4"/>
  <c r="D1629" i="4"/>
  <c r="I1627" i="4"/>
  <c r="C1631" i="4" l="1"/>
  <c r="D1630" i="4"/>
  <c r="G1629" i="4"/>
  <c r="E1629" i="4"/>
  <c r="F1629" i="4" s="1"/>
  <c r="H1629" i="4"/>
  <c r="I1628" i="4"/>
  <c r="I1629" i="4" l="1"/>
  <c r="E1630" i="4"/>
  <c r="F1630" i="4" s="1"/>
  <c r="G1630" i="4"/>
  <c r="H1630" i="4"/>
  <c r="C1632" i="4"/>
  <c r="D1631" i="4"/>
  <c r="I1630" i="4" l="1"/>
  <c r="G1631" i="4"/>
  <c r="H1631" i="4"/>
  <c r="E1631" i="4"/>
  <c r="F1631" i="4" s="1"/>
  <c r="C1633" i="4"/>
  <c r="D1632" i="4"/>
  <c r="G1632" i="4" l="1"/>
  <c r="H1632" i="4"/>
  <c r="E1632" i="4"/>
  <c r="F1632" i="4" s="1"/>
  <c r="C1634" i="4"/>
  <c r="D1633" i="4"/>
  <c r="I1631" i="4"/>
  <c r="G1633" i="4" l="1"/>
  <c r="H1633" i="4"/>
  <c r="E1633" i="4"/>
  <c r="F1633" i="4" s="1"/>
  <c r="C1635" i="4"/>
  <c r="D1634" i="4"/>
  <c r="I1632" i="4"/>
  <c r="I1633" i="4" l="1"/>
  <c r="G1634" i="4"/>
  <c r="E1634" i="4"/>
  <c r="F1634" i="4" s="1"/>
  <c r="H1634" i="4"/>
  <c r="C1636" i="4"/>
  <c r="D1635" i="4"/>
  <c r="I1634" i="4" l="1"/>
  <c r="E1635" i="4"/>
  <c r="F1635" i="4" s="1"/>
  <c r="H1635" i="4" s="1"/>
  <c r="G1635" i="4"/>
  <c r="C1637" i="4"/>
  <c r="D1636" i="4"/>
  <c r="G1636" i="4" l="1"/>
  <c r="E1636" i="4"/>
  <c r="F1636" i="4" s="1"/>
  <c r="H1636" i="4" s="1"/>
  <c r="C1638" i="4"/>
  <c r="D1637" i="4"/>
  <c r="I1635" i="4"/>
  <c r="G1637" i="4" l="1"/>
  <c r="E1637" i="4"/>
  <c r="F1637" i="4" s="1"/>
  <c r="H1637" i="4"/>
  <c r="C1639" i="4"/>
  <c r="D1638" i="4"/>
  <c r="I1636" i="4"/>
  <c r="I1637" i="4" l="1"/>
  <c r="G1638" i="4"/>
  <c r="E1638" i="4"/>
  <c r="F1638" i="4" s="1"/>
  <c r="H1638" i="4" s="1"/>
  <c r="C1640" i="4"/>
  <c r="D1639" i="4"/>
  <c r="C1641" i="4" l="1"/>
  <c r="D1640" i="4"/>
  <c r="G1639" i="4"/>
  <c r="E1639" i="4"/>
  <c r="F1639" i="4" s="1"/>
  <c r="H1639" i="4"/>
  <c r="I1638" i="4"/>
  <c r="I1639" i="4" l="1"/>
  <c r="G1640" i="4"/>
  <c r="E1640" i="4"/>
  <c r="F1640" i="4" s="1"/>
  <c r="H1640" i="4"/>
  <c r="C1642" i="4"/>
  <c r="D1641" i="4"/>
  <c r="I1640" i="4" l="1"/>
  <c r="G1641" i="4"/>
  <c r="E1641" i="4"/>
  <c r="F1641" i="4" s="1"/>
  <c r="H1641" i="4"/>
  <c r="C1643" i="4"/>
  <c r="D1642" i="4"/>
  <c r="I1641" i="4" l="1"/>
  <c r="G1642" i="4"/>
  <c r="E1642" i="4"/>
  <c r="F1642" i="4" s="1"/>
  <c r="H1642" i="4"/>
  <c r="C1644" i="4"/>
  <c r="D1643" i="4"/>
  <c r="I1642" i="4" l="1"/>
  <c r="C1645" i="4"/>
  <c r="D1644" i="4"/>
  <c r="E1643" i="4"/>
  <c r="F1643" i="4" s="1"/>
  <c r="H1643" i="4"/>
  <c r="G1643" i="4"/>
  <c r="I1643" i="4" l="1"/>
  <c r="G1644" i="4"/>
  <c r="E1644" i="4"/>
  <c r="F1644" i="4" s="1"/>
  <c r="H1644" i="4"/>
  <c r="C1646" i="4"/>
  <c r="D1645" i="4"/>
  <c r="C1647" i="4" l="1"/>
  <c r="D1646" i="4"/>
  <c r="E1645" i="4"/>
  <c r="F1645" i="4" s="1"/>
  <c r="G1645" i="4"/>
  <c r="H1645" i="4"/>
  <c r="I1644" i="4"/>
  <c r="I1645" i="4" l="1"/>
  <c r="E1646" i="4"/>
  <c r="F1646" i="4" s="1"/>
  <c r="H1646" i="4"/>
  <c r="G1646" i="4"/>
  <c r="C1648" i="4"/>
  <c r="D1647" i="4"/>
  <c r="E1647" i="4" l="1"/>
  <c r="F1647" i="4" s="1"/>
  <c r="G1647" i="4"/>
  <c r="H1647" i="4"/>
  <c r="C1649" i="4"/>
  <c r="D1648" i="4"/>
  <c r="I1646" i="4"/>
  <c r="I1647" i="4" l="1"/>
  <c r="G1648" i="4"/>
  <c r="E1648" i="4"/>
  <c r="F1648" i="4" s="1"/>
  <c r="H1648" i="4"/>
  <c r="C1650" i="4"/>
  <c r="D1649" i="4"/>
  <c r="I1648" i="4" l="1"/>
  <c r="E1649" i="4"/>
  <c r="F1649" i="4" s="1"/>
  <c r="H1649" i="4"/>
  <c r="G1649" i="4"/>
  <c r="C1651" i="4"/>
  <c r="D1650" i="4"/>
  <c r="E1650" i="4" l="1"/>
  <c r="F1650" i="4" s="1"/>
  <c r="G1650" i="4"/>
  <c r="H1650" i="4"/>
  <c r="C1652" i="4"/>
  <c r="D1651" i="4"/>
  <c r="I1649" i="4"/>
  <c r="I1650" i="4" l="1"/>
  <c r="E1651" i="4"/>
  <c r="F1651" i="4" s="1"/>
  <c r="G1651" i="4"/>
  <c r="H1651" i="4"/>
  <c r="C1653" i="4"/>
  <c r="D1652" i="4"/>
  <c r="I1651" i="4" l="1"/>
  <c r="G1652" i="4"/>
  <c r="E1652" i="4"/>
  <c r="F1652" i="4" s="1"/>
  <c r="H1652" i="4"/>
  <c r="C1654" i="4"/>
  <c r="D1653" i="4"/>
  <c r="I1652" i="4" l="1"/>
  <c r="G1653" i="4"/>
  <c r="E1653" i="4"/>
  <c r="F1653" i="4" s="1"/>
  <c r="H1653" i="4"/>
  <c r="C1655" i="4"/>
  <c r="D1654" i="4"/>
  <c r="I1653" i="4" l="1"/>
  <c r="E1654" i="4"/>
  <c r="F1654" i="4" s="1"/>
  <c r="G1654" i="4"/>
  <c r="H1654" i="4"/>
  <c r="C1656" i="4"/>
  <c r="D1655" i="4"/>
  <c r="I1654" i="4" l="1"/>
  <c r="H1655" i="4"/>
  <c r="E1655" i="4"/>
  <c r="F1655" i="4" s="1"/>
  <c r="G1655" i="4"/>
  <c r="C1657" i="4"/>
  <c r="D1656" i="4"/>
  <c r="I1655" i="4" l="1"/>
  <c r="G1656" i="4"/>
  <c r="E1656" i="4"/>
  <c r="F1656" i="4" s="1"/>
  <c r="H1656" i="4"/>
  <c r="C1658" i="4"/>
  <c r="D1657" i="4"/>
  <c r="I1656" i="4" l="1"/>
  <c r="E1657" i="4"/>
  <c r="F1657" i="4" s="1"/>
  <c r="G1657" i="4"/>
  <c r="H1657" i="4"/>
  <c r="C1659" i="4"/>
  <c r="D1658" i="4"/>
  <c r="C1660" i="4" l="1"/>
  <c r="D1659" i="4"/>
  <c r="I1657" i="4"/>
  <c r="H1658" i="4"/>
  <c r="E1658" i="4"/>
  <c r="F1658" i="4" s="1"/>
  <c r="G1658" i="4"/>
  <c r="I1658" i="4" l="1"/>
  <c r="H1659" i="4"/>
  <c r="E1659" i="4"/>
  <c r="F1659" i="4" s="1"/>
  <c r="G1659" i="4"/>
  <c r="C1661" i="4"/>
  <c r="D1660" i="4"/>
  <c r="I1659" i="4" l="1"/>
  <c r="H1660" i="4"/>
  <c r="E1660" i="4"/>
  <c r="F1660" i="4" s="1"/>
  <c r="G1660" i="4"/>
  <c r="C1662" i="4"/>
  <c r="D1661" i="4"/>
  <c r="I1660" i="4" l="1"/>
  <c r="E1661" i="4"/>
  <c r="F1661" i="4" s="1"/>
  <c r="H1661" i="4"/>
  <c r="G1661" i="4"/>
  <c r="C1663" i="4"/>
  <c r="D1662" i="4"/>
  <c r="I1661" i="4" l="1"/>
  <c r="H1662" i="4"/>
  <c r="E1662" i="4"/>
  <c r="F1662" i="4" s="1"/>
  <c r="G1662" i="4"/>
  <c r="C1664" i="4"/>
  <c r="D1663" i="4"/>
  <c r="I1662" i="4" l="1"/>
  <c r="E1663" i="4"/>
  <c r="F1663" i="4" s="1"/>
  <c r="H1663" i="4"/>
  <c r="G1663" i="4"/>
  <c r="C1665" i="4"/>
  <c r="D1664" i="4"/>
  <c r="I1663" i="4" l="1"/>
  <c r="H1664" i="4"/>
  <c r="E1664" i="4"/>
  <c r="F1664" i="4" s="1"/>
  <c r="G1664" i="4"/>
  <c r="C1666" i="4"/>
  <c r="D1665" i="4"/>
  <c r="I1664" i="4" l="1"/>
  <c r="E1665" i="4"/>
  <c r="F1665" i="4" s="1"/>
  <c r="H1665" i="4"/>
  <c r="G1665" i="4"/>
  <c r="C1667" i="4"/>
  <c r="D1666" i="4"/>
  <c r="I1665" i="4" l="1"/>
  <c r="E1666" i="4"/>
  <c r="F1666" i="4" s="1"/>
  <c r="H1666" i="4"/>
  <c r="G1666" i="4"/>
  <c r="C1668" i="4"/>
  <c r="D1667" i="4"/>
  <c r="I1666" i="4" l="1"/>
  <c r="E1667" i="4"/>
  <c r="F1667" i="4" s="1"/>
  <c r="G1667" i="4"/>
  <c r="H1667" i="4"/>
  <c r="C1669" i="4"/>
  <c r="D1668" i="4"/>
  <c r="E1668" i="4" l="1"/>
  <c r="F1668" i="4" s="1"/>
  <c r="G1668" i="4"/>
  <c r="H1668" i="4"/>
  <c r="C1670" i="4"/>
  <c r="D1669" i="4"/>
  <c r="I1667" i="4"/>
  <c r="I1668" i="4" l="1"/>
  <c r="G1669" i="4"/>
  <c r="H1669" i="4"/>
  <c r="E1669" i="4"/>
  <c r="F1669" i="4" s="1"/>
  <c r="C1671" i="4"/>
  <c r="D1670" i="4"/>
  <c r="I1669" i="4" l="1"/>
  <c r="H1670" i="4"/>
  <c r="G1670" i="4"/>
  <c r="E1670" i="4"/>
  <c r="F1670" i="4" s="1"/>
  <c r="C1672" i="4"/>
  <c r="D1671" i="4"/>
  <c r="C1673" i="4" l="1"/>
  <c r="D1672" i="4"/>
  <c r="E1671" i="4"/>
  <c r="F1671" i="4" s="1"/>
  <c r="H1671" i="4"/>
  <c r="G1671" i="4"/>
  <c r="I1670" i="4"/>
  <c r="I1671" i="4" l="1"/>
  <c r="H1672" i="4"/>
  <c r="G1672" i="4"/>
  <c r="E1672" i="4"/>
  <c r="F1672" i="4" s="1"/>
  <c r="C1674" i="4"/>
  <c r="D1673" i="4"/>
  <c r="G1673" i="4" l="1"/>
  <c r="E1673" i="4"/>
  <c r="F1673" i="4" s="1"/>
  <c r="H1673" i="4" s="1"/>
  <c r="C1675" i="4"/>
  <c r="D1674" i="4"/>
  <c r="I1672" i="4"/>
  <c r="I1673" i="4" l="1"/>
  <c r="C1676" i="4"/>
  <c r="D1675" i="4"/>
  <c r="E1674" i="4"/>
  <c r="F1674" i="4" s="1"/>
  <c r="G1674" i="4"/>
  <c r="H1674" i="4"/>
  <c r="I1674" i="4" l="1"/>
  <c r="E1675" i="4"/>
  <c r="F1675" i="4" s="1"/>
  <c r="H1675" i="4"/>
  <c r="G1675" i="4"/>
  <c r="C1677" i="4"/>
  <c r="D1676" i="4"/>
  <c r="E1676" i="4" l="1"/>
  <c r="F1676" i="4" s="1"/>
  <c r="H1676" i="4"/>
  <c r="G1676" i="4"/>
  <c r="C1678" i="4"/>
  <c r="D1677" i="4"/>
  <c r="I1675" i="4"/>
  <c r="G1677" i="4" l="1"/>
  <c r="E1677" i="4"/>
  <c r="F1677" i="4" s="1"/>
  <c r="H1677" i="4" s="1"/>
  <c r="C1679" i="4"/>
  <c r="D1678" i="4"/>
  <c r="I1676" i="4"/>
  <c r="G1678" i="4" l="1"/>
  <c r="E1678" i="4"/>
  <c r="F1678" i="4" s="1"/>
  <c r="H1678" i="4"/>
  <c r="C1680" i="4"/>
  <c r="D1679" i="4"/>
  <c r="I1677" i="4"/>
  <c r="I1678" i="4" l="1"/>
  <c r="G1679" i="4"/>
  <c r="E1679" i="4"/>
  <c r="F1679" i="4" s="1"/>
  <c r="H1679" i="4"/>
  <c r="C1681" i="4"/>
  <c r="D1680" i="4"/>
  <c r="I1679" i="4" l="1"/>
  <c r="E1680" i="4"/>
  <c r="F1680" i="4" s="1"/>
  <c r="H1680" i="4"/>
  <c r="G1680" i="4"/>
  <c r="C1682" i="4"/>
  <c r="D1681" i="4"/>
  <c r="C1683" i="4" l="1"/>
  <c r="D1682" i="4"/>
  <c r="E1681" i="4"/>
  <c r="F1681" i="4" s="1"/>
  <c r="G1681" i="4"/>
  <c r="H1681" i="4"/>
  <c r="I1680" i="4"/>
  <c r="I1681" i="4" l="1"/>
  <c r="G1682" i="4"/>
  <c r="E1682" i="4"/>
  <c r="F1682" i="4" s="1"/>
  <c r="H1682" i="4"/>
  <c r="C1684" i="4"/>
  <c r="D1683" i="4"/>
  <c r="I1682" i="4" l="1"/>
  <c r="G1683" i="4"/>
  <c r="E1683" i="4"/>
  <c r="F1683" i="4" s="1"/>
  <c r="H1683" i="4" s="1"/>
  <c r="C1685" i="4"/>
  <c r="D1684" i="4"/>
  <c r="G1684" i="4" l="1"/>
  <c r="E1684" i="4"/>
  <c r="F1684" i="4" s="1"/>
  <c r="H1684" i="4" s="1"/>
  <c r="C1686" i="4"/>
  <c r="D1685" i="4"/>
  <c r="I1683" i="4"/>
  <c r="C1687" i="4" l="1"/>
  <c r="D1686" i="4"/>
  <c r="G1685" i="4"/>
  <c r="E1685" i="4"/>
  <c r="F1685" i="4" s="1"/>
  <c r="H1685" i="4"/>
  <c r="I1684" i="4"/>
  <c r="I1685" i="4" l="1"/>
  <c r="G1686" i="4"/>
  <c r="E1686" i="4"/>
  <c r="F1686" i="4" s="1"/>
  <c r="H1686" i="4"/>
  <c r="C1688" i="4"/>
  <c r="D1687" i="4"/>
  <c r="C1689" i="4" l="1"/>
  <c r="D1688" i="4"/>
  <c r="E1687" i="4"/>
  <c r="F1687" i="4" s="1"/>
  <c r="H1687" i="4" s="1"/>
  <c r="G1687" i="4"/>
  <c r="I1686" i="4"/>
  <c r="I1687" i="4" l="1"/>
  <c r="G1688" i="4"/>
  <c r="E1688" i="4"/>
  <c r="F1688" i="4" s="1"/>
  <c r="H1688" i="4"/>
  <c r="C1690" i="4"/>
  <c r="D1689" i="4"/>
  <c r="E1689" i="4" l="1"/>
  <c r="F1689" i="4" s="1"/>
  <c r="G1689" i="4"/>
  <c r="H1689" i="4"/>
  <c r="C1691" i="4"/>
  <c r="D1690" i="4"/>
  <c r="I1688" i="4"/>
  <c r="I1689" i="4" l="1"/>
  <c r="C1692" i="4"/>
  <c r="D1691" i="4"/>
  <c r="G1690" i="4"/>
  <c r="E1690" i="4"/>
  <c r="F1690" i="4" s="1"/>
  <c r="H1690" i="4"/>
  <c r="I1690" i="4" l="1"/>
  <c r="G1691" i="4"/>
  <c r="E1691" i="4"/>
  <c r="F1691" i="4" s="1"/>
  <c r="H1691" i="4"/>
  <c r="C1693" i="4"/>
  <c r="D1692" i="4"/>
  <c r="I1691" i="4" l="1"/>
  <c r="E1692" i="4"/>
  <c r="F1692" i="4" s="1"/>
  <c r="H1692" i="4"/>
  <c r="G1692" i="4"/>
  <c r="C1694" i="4"/>
  <c r="D1693" i="4"/>
  <c r="E1693" i="4" l="1"/>
  <c r="F1693" i="4" s="1"/>
  <c r="G1693" i="4"/>
  <c r="H1693" i="4"/>
  <c r="C1695" i="4"/>
  <c r="D1694" i="4"/>
  <c r="I1692" i="4"/>
  <c r="I1693" i="4" l="1"/>
  <c r="E1694" i="4"/>
  <c r="F1694" i="4" s="1"/>
  <c r="G1694" i="4"/>
  <c r="H1694" i="4"/>
  <c r="C1696" i="4"/>
  <c r="D1695" i="4"/>
  <c r="I1694" i="4" l="1"/>
  <c r="C1697" i="4"/>
  <c r="D1696" i="4"/>
  <c r="G1695" i="4"/>
  <c r="H1695" i="4"/>
  <c r="E1695" i="4"/>
  <c r="F1695" i="4" s="1"/>
  <c r="I1695" i="4" l="1"/>
  <c r="E1696" i="4"/>
  <c r="F1696" i="4" s="1"/>
  <c r="G1696" i="4"/>
  <c r="H1696" i="4"/>
  <c r="C1698" i="4"/>
  <c r="D1697" i="4"/>
  <c r="I1696" i="4" l="1"/>
  <c r="C1699" i="4"/>
  <c r="D1698" i="4"/>
  <c r="G1697" i="4"/>
  <c r="E1697" i="4"/>
  <c r="F1697" i="4" s="1"/>
  <c r="H1697" i="4"/>
  <c r="I1697" i="4" l="1"/>
  <c r="E1698" i="4"/>
  <c r="F1698" i="4" s="1"/>
  <c r="H1698" i="4"/>
  <c r="G1698" i="4"/>
  <c r="C1700" i="4"/>
  <c r="D1699" i="4"/>
  <c r="I1698" i="4" l="1"/>
  <c r="H1699" i="4"/>
  <c r="E1699" i="4"/>
  <c r="F1699" i="4" s="1"/>
  <c r="G1699" i="4"/>
  <c r="C1701" i="4"/>
  <c r="D1700" i="4"/>
  <c r="I1699" i="4" l="1"/>
  <c r="C1702" i="4"/>
  <c r="D1701" i="4"/>
  <c r="E1700" i="4"/>
  <c r="F1700" i="4" s="1"/>
  <c r="H1700" i="4"/>
  <c r="G1700" i="4"/>
  <c r="I1700" i="4" l="1"/>
  <c r="H1701" i="4"/>
  <c r="E1701" i="4"/>
  <c r="F1701" i="4" s="1"/>
  <c r="G1701" i="4"/>
  <c r="C1703" i="4"/>
  <c r="D1702" i="4"/>
  <c r="I1701" i="4" l="1"/>
  <c r="E1702" i="4"/>
  <c r="F1702" i="4" s="1"/>
  <c r="H1702" i="4"/>
  <c r="G1702" i="4"/>
  <c r="C1704" i="4"/>
  <c r="D1703" i="4"/>
  <c r="I1702" i="4" l="1"/>
  <c r="E1703" i="4"/>
  <c r="F1703" i="4" s="1"/>
  <c r="H1703" i="4"/>
  <c r="G1703" i="4"/>
  <c r="C1705" i="4"/>
  <c r="D1704" i="4"/>
  <c r="I1703" i="4" l="1"/>
  <c r="H1704" i="4"/>
  <c r="E1704" i="4"/>
  <c r="F1704" i="4" s="1"/>
  <c r="G1704" i="4"/>
  <c r="C1706" i="4"/>
  <c r="D1705" i="4"/>
  <c r="I1704" i="4" l="1"/>
  <c r="C1707" i="4"/>
  <c r="D1706" i="4"/>
  <c r="E1705" i="4"/>
  <c r="F1705" i="4" s="1"/>
  <c r="H1705" i="4"/>
  <c r="G1705" i="4"/>
  <c r="I1705" i="4" l="1"/>
  <c r="E1706" i="4"/>
  <c r="F1706" i="4" s="1"/>
  <c r="H1706" i="4"/>
  <c r="G1706" i="4"/>
  <c r="C1708" i="4"/>
  <c r="D1707" i="4"/>
  <c r="I1706" i="4" l="1"/>
  <c r="E1707" i="4"/>
  <c r="F1707" i="4" s="1"/>
  <c r="H1707" i="4"/>
  <c r="G1707" i="4"/>
  <c r="C1709" i="4"/>
  <c r="D1708" i="4"/>
  <c r="G1708" i="4" l="1"/>
  <c r="E1708" i="4"/>
  <c r="F1708" i="4" s="1"/>
  <c r="H1708" i="4"/>
  <c r="C1710" i="4"/>
  <c r="D1709" i="4"/>
  <c r="I1707" i="4"/>
  <c r="I1708" i="4" l="1"/>
  <c r="C1711" i="4"/>
  <c r="D1710" i="4"/>
  <c r="G1709" i="4"/>
  <c r="E1709" i="4"/>
  <c r="F1709" i="4" s="1"/>
  <c r="H1709" i="4"/>
  <c r="I1709" i="4" l="1"/>
  <c r="G1710" i="4"/>
  <c r="E1710" i="4"/>
  <c r="F1710" i="4" s="1"/>
  <c r="H1710" i="4"/>
  <c r="C1712" i="4"/>
  <c r="D1711" i="4"/>
  <c r="G1711" i="4" l="1"/>
  <c r="E1711" i="4"/>
  <c r="F1711" i="4" s="1"/>
  <c r="H1711" i="4" s="1"/>
  <c r="C1713" i="4"/>
  <c r="D1712" i="4"/>
  <c r="I1710" i="4"/>
  <c r="I1711" i="4" l="1"/>
  <c r="C1714" i="4"/>
  <c r="D1713" i="4"/>
  <c r="G1712" i="4"/>
  <c r="E1712" i="4"/>
  <c r="F1712" i="4" s="1"/>
  <c r="H1712" i="4"/>
  <c r="I1712" i="4" l="1"/>
  <c r="G1713" i="4"/>
  <c r="E1713" i="4"/>
  <c r="F1713" i="4" s="1"/>
  <c r="H1713" i="4"/>
  <c r="C1715" i="4"/>
  <c r="D1714" i="4"/>
  <c r="I1713" i="4" l="1"/>
  <c r="E1714" i="4"/>
  <c r="F1714" i="4" s="1"/>
  <c r="H1714" i="4" s="1"/>
  <c r="G1714" i="4"/>
  <c r="C1716" i="4"/>
  <c r="D1715" i="4"/>
  <c r="G1715" i="4" l="1"/>
  <c r="E1715" i="4"/>
  <c r="F1715" i="4" s="1"/>
  <c r="H1715" i="4" s="1"/>
  <c r="I1714" i="4"/>
  <c r="C1717" i="4"/>
  <c r="D1716" i="4"/>
  <c r="I1715" i="4" l="1"/>
  <c r="C1718" i="4"/>
  <c r="D1717" i="4"/>
  <c r="G1716" i="4"/>
  <c r="E1716" i="4"/>
  <c r="F1716" i="4" s="1"/>
  <c r="H1716" i="4" s="1"/>
  <c r="I1716" i="4" l="1"/>
  <c r="G1717" i="4"/>
  <c r="E1717" i="4"/>
  <c r="F1717" i="4" s="1"/>
  <c r="H1717" i="4"/>
  <c r="C1719" i="4"/>
  <c r="D1718" i="4"/>
  <c r="I1717" i="4" l="1"/>
  <c r="G1718" i="4"/>
  <c r="E1718" i="4"/>
  <c r="F1718" i="4" s="1"/>
  <c r="H1718" i="4"/>
  <c r="C1720" i="4"/>
  <c r="D1719" i="4"/>
  <c r="G1719" i="4" l="1"/>
  <c r="E1719" i="4"/>
  <c r="F1719" i="4" s="1"/>
  <c r="H1719" i="4"/>
  <c r="C1721" i="4"/>
  <c r="D1720" i="4"/>
  <c r="I1718" i="4"/>
  <c r="I1719" i="4" l="1"/>
  <c r="C1722" i="4"/>
  <c r="D1721" i="4"/>
  <c r="G1720" i="4"/>
  <c r="E1720" i="4"/>
  <c r="F1720" i="4" s="1"/>
  <c r="H1720" i="4"/>
  <c r="E1721" i="4" l="1"/>
  <c r="F1721" i="4" s="1"/>
  <c r="G1721" i="4"/>
  <c r="H1721" i="4"/>
  <c r="I1720" i="4"/>
  <c r="C1723" i="4"/>
  <c r="D1722" i="4"/>
  <c r="I1721" i="4" l="1"/>
  <c r="C1724" i="4"/>
  <c r="D1723" i="4"/>
  <c r="G1722" i="4"/>
  <c r="E1722" i="4"/>
  <c r="F1722" i="4" s="1"/>
  <c r="H1722" i="4" s="1"/>
  <c r="G1723" i="4" l="1"/>
  <c r="E1723" i="4"/>
  <c r="F1723" i="4" s="1"/>
  <c r="H1723" i="4"/>
  <c r="I1722" i="4"/>
  <c r="C1725" i="4"/>
  <c r="D1724" i="4"/>
  <c r="I1723" i="4" l="1"/>
  <c r="G1724" i="4"/>
  <c r="E1724" i="4"/>
  <c r="F1724" i="4" s="1"/>
  <c r="H1724" i="4"/>
  <c r="C1726" i="4"/>
  <c r="D1725" i="4"/>
  <c r="I1724" i="4" l="1"/>
  <c r="E1725" i="4"/>
  <c r="F1725" i="4" s="1"/>
  <c r="H1725" i="4"/>
  <c r="G1725" i="4"/>
  <c r="C1727" i="4"/>
  <c r="D1726" i="4"/>
  <c r="G1726" i="4" l="1"/>
  <c r="E1726" i="4"/>
  <c r="F1726" i="4" s="1"/>
  <c r="H1726" i="4" s="1"/>
  <c r="C1728" i="4"/>
  <c r="D1727" i="4"/>
  <c r="I1725" i="4"/>
  <c r="C1729" i="4" l="1"/>
  <c r="D1728" i="4"/>
  <c r="I1726" i="4"/>
  <c r="E1727" i="4"/>
  <c r="F1727" i="4" s="1"/>
  <c r="G1727" i="4"/>
  <c r="H1727" i="4"/>
  <c r="I1727" i="4" l="1"/>
  <c r="E1728" i="4"/>
  <c r="F1728" i="4" s="1"/>
  <c r="H1728" i="4"/>
  <c r="G1728" i="4"/>
  <c r="C1730" i="4"/>
  <c r="D1729" i="4"/>
  <c r="E1729" i="4" l="1"/>
  <c r="F1729" i="4" s="1"/>
  <c r="G1729" i="4"/>
  <c r="H1729" i="4"/>
  <c r="C1731" i="4"/>
  <c r="D1730" i="4"/>
  <c r="I1728" i="4"/>
  <c r="I1729" i="4" l="1"/>
  <c r="C1732" i="4"/>
  <c r="D1731" i="4"/>
  <c r="G1730" i="4"/>
  <c r="E1730" i="4"/>
  <c r="F1730" i="4" s="1"/>
  <c r="H1730" i="4"/>
  <c r="I1730" i="4" l="1"/>
  <c r="H1731" i="4"/>
  <c r="G1731" i="4"/>
  <c r="E1731" i="4"/>
  <c r="F1731" i="4" s="1"/>
  <c r="C1733" i="4"/>
  <c r="D1732" i="4"/>
  <c r="I1731" i="4" l="1"/>
  <c r="H1732" i="4"/>
  <c r="G1732" i="4"/>
  <c r="E1732" i="4"/>
  <c r="F1732" i="4" s="1"/>
  <c r="C1734" i="4"/>
  <c r="D1733" i="4"/>
  <c r="C1735" i="4" l="1"/>
  <c r="D1734" i="4"/>
  <c r="I1732" i="4"/>
  <c r="G1733" i="4"/>
  <c r="E1733" i="4"/>
  <c r="F1733" i="4" s="1"/>
  <c r="H1733" i="4"/>
  <c r="I1733" i="4" l="1"/>
  <c r="G1734" i="4"/>
  <c r="H1734" i="4"/>
  <c r="E1734" i="4"/>
  <c r="F1734" i="4" s="1"/>
  <c r="C1736" i="4"/>
  <c r="D1735" i="4"/>
  <c r="G1735" i="4" l="1"/>
  <c r="E1735" i="4"/>
  <c r="F1735" i="4" s="1"/>
  <c r="H1735" i="4"/>
  <c r="C1737" i="4"/>
  <c r="D1736" i="4"/>
  <c r="I1734" i="4"/>
  <c r="I1735" i="4" l="1"/>
  <c r="C1738" i="4"/>
  <c r="D1737" i="4"/>
  <c r="G1736" i="4"/>
  <c r="H1736" i="4"/>
  <c r="E1736" i="4"/>
  <c r="F1736" i="4" s="1"/>
  <c r="G1737" i="4" l="1"/>
  <c r="E1737" i="4"/>
  <c r="F1737" i="4" s="1"/>
  <c r="H1737" i="4"/>
  <c r="I1736" i="4"/>
  <c r="C1739" i="4"/>
  <c r="D1738" i="4"/>
  <c r="I1737" i="4" l="1"/>
  <c r="C1740" i="4"/>
  <c r="D1739" i="4"/>
  <c r="H1738" i="4"/>
  <c r="E1738" i="4"/>
  <c r="F1738" i="4" s="1"/>
  <c r="G1738" i="4"/>
  <c r="I1738" i="4" l="1"/>
  <c r="H1739" i="4"/>
  <c r="E1739" i="4"/>
  <c r="F1739" i="4" s="1"/>
  <c r="G1739" i="4"/>
  <c r="C1741" i="4"/>
  <c r="D1740" i="4"/>
  <c r="I1739" i="4" l="1"/>
  <c r="E1740" i="4"/>
  <c r="F1740" i="4" s="1"/>
  <c r="H1740" i="4"/>
  <c r="G1740" i="4"/>
  <c r="C1742" i="4"/>
  <c r="D1741" i="4"/>
  <c r="I1740" i="4" l="1"/>
  <c r="C1743" i="4"/>
  <c r="D1742" i="4"/>
  <c r="E1741" i="4"/>
  <c r="F1741" i="4" s="1"/>
  <c r="H1741" i="4"/>
  <c r="G1741" i="4"/>
  <c r="I1741" i="4" l="1"/>
  <c r="E1742" i="4"/>
  <c r="F1742" i="4" s="1"/>
  <c r="G1742" i="4"/>
  <c r="H1742" i="4"/>
  <c r="C1744" i="4"/>
  <c r="D1743" i="4"/>
  <c r="I1742" i="4" l="1"/>
  <c r="H1743" i="4"/>
  <c r="E1743" i="4"/>
  <c r="F1743" i="4" s="1"/>
  <c r="G1743" i="4"/>
  <c r="C1745" i="4"/>
  <c r="D1744" i="4"/>
  <c r="I1743" i="4" l="1"/>
  <c r="E1744" i="4"/>
  <c r="F1744" i="4" s="1"/>
  <c r="H1744" i="4"/>
  <c r="G1744" i="4"/>
  <c r="C1746" i="4"/>
  <c r="D1745" i="4"/>
  <c r="I1744" i="4" l="1"/>
  <c r="E1745" i="4"/>
  <c r="F1745" i="4" s="1"/>
  <c r="H1745" i="4"/>
  <c r="G1745" i="4"/>
  <c r="C1747" i="4"/>
  <c r="D1746" i="4"/>
  <c r="I1745" i="4" l="1"/>
  <c r="H1746" i="4"/>
  <c r="E1746" i="4"/>
  <c r="F1746" i="4" s="1"/>
  <c r="G1746" i="4"/>
  <c r="C1748" i="4"/>
  <c r="D1747" i="4"/>
  <c r="I1746" i="4" l="1"/>
  <c r="G1747" i="4"/>
  <c r="E1747" i="4"/>
  <c r="F1747" i="4" s="1"/>
  <c r="H1747" i="4"/>
  <c r="C1749" i="4"/>
  <c r="D1748" i="4"/>
  <c r="I1747" i="4" l="1"/>
  <c r="G1748" i="4"/>
  <c r="E1748" i="4"/>
  <c r="F1748" i="4" s="1"/>
  <c r="H1748" i="4"/>
  <c r="C1750" i="4"/>
  <c r="D1749" i="4"/>
  <c r="G1749" i="4" l="1"/>
  <c r="E1749" i="4"/>
  <c r="F1749" i="4" s="1"/>
  <c r="H1749" i="4"/>
  <c r="C1751" i="4"/>
  <c r="D1750" i="4"/>
  <c r="I1748" i="4"/>
  <c r="I1749" i="4" l="1"/>
  <c r="C1752" i="4"/>
  <c r="D1751" i="4"/>
  <c r="E1750" i="4"/>
  <c r="F1750" i="4" s="1"/>
  <c r="H1750" i="4"/>
  <c r="G1750" i="4"/>
  <c r="I1750" i="4" l="1"/>
  <c r="E1751" i="4"/>
  <c r="F1751" i="4" s="1"/>
  <c r="G1751" i="4"/>
  <c r="H1751" i="4"/>
  <c r="C1753" i="4"/>
  <c r="D1752" i="4"/>
  <c r="I1751" i="4" l="1"/>
  <c r="G1752" i="4"/>
  <c r="E1752" i="4"/>
  <c r="F1752" i="4" s="1"/>
  <c r="H1752" i="4" s="1"/>
  <c r="C1754" i="4"/>
  <c r="D1753" i="4"/>
  <c r="I1752" i="4" l="1"/>
  <c r="G1753" i="4"/>
  <c r="E1753" i="4"/>
  <c r="F1753" i="4" s="1"/>
  <c r="H1753" i="4" s="1"/>
  <c r="C1755" i="4"/>
  <c r="D1754" i="4"/>
  <c r="G1754" i="4" l="1"/>
  <c r="E1754" i="4"/>
  <c r="F1754" i="4" s="1"/>
  <c r="H1754" i="4" s="1"/>
  <c r="C1756" i="4"/>
  <c r="D1755" i="4"/>
  <c r="I1753" i="4"/>
  <c r="G1755" i="4" l="1"/>
  <c r="E1755" i="4"/>
  <c r="F1755" i="4" s="1"/>
  <c r="H1755" i="4"/>
  <c r="C1757" i="4"/>
  <c r="D1756" i="4"/>
  <c r="I1754" i="4"/>
  <c r="I1755" i="4" l="1"/>
  <c r="E1756" i="4"/>
  <c r="F1756" i="4" s="1"/>
  <c r="H1756" i="4"/>
  <c r="G1756" i="4"/>
  <c r="C1758" i="4"/>
  <c r="D1757" i="4"/>
  <c r="G1757" i="4" l="1"/>
  <c r="E1757" i="4"/>
  <c r="F1757" i="4" s="1"/>
  <c r="H1757" i="4"/>
  <c r="C1759" i="4"/>
  <c r="D1758" i="4"/>
  <c r="I1756" i="4"/>
  <c r="I1757" i="4" l="1"/>
  <c r="G1758" i="4"/>
  <c r="E1758" i="4"/>
  <c r="F1758" i="4" s="1"/>
  <c r="H1758" i="4"/>
  <c r="C1760" i="4"/>
  <c r="D1759" i="4"/>
  <c r="G1759" i="4" l="1"/>
  <c r="E1759" i="4"/>
  <c r="F1759" i="4" s="1"/>
  <c r="H1759" i="4"/>
  <c r="C1761" i="4"/>
  <c r="D1760" i="4"/>
  <c r="I1758" i="4"/>
  <c r="I1759" i="4" l="1"/>
  <c r="C1762" i="4"/>
  <c r="D1761" i="4"/>
  <c r="G1760" i="4"/>
  <c r="E1760" i="4"/>
  <c r="F1760" i="4" s="1"/>
  <c r="H1760" i="4" s="1"/>
  <c r="I1760" i="4" l="1"/>
  <c r="G1761" i="4"/>
  <c r="E1761" i="4"/>
  <c r="F1761" i="4" s="1"/>
  <c r="H1761" i="4"/>
  <c r="C1763" i="4"/>
  <c r="D1762" i="4"/>
  <c r="C1764" i="4" l="1"/>
  <c r="D1763" i="4"/>
  <c r="E1762" i="4"/>
  <c r="F1762" i="4" s="1"/>
  <c r="G1762" i="4"/>
  <c r="H1762" i="4"/>
  <c r="I1761" i="4"/>
  <c r="I1762" i="4" l="1"/>
  <c r="E1763" i="4"/>
  <c r="F1763" i="4" s="1"/>
  <c r="G1763" i="4"/>
  <c r="H1763" i="4"/>
  <c r="C1765" i="4"/>
  <c r="D1764" i="4"/>
  <c r="I1763" i="4" l="1"/>
  <c r="C1766" i="4"/>
  <c r="D1765" i="4"/>
  <c r="G1764" i="4"/>
  <c r="E1764" i="4"/>
  <c r="F1764" i="4" s="1"/>
  <c r="H1764" i="4" s="1"/>
  <c r="I1764" i="4" l="1"/>
  <c r="E1765" i="4"/>
  <c r="F1765" i="4" s="1"/>
  <c r="G1765" i="4"/>
  <c r="H1765" i="4"/>
  <c r="C1767" i="4"/>
  <c r="D1766" i="4"/>
  <c r="I1765" i="4" l="1"/>
  <c r="C1768" i="4"/>
  <c r="D1767" i="4"/>
  <c r="E1766" i="4"/>
  <c r="F1766" i="4" s="1"/>
  <c r="H1766" i="4"/>
  <c r="G1766" i="4"/>
  <c r="I1766" i="4" l="1"/>
  <c r="E1767" i="4"/>
  <c r="F1767" i="4" s="1"/>
  <c r="G1767" i="4"/>
  <c r="H1767" i="4"/>
  <c r="C1769" i="4"/>
  <c r="D1768" i="4"/>
  <c r="I1767" i="4" l="1"/>
  <c r="G1768" i="4"/>
  <c r="E1768" i="4"/>
  <c r="F1768" i="4" s="1"/>
  <c r="H1768" i="4"/>
  <c r="C1770" i="4"/>
  <c r="D1769" i="4"/>
  <c r="I1768" i="4" l="1"/>
  <c r="G1769" i="4"/>
  <c r="E1769" i="4"/>
  <c r="F1769" i="4" s="1"/>
  <c r="H1769" i="4"/>
  <c r="C1771" i="4"/>
  <c r="D1770" i="4"/>
  <c r="G1770" i="4" l="1"/>
  <c r="E1770" i="4"/>
  <c r="F1770" i="4" s="1"/>
  <c r="H1770" i="4"/>
  <c r="C1772" i="4"/>
  <c r="D1771" i="4"/>
  <c r="I1769" i="4"/>
  <c r="I1770" i="4" l="1"/>
  <c r="G1771" i="4"/>
  <c r="E1771" i="4"/>
  <c r="F1771" i="4" s="1"/>
  <c r="H1771" i="4"/>
  <c r="C1773" i="4"/>
  <c r="D1772" i="4"/>
  <c r="I1771" i="4" l="1"/>
  <c r="C1774" i="4"/>
  <c r="D1773" i="4"/>
  <c r="E1772" i="4"/>
  <c r="F1772" i="4" s="1"/>
  <c r="H1772" i="4"/>
  <c r="G1772" i="4"/>
  <c r="I1772" i="4" l="1"/>
  <c r="G1773" i="4"/>
  <c r="E1773" i="4"/>
  <c r="F1773" i="4" s="1"/>
  <c r="H1773" i="4"/>
  <c r="C1775" i="4"/>
  <c r="D1774" i="4"/>
  <c r="I1773" i="4" l="1"/>
  <c r="H1774" i="4"/>
  <c r="E1774" i="4"/>
  <c r="F1774" i="4" s="1"/>
  <c r="G1774" i="4"/>
  <c r="C1776" i="4"/>
  <c r="D1775" i="4"/>
  <c r="C1777" i="4" l="1"/>
  <c r="D1776" i="4"/>
  <c r="G1775" i="4"/>
  <c r="E1775" i="4"/>
  <c r="F1775" i="4" s="1"/>
  <c r="H1775" i="4"/>
  <c r="I1774" i="4"/>
  <c r="I1775" i="4" l="1"/>
  <c r="E1776" i="4"/>
  <c r="F1776" i="4" s="1"/>
  <c r="G1776" i="4"/>
  <c r="H1776" i="4"/>
  <c r="C1778" i="4"/>
  <c r="D1777" i="4"/>
  <c r="I1776" i="4" l="1"/>
  <c r="E1777" i="4"/>
  <c r="F1777" i="4" s="1"/>
  <c r="G1777" i="4"/>
  <c r="H1777" i="4"/>
  <c r="C1779" i="4"/>
  <c r="D1778" i="4"/>
  <c r="E1778" i="4" l="1"/>
  <c r="F1778" i="4" s="1"/>
  <c r="H1778" i="4"/>
  <c r="G1778" i="4"/>
  <c r="C1780" i="4"/>
  <c r="D1779" i="4"/>
  <c r="I1777" i="4"/>
  <c r="I1778" i="4" l="1"/>
  <c r="H1779" i="4"/>
  <c r="E1779" i="4"/>
  <c r="F1779" i="4" s="1"/>
  <c r="G1779" i="4"/>
  <c r="C1781" i="4"/>
  <c r="D1780" i="4"/>
  <c r="I1779" i="4" l="1"/>
  <c r="H1780" i="4"/>
  <c r="E1780" i="4"/>
  <c r="F1780" i="4" s="1"/>
  <c r="G1780" i="4"/>
  <c r="C1782" i="4"/>
  <c r="D1781" i="4"/>
  <c r="I1780" i="4" l="1"/>
  <c r="E1781" i="4"/>
  <c r="F1781" i="4" s="1"/>
  <c r="H1781" i="4"/>
  <c r="G1781" i="4"/>
  <c r="C1783" i="4"/>
  <c r="D1782" i="4"/>
  <c r="I1781" i="4" l="1"/>
  <c r="H1782" i="4"/>
  <c r="G1782" i="4"/>
  <c r="E1782" i="4"/>
  <c r="F1782" i="4" s="1"/>
  <c r="C1784" i="4"/>
  <c r="D1783" i="4"/>
  <c r="I1782" i="4" l="1"/>
  <c r="H1783" i="4"/>
  <c r="E1783" i="4"/>
  <c r="F1783" i="4" s="1"/>
  <c r="G1783" i="4"/>
  <c r="C1785" i="4"/>
  <c r="D1784" i="4"/>
  <c r="I1783" i="4" l="1"/>
  <c r="H1784" i="4"/>
  <c r="E1784" i="4"/>
  <c r="F1784" i="4" s="1"/>
  <c r="G1784" i="4"/>
  <c r="C1786" i="4"/>
  <c r="D1785" i="4"/>
  <c r="I1784" i="4" l="1"/>
  <c r="E1785" i="4"/>
  <c r="F1785" i="4" s="1"/>
  <c r="H1785" i="4"/>
  <c r="G1785" i="4"/>
  <c r="C1787" i="4"/>
  <c r="D1786" i="4"/>
  <c r="I1785" i="4" l="1"/>
  <c r="G1786" i="4"/>
  <c r="H1786" i="4"/>
  <c r="E1786" i="4"/>
  <c r="F1786" i="4" s="1"/>
  <c r="C1788" i="4"/>
  <c r="D1787" i="4"/>
  <c r="C1789" i="4" l="1"/>
  <c r="D1788" i="4"/>
  <c r="I1786" i="4"/>
  <c r="G1787" i="4"/>
  <c r="E1787" i="4"/>
  <c r="F1787" i="4" s="1"/>
  <c r="H1787" i="4"/>
  <c r="I1787" i="4" l="1"/>
  <c r="E1788" i="4"/>
  <c r="F1788" i="4" s="1"/>
  <c r="G1788" i="4"/>
  <c r="H1788" i="4"/>
  <c r="C1790" i="4"/>
  <c r="D1789" i="4"/>
  <c r="G1789" i="4" l="1"/>
  <c r="E1789" i="4"/>
  <c r="F1789" i="4" s="1"/>
  <c r="H1789" i="4"/>
  <c r="C1791" i="4"/>
  <c r="D1790" i="4"/>
  <c r="I1788" i="4"/>
  <c r="I1789" i="4" l="1"/>
  <c r="G1790" i="4"/>
  <c r="E1790" i="4"/>
  <c r="F1790" i="4" s="1"/>
  <c r="H1790" i="4" s="1"/>
  <c r="C1792" i="4"/>
  <c r="D1791" i="4"/>
  <c r="I1790" i="4" l="1"/>
  <c r="G1791" i="4"/>
  <c r="E1791" i="4"/>
  <c r="F1791" i="4" s="1"/>
  <c r="H1791" i="4"/>
  <c r="C1793" i="4"/>
  <c r="D1792" i="4"/>
  <c r="I1791" i="4" l="1"/>
  <c r="C1794" i="4"/>
  <c r="D1793" i="4"/>
  <c r="E1792" i="4"/>
  <c r="F1792" i="4" s="1"/>
  <c r="H1792" i="4" s="1"/>
  <c r="G1792" i="4"/>
  <c r="I1792" i="4" l="1"/>
  <c r="G1793" i="4"/>
  <c r="E1793" i="4"/>
  <c r="F1793" i="4" s="1"/>
  <c r="H1793" i="4"/>
  <c r="C1795" i="4"/>
  <c r="D1794" i="4"/>
  <c r="I1793" i="4" l="1"/>
  <c r="G1794" i="4"/>
  <c r="E1794" i="4"/>
  <c r="F1794" i="4" s="1"/>
  <c r="H1794" i="4" s="1"/>
  <c r="C1796" i="4"/>
  <c r="D1795" i="4"/>
  <c r="G1795" i="4" l="1"/>
  <c r="E1795" i="4"/>
  <c r="F1795" i="4" s="1"/>
  <c r="H1795" i="4"/>
  <c r="C1797" i="4"/>
  <c r="D1796" i="4"/>
  <c r="I1794" i="4"/>
  <c r="I1795" i="4" l="1"/>
  <c r="G1796" i="4"/>
  <c r="E1796" i="4"/>
  <c r="F1796" i="4" s="1"/>
  <c r="H1796" i="4" s="1"/>
  <c r="C1798" i="4"/>
  <c r="D1797" i="4"/>
  <c r="G1797" i="4" l="1"/>
  <c r="E1797" i="4"/>
  <c r="F1797" i="4" s="1"/>
  <c r="H1797" i="4" s="1"/>
  <c r="C1799" i="4"/>
  <c r="D1798" i="4"/>
  <c r="I1796" i="4"/>
  <c r="I1797" i="4" l="1"/>
  <c r="G1798" i="4"/>
  <c r="E1798" i="4"/>
  <c r="F1798" i="4" s="1"/>
  <c r="H1798" i="4"/>
  <c r="C1800" i="4"/>
  <c r="D1799" i="4"/>
  <c r="G1799" i="4" l="1"/>
  <c r="E1799" i="4"/>
  <c r="F1799" i="4" s="1"/>
  <c r="H1799" i="4" s="1"/>
  <c r="C1801" i="4"/>
  <c r="D1800" i="4"/>
  <c r="I1798" i="4"/>
  <c r="I1799" i="4" l="1"/>
  <c r="G1800" i="4"/>
  <c r="E1800" i="4"/>
  <c r="F1800" i="4" s="1"/>
  <c r="H1800" i="4" s="1"/>
  <c r="C1802" i="4"/>
  <c r="D1801" i="4"/>
  <c r="G1801" i="4" l="1"/>
  <c r="E1801" i="4"/>
  <c r="F1801" i="4" s="1"/>
  <c r="H1801" i="4"/>
  <c r="C1803" i="4"/>
  <c r="D1802" i="4"/>
  <c r="I1800" i="4"/>
  <c r="I1801" i="4" l="1"/>
  <c r="E1802" i="4"/>
  <c r="F1802" i="4" s="1"/>
  <c r="G1802" i="4"/>
  <c r="H1802" i="4"/>
  <c r="C1804" i="4"/>
  <c r="D1803" i="4"/>
  <c r="C1805" i="4" l="1"/>
  <c r="D1804" i="4"/>
  <c r="I1802" i="4"/>
  <c r="G1803" i="4"/>
  <c r="E1803" i="4"/>
  <c r="F1803" i="4" s="1"/>
  <c r="H1803" i="4"/>
  <c r="I1803" i="4" l="1"/>
  <c r="G1804" i="4"/>
  <c r="E1804" i="4"/>
  <c r="F1804" i="4" s="1"/>
  <c r="H1804" i="4" s="1"/>
  <c r="C1806" i="4"/>
  <c r="D1805" i="4"/>
  <c r="C1807" i="4" l="1"/>
  <c r="D1806" i="4"/>
  <c r="I1804" i="4"/>
  <c r="G1805" i="4"/>
  <c r="E1805" i="4"/>
  <c r="F1805" i="4" s="1"/>
  <c r="H1805" i="4"/>
  <c r="I1805" i="4" l="1"/>
  <c r="G1806" i="4"/>
  <c r="E1806" i="4"/>
  <c r="F1806" i="4" s="1"/>
  <c r="H1806" i="4"/>
  <c r="C1808" i="4"/>
  <c r="D1807" i="4"/>
  <c r="G1807" i="4" l="1"/>
  <c r="E1807" i="4"/>
  <c r="F1807" i="4" s="1"/>
  <c r="H1807" i="4"/>
  <c r="C1809" i="4"/>
  <c r="D1808" i="4"/>
  <c r="I1806" i="4"/>
  <c r="I1807" i="4" l="1"/>
  <c r="C1810" i="4"/>
  <c r="D1809" i="4"/>
  <c r="H1808" i="4"/>
  <c r="G1808" i="4"/>
  <c r="E1808" i="4"/>
  <c r="F1808" i="4" s="1"/>
  <c r="I1808" i="4" l="1"/>
  <c r="G1809" i="4"/>
  <c r="E1809" i="4"/>
  <c r="F1809" i="4" s="1"/>
  <c r="H1809" i="4"/>
  <c r="C1811" i="4"/>
  <c r="D1810" i="4"/>
  <c r="I1809" i="4" l="1"/>
  <c r="E1810" i="4"/>
  <c r="F1810" i="4" s="1"/>
  <c r="H1810" i="4"/>
  <c r="G1810" i="4"/>
  <c r="C1812" i="4"/>
  <c r="D1811" i="4"/>
  <c r="G1811" i="4" l="1"/>
  <c r="E1811" i="4"/>
  <c r="F1811" i="4" s="1"/>
  <c r="H1811" i="4"/>
  <c r="C1813" i="4"/>
  <c r="D1812" i="4"/>
  <c r="I1810" i="4"/>
  <c r="I1811" i="4" l="1"/>
  <c r="C1814" i="4"/>
  <c r="D1813" i="4"/>
  <c r="H1812" i="4"/>
  <c r="E1812" i="4"/>
  <c r="F1812" i="4" s="1"/>
  <c r="G1812" i="4"/>
  <c r="I1812" i="4" l="1"/>
  <c r="G1813" i="4"/>
  <c r="E1813" i="4"/>
  <c r="F1813" i="4" s="1"/>
  <c r="H1813" i="4"/>
  <c r="C1815" i="4"/>
  <c r="D1814" i="4"/>
  <c r="I1813" i="4" l="1"/>
  <c r="C1816" i="4"/>
  <c r="D1815" i="4"/>
  <c r="G1814" i="4"/>
  <c r="E1814" i="4"/>
  <c r="F1814" i="4" s="1"/>
  <c r="H1814" i="4"/>
  <c r="I1814" i="4" l="1"/>
  <c r="G1815" i="4"/>
  <c r="E1815" i="4"/>
  <c r="F1815" i="4" s="1"/>
  <c r="H1815" i="4"/>
  <c r="C1817" i="4"/>
  <c r="D1816" i="4"/>
  <c r="I1815" i="4" l="1"/>
  <c r="G1816" i="4"/>
  <c r="E1816" i="4"/>
  <c r="F1816" i="4" s="1"/>
  <c r="H1816" i="4"/>
  <c r="C1818" i="4"/>
  <c r="D1817" i="4"/>
  <c r="I1816" i="4" l="1"/>
  <c r="G1817" i="4"/>
  <c r="H1817" i="4"/>
  <c r="E1817" i="4"/>
  <c r="F1817" i="4" s="1"/>
  <c r="C1819" i="4"/>
  <c r="D1818" i="4"/>
  <c r="E1818" i="4" l="1"/>
  <c r="F1818" i="4" s="1"/>
  <c r="H1818" i="4"/>
  <c r="G1818" i="4"/>
  <c r="C1820" i="4"/>
  <c r="D1819" i="4"/>
  <c r="I1817" i="4"/>
  <c r="I1818" i="4" l="1"/>
  <c r="E1819" i="4"/>
  <c r="F1819" i="4" s="1"/>
  <c r="H1819" i="4"/>
  <c r="G1819" i="4"/>
  <c r="C1821" i="4"/>
  <c r="D1820" i="4"/>
  <c r="I1819" i="4" l="1"/>
  <c r="E1820" i="4"/>
  <c r="F1820" i="4" s="1"/>
  <c r="H1820" i="4"/>
  <c r="G1820" i="4"/>
  <c r="C1822" i="4"/>
  <c r="D1821" i="4"/>
  <c r="I1820" i="4" l="1"/>
  <c r="E1821" i="4"/>
  <c r="F1821" i="4" s="1"/>
  <c r="H1821" i="4"/>
  <c r="G1821" i="4"/>
  <c r="C1823" i="4"/>
  <c r="D1822" i="4"/>
  <c r="I1821" i="4" l="1"/>
  <c r="E1822" i="4"/>
  <c r="F1822" i="4" s="1"/>
  <c r="H1822" i="4"/>
  <c r="G1822" i="4"/>
  <c r="C1824" i="4"/>
  <c r="D1823" i="4"/>
  <c r="I1822" i="4" l="1"/>
  <c r="E1823" i="4"/>
  <c r="F1823" i="4" s="1"/>
  <c r="H1823" i="4"/>
  <c r="G1823" i="4"/>
  <c r="C1825" i="4"/>
  <c r="D1824" i="4"/>
  <c r="I1823" i="4" l="1"/>
  <c r="H1824" i="4"/>
  <c r="E1824" i="4"/>
  <c r="F1824" i="4" s="1"/>
  <c r="G1824" i="4"/>
  <c r="C1826" i="4"/>
  <c r="D1825" i="4"/>
  <c r="I1824" i="4" l="1"/>
  <c r="E1825" i="4"/>
  <c r="F1825" i="4" s="1"/>
  <c r="G1825" i="4"/>
  <c r="H1825" i="4"/>
  <c r="C1827" i="4"/>
  <c r="D1826" i="4"/>
  <c r="I1825" i="4" l="1"/>
  <c r="E1826" i="4"/>
  <c r="F1826" i="4" s="1"/>
  <c r="H1826" i="4" s="1"/>
  <c r="G1826" i="4"/>
  <c r="C1828" i="4"/>
  <c r="D1827" i="4"/>
  <c r="I1826" i="4" l="1"/>
  <c r="G1827" i="4"/>
  <c r="E1827" i="4"/>
  <c r="F1827" i="4" s="1"/>
  <c r="H1827" i="4" s="1"/>
  <c r="C1829" i="4"/>
  <c r="D1828" i="4"/>
  <c r="I1827" i="4" l="1"/>
  <c r="C1830" i="4"/>
  <c r="D1829" i="4"/>
  <c r="G1828" i="4"/>
  <c r="E1828" i="4"/>
  <c r="F1828" i="4" s="1"/>
  <c r="H1828" i="4" s="1"/>
  <c r="I1828" i="4" l="1"/>
  <c r="E1829" i="4"/>
  <c r="F1829" i="4" s="1"/>
  <c r="G1829" i="4"/>
  <c r="H1829" i="4"/>
  <c r="C1831" i="4"/>
  <c r="D1830" i="4"/>
  <c r="G1830" i="4" l="1"/>
  <c r="E1830" i="4"/>
  <c r="F1830" i="4" s="1"/>
  <c r="H1830" i="4"/>
  <c r="C1832" i="4"/>
  <c r="D1831" i="4"/>
  <c r="I1829" i="4"/>
  <c r="I1830" i="4" l="1"/>
  <c r="G1831" i="4"/>
  <c r="E1831" i="4"/>
  <c r="F1831" i="4" s="1"/>
  <c r="H1831" i="4" s="1"/>
  <c r="C1833" i="4"/>
  <c r="D1832" i="4"/>
  <c r="C1834" i="4" l="1"/>
  <c r="D1833" i="4"/>
  <c r="E1832" i="4"/>
  <c r="F1832" i="4" s="1"/>
  <c r="G1832" i="4"/>
  <c r="H1832" i="4"/>
  <c r="I1831" i="4"/>
  <c r="I1832" i="4" l="1"/>
  <c r="E1833" i="4"/>
  <c r="F1833" i="4" s="1"/>
  <c r="G1833" i="4"/>
  <c r="H1833" i="4"/>
  <c r="C1835" i="4"/>
  <c r="D1834" i="4"/>
  <c r="G1834" i="4" l="1"/>
  <c r="E1834" i="4"/>
  <c r="F1834" i="4" s="1"/>
  <c r="H1834" i="4" s="1"/>
  <c r="C1836" i="4"/>
  <c r="D1835" i="4"/>
  <c r="I1833" i="4"/>
  <c r="C1837" i="4" l="1"/>
  <c r="D1836" i="4"/>
  <c r="G1835" i="4"/>
  <c r="E1835" i="4"/>
  <c r="F1835" i="4" s="1"/>
  <c r="H1835" i="4" s="1"/>
  <c r="I1834" i="4"/>
  <c r="G1836" i="4" l="1"/>
  <c r="E1836" i="4"/>
  <c r="F1836" i="4" s="1"/>
  <c r="H1836" i="4" s="1"/>
  <c r="I1835" i="4"/>
  <c r="C1838" i="4"/>
  <c r="D1837" i="4"/>
  <c r="I1836" i="4" l="1"/>
  <c r="C1839" i="4"/>
  <c r="D1838" i="4"/>
  <c r="E1837" i="4"/>
  <c r="F1837" i="4" s="1"/>
  <c r="G1837" i="4"/>
  <c r="H1837" i="4"/>
  <c r="I1837" i="4" l="1"/>
  <c r="G1838" i="4"/>
  <c r="E1838" i="4"/>
  <c r="F1838" i="4" s="1"/>
  <c r="H1838" i="4" s="1"/>
  <c r="C1840" i="4"/>
  <c r="D1839" i="4"/>
  <c r="C1841" i="4" l="1"/>
  <c r="D1840" i="4"/>
  <c r="I1838" i="4"/>
  <c r="G1839" i="4"/>
  <c r="E1839" i="4"/>
  <c r="F1839" i="4" s="1"/>
  <c r="H1839" i="4" s="1"/>
  <c r="I1839" i="4" l="1"/>
  <c r="E1840" i="4"/>
  <c r="F1840" i="4" s="1"/>
  <c r="G1840" i="4"/>
  <c r="H1840" i="4"/>
  <c r="C1842" i="4"/>
  <c r="D1841" i="4"/>
  <c r="I1840" i="4" l="1"/>
  <c r="E1841" i="4"/>
  <c r="F1841" i="4" s="1"/>
  <c r="G1841" i="4"/>
  <c r="H1841" i="4"/>
  <c r="C1843" i="4"/>
  <c r="D1842" i="4"/>
  <c r="G1842" i="4" l="1"/>
  <c r="E1842" i="4"/>
  <c r="F1842" i="4" s="1"/>
  <c r="H1842" i="4"/>
  <c r="C1844" i="4"/>
  <c r="D1843" i="4"/>
  <c r="I1841" i="4"/>
  <c r="H1843" i="4" l="1"/>
  <c r="G1843" i="4"/>
  <c r="E1843" i="4"/>
  <c r="F1843" i="4" s="1"/>
  <c r="C1845" i="4"/>
  <c r="D1844" i="4"/>
  <c r="I1842" i="4"/>
  <c r="C1846" i="4" l="1"/>
  <c r="D1845" i="4"/>
  <c r="I1843" i="4"/>
  <c r="G1844" i="4"/>
  <c r="H1844" i="4"/>
  <c r="E1844" i="4"/>
  <c r="F1844" i="4" s="1"/>
  <c r="I1844" i="4" l="1"/>
  <c r="E1845" i="4"/>
  <c r="F1845" i="4" s="1"/>
  <c r="G1845" i="4"/>
  <c r="H1845" i="4"/>
  <c r="C1847" i="4"/>
  <c r="D1846" i="4"/>
  <c r="I1845" i="4" l="1"/>
  <c r="C1848" i="4"/>
  <c r="D1847" i="4"/>
  <c r="G1846" i="4"/>
  <c r="E1846" i="4"/>
  <c r="F1846" i="4" s="1"/>
  <c r="H1846" i="4"/>
  <c r="I1846" i="4" l="1"/>
  <c r="H1847" i="4"/>
  <c r="G1847" i="4"/>
  <c r="E1847" i="4"/>
  <c r="F1847" i="4" s="1"/>
  <c r="C1849" i="4"/>
  <c r="D1848" i="4"/>
  <c r="E1848" i="4" l="1"/>
  <c r="F1848" i="4" s="1"/>
  <c r="G1848" i="4"/>
  <c r="H1848" i="4"/>
  <c r="C1850" i="4"/>
  <c r="D1849" i="4"/>
  <c r="I1847" i="4"/>
  <c r="I1848" i="4" l="1"/>
  <c r="E1849" i="4"/>
  <c r="F1849" i="4" s="1"/>
  <c r="G1849" i="4"/>
  <c r="H1849" i="4"/>
  <c r="C1851" i="4"/>
  <c r="D1850" i="4"/>
  <c r="C1852" i="4" l="1"/>
  <c r="D1851" i="4"/>
  <c r="I1849" i="4"/>
  <c r="E1850" i="4"/>
  <c r="F1850" i="4" s="1"/>
  <c r="G1850" i="4"/>
  <c r="H1850" i="4"/>
  <c r="I1850" i="4" l="1"/>
  <c r="H1851" i="4"/>
  <c r="G1851" i="4"/>
  <c r="E1851" i="4"/>
  <c r="F1851" i="4" s="1"/>
  <c r="C1853" i="4"/>
  <c r="D1852" i="4"/>
  <c r="G1852" i="4" l="1"/>
  <c r="E1852" i="4"/>
  <c r="F1852" i="4" s="1"/>
  <c r="H1852" i="4"/>
  <c r="I1851" i="4"/>
  <c r="C1854" i="4"/>
  <c r="D1853" i="4"/>
  <c r="I1852" i="4" l="1"/>
  <c r="C1855" i="4"/>
  <c r="D1854" i="4"/>
  <c r="E1853" i="4"/>
  <c r="F1853" i="4" s="1"/>
  <c r="G1853" i="4"/>
  <c r="H1853" i="4"/>
  <c r="H1854" i="4" l="1"/>
  <c r="G1854" i="4"/>
  <c r="E1854" i="4"/>
  <c r="F1854" i="4" s="1"/>
  <c r="I1853" i="4"/>
  <c r="C1856" i="4"/>
  <c r="D1855" i="4"/>
  <c r="I1854" i="4" l="1"/>
  <c r="G1855" i="4"/>
  <c r="H1855" i="4"/>
  <c r="E1855" i="4"/>
  <c r="F1855" i="4" s="1"/>
  <c r="C1857" i="4"/>
  <c r="D1856" i="4"/>
  <c r="I1855" i="4" l="1"/>
  <c r="E1856" i="4"/>
  <c r="F1856" i="4" s="1"/>
  <c r="G1856" i="4"/>
  <c r="H1856" i="4"/>
  <c r="C1858" i="4"/>
  <c r="D1857" i="4"/>
  <c r="I1856" i="4" l="1"/>
  <c r="E1857" i="4"/>
  <c r="F1857" i="4" s="1"/>
  <c r="G1857" i="4"/>
  <c r="H1857" i="4"/>
  <c r="C1859" i="4"/>
  <c r="D1858" i="4"/>
  <c r="I1857" i="4" l="1"/>
  <c r="H1858" i="4"/>
  <c r="E1858" i="4"/>
  <c r="F1858" i="4" s="1"/>
  <c r="G1858" i="4"/>
  <c r="C1860" i="4"/>
  <c r="D1859" i="4"/>
  <c r="I1858" i="4" l="1"/>
  <c r="H1859" i="4"/>
  <c r="G1859" i="4"/>
  <c r="E1859" i="4"/>
  <c r="F1859" i="4" s="1"/>
  <c r="C1861" i="4"/>
  <c r="D1860" i="4"/>
  <c r="I1859" i="4" l="1"/>
  <c r="C1862" i="4"/>
  <c r="D1861" i="4"/>
  <c r="H1860" i="4"/>
  <c r="G1860" i="4"/>
  <c r="E1860" i="4"/>
  <c r="F1860" i="4" s="1"/>
  <c r="I1860" i="4" l="1"/>
  <c r="E1861" i="4"/>
  <c r="F1861" i="4" s="1"/>
  <c r="H1861" i="4"/>
  <c r="G1861" i="4"/>
  <c r="C1863" i="4"/>
  <c r="D1862" i="4"/>
  <c r="I1861" i="4" l="1"/>
  <c r="C1864" i="4"/>
  <c r="D1863" i="4"/>
  <c r="H1862" i="4"/>
  <c r="E1862" i="4"/>
  <c r="F1862" i="4" s="1"/>
  <c r="G1862" i="4"/>
  <c r="I1862" i="4" l="1"/>
  <c r="G1863" i="4"/>
  <c r="E1863" i="4"/>
  <c r="F1863" i="4" s="1"/>
  <c r="H1863" i="4" s="1"/>
  <c r="C1865" i="4"/>
  <c r="D1864" i="4"/>
  <c r="I1863" i="4" l="1"/>
  <c r="E1864" i="4"/>
  <c r="F1864" i="4" s="1"/>
  <c r="G1864" i="4"/>
  <c r="H1864" i="4"/>
  <c r="C1866" i="4"/>
  <c r="D1865" i="4"/>
  <c r="I1864" i="4" l="1"/>
  <c r="E1865" i="4"/>
  <c r="F1865" i="4" s="1"/>
  <c r="H1865" i="4"/>
  <c r="G1865" i="4"/>
  <c r="C1867" i="4"/>
  <c r="D1866" i="4"/>
  <c r="I1865" i="4" l="1"/>
  <c r="E1866" i="4"/>
  <c r="F1866" i="4" s="1"/>
  <c r="G1866" i="4"/>
  <c r="H1866" i="4"/>
  <c r="C1868" i="4"/>
  <c r="D1867" i="4"/>
  <c r="I1866" i="4" l="1"/>
  <c r="G1867" i="4"/>
  <c r="E1867" i="4"/>
  <c r="F1867" i="4" s="1"/>
  <c r="H1867" i="4"/>
  <c r="C1869" i="4"/>
  <c r="D1868" i="4"/>
  <c r="I1867" i="4" l="1"/>
  <c r="G1868" i="4"/>
  <c r="E1868" i="4"/>
  <c r="F1868" i="4" s="1"/>
  <c r="H1868" i="4" s="1"/>
  <c r="C1870" i="4"/>
  <c r="D1869" i="4"/>
  <c r="I1868" i="4" l="1"/>
  <c r="E1869" i="4"/>
  <c r="F1869" i="4" s="1"/>
  <c r="G1869" i="4"/>
  <c r="H1869" i="4"/>
  <c r="C1871" i="4"/>
  <c r="D1870" i="4"/>
  <c r="C1872" i="4" l="1"/>
  <c r="D1871" i="4"/>
  <c r="I1869" i="4"/>
  <c r="G1870" i="4"/>
  <c r="E1870" i="4"/>
  <c r="F1870" i="4" s="1"/>
  <c r="H1870" i="4" s="1"/>
  <c r="I1870" i="4" l="1"/>
  <c r="E1871" i="4"/>
  <c r="F1871" i="4" s="1"/>
  <c r="G1871" i="4"/>
  <c r="H1871" i="4"/>
  <c r="C1873" i="4"/>
  <c r="D1872" i="4"/>
  <c r="I1871" i="4" l="1"/>
  <c r="G1872" i="4"/>
  <c r="E1872" i="4"/>
  <c r="F1872" i="4" s="1"/>
  <c r="H1872" i="4"/>
  <c r="C1874" i="4"/>
  <c r="D1873" i="4"/>
  <c r="I1872" i="4" l="1"/>
  <c r="E1873" i="4"/>
  <c r="F1873" i="4" s="1"/>
  <c r="G1873" i="4"/>
  <c r="H1873" i="4"/>
  <c r="C1875" i="4"/>
  <c r="D1874" i="4"/>
  <c r="I1873" i="4" l="1"/>
  <c r="G1874" i="4"/>
  <c r="E1874" i="4"/>
  <c r="F1874" i="4" s="1"/>
  <c r="H1874" i="4"/>
  <c r="C1876" i="4"/>
  <c r="D1875" i="4"/>
  <c r="E1875" i="4" l="1"/>
  <c r="F1875" i="4" s="1"/>
  <c r="G1875" i="4"/>
  <c r="H1875" i="4"/>
  <c r="C1877" i="4"/>
  <c r="D1876" i="4"/>
  <c r="I1874" i="4"/>
  <c r="I1875" i="4" l="1"/>
  <c r="C1878" i="4"/>
  <c r="D1877" i="4"/>
  <c r="E1876" i="4"/>
  <c r="F1876" i="4" s="1"/>
  <c r="H1876" i="4"/>
  <c r="G1876" i="4"/>
  <c r="I1876" i="4" l="1"/>
  <c r="E1877" i="4"/>
  <c r="F1877" i="4" s="1"/>
  <c r="G1877" i="4"/>
  <c r="H1877" i="4"/>
  <c r="C1879" i="4"/>
  <c r="D1878" i="4"/>
  <c r="I1877" i="4" l="1"/>
  <c r="C1880" i="4"/>
  <c r="D1879" i="4"/>
  <c r="E1878" i="4"/>
  <c r="F1878" i="4" s="1"/>
  <c r="H1878" i="4" s="1"/>
  <c r="G1878" i="4"/>
  <c r="I1878" i="4" l="1"/>
  <c r="G1879" i="4"/>
  <c r="E1879" i="4"/>
  <c r="F1879" i="4" s="1"/>
  <c r="H1879" i="4"/>
  <c r="C1881" i="4"/>
  <c r="D1880" i="4"/>
  <c r="I1879" i="4" l="1"/>
  <c r="G1880" i="4"/>
  <c r="E1880" i="4"/>
  <c r="F1880" i="4" s="1"/>
  <c r="H1880" i="4"/>
  <c r="C1882" i="4"/>
  <c r="D1881" i="4"/>
  <c r="I1880" i="4" l="1"/>
  <c r="C1883" i="4"/>
  <c r="D1882" i="4"/>
  <c r="H1881" i="4"/>
  <c r="G1881" i="4"/>
  <c r="E1881" i="4"/>
  <c r="F1881" i="4" s="1"/>
  <c r="I1881" i="4" l="1"/>
  <c r="G1882" i="4"/>
  <c r="E1882" i="4"/>
  <c r="F1882" i="4" s="1"/>
  <c r="H1882" i="4"/>
  <c r="C1884" i="4"/>
  <c r="D1883" i="4"/>
  <c r="I1882" i="4" l="1"/>
  <c r="G1883" i="4"/>
  <c r="E1883" i="4"/>
  <c r="F1883" i="4" s="1"/>
  <c r="H1883" i="4"/>
  <c r="C1885" i="4"/>
  <c r="D1884" i="4"/>
  <c r="I1883" i="4" l="1"/>
  <c r="E1884" i="4"/>
  <c r="F1884" i="4" s="1"/>
  <c r="G1884" i="4"/>
  <c r="H1884" i="4"/>
  <c r="C1886" i="4"/>
  <c r="D1885" i="4"/>
  <c r="I1884" i="4" l="1"/>
  <c r="G1885" i="4"/>
  <c r="E1885" i="4"/>
  <c r="F1885" i="4" s="1"/>
  <c r="H1885" i="4"/>
  <c r="C1887" i="4"/>
  <c r="D1886" i="4"/>
  <c r="I1885" i="4" l="1"/>
  <c r="H1886" i="4"/>
  <c r="G1886" i="4"/>
  <c r="E1886" i="4"/>
  <c r="F1886" i="4" s="1"/>
  <c r="C1888" i="4"/>
  <c r="D1887" i="4"/>
  <c r="E1887" i="4" l="1"/>
  <c r="F1887" i="4" s="1"/>
  <c r="G1887" i="4"/>
  <c r="H1887" i="4"/>
  <c r="C1889" i="4"/>
  <c r="D1888" i="4"/>
  <c r="I1886" i="4"/>
  <c r="I1887" i="4" l="1"/>
  <c r="E1888" i="4"/>
  <c r="F1888" i="4" s="1"/>
  <c r="G1888" i="4"/>
  <c r="H1888" i="4"/>
  <c r="C1890" i="4"/>
  <c r="D1889" i="4"/>
  <c r="I1888" i="4" l="1"/>
  <c r="H1889" i="4"/>
  <c r="G1889" i="4"/>
  <c r="E1889" i="4"/>
  <c r="F1889" i="4" s="1"/>
  <c r="C1891" i="4"/>
  <c r="D1890" i="4"/>
  <c r="G1890" i="4" l="1"/>
  <c r="H1890" i="4"/>
  <c r="E1890" i="4"/>
  <c r="F1890" i="4" s="1"/>
  <c r="C1892" i="4"/>
  <c r="D1891" i="4"/>
  <c r="I1889" i="4"/>
  <c r="C1893" i="4" l="1"/>
  <c r="D1892" i="4"/>
  <c r="G1891" i="4"/>
  <c r="E1891" i="4"/>
  <c r="F1891" i="4" s="1"/>
  <c r="H1891" i="4"/>
  <c r="I1890" i="4"/>
  <c r="I1891" i="4" l="1"/>
  <c r="G1892" i="4"/>
  <c r="E1892" i="4"/>
  <c r="F1892" i="4" s="1"/>
  <c r="H1892" i="4"/>
  <c r="C1894" i="4"/>
  <c r="D1893" i="4"/>
  <c r="I1892" i="4" l="1"/>
  <c r="G1893" i="4"/>
  <c r="E1893" i="4"/>
  <c r="F1893" i="4" s="1"/>
  <c r="H1893" i="4"/>
  <c r="C1895" i="4"/>
  <c r="D1894" i="4"/>
  <c r="I1893" i="4" l="1"/>
  <c r="H1894" i="4"/>
  <c r="E1894" i="4"/>
  <c r="F1894" i="4" s="1"/>
  <c r="G1894" i="4"/>
  <c r="C1896" i="4"/>
  <c r="D1895" i="4"/>
  <c r="C1897" i="4" l="1"/>
  <c r="D1896" i="4"/>
  <c r="G1895" i="4"/>
  <c r="E1895" i="4"/>
  <c r="F1895" i="4" s="1"/>
  <c r="H1895" i="4"/>
  <c r="I1894" i="4"/>
  <c r="I1895" i="4" l="1"/>
  <c r="E1896" i="4"/>
  <c r="F1896" i="4" s="1"/>
  <c r="G1896" i="4"/>
  <c r="H1896" i="4"/>
  <c r="C1898" i="4"/>
  <c r="D1897" i="4"/>
  <c r="I1896" i="4" l="1"/>
  <c r="C1899" i="4"/>
  <c r="D1898" i="4"/>
  <c r="H1897" i="4"/>
  <c r="G1897" i="4"/>
  <c r="E1897" i="4"/>
  <c r="F1897" i="4" s="1"/>
  <c r="I1897" i="4" l="1"/>
  <c r="G1898" i="4"/>
  <c r="H1898" i="4"/>
  <c r="E1898" i="4"/>
  <c r="F1898" i="4" s="1"/>
  <c r="C1900" i="4"/>
  <c r="D1899" i="4"/>
  <c r="I1898" i="4" l="1"/>
  <c r="E1899" i="4"/>
  <c r="F1899" i="4" s="1"/>
  <c r="H1899" i="4"/>
  <c r="G1899" i="4"/>
  <c r="C1901" i="4"/>
  <c r="D1900" i="4"/>
  <c r="I1899" i="4" l="1"/>
  <c r="C1902" i="4"/>
  <c r="D1901" i="4"/>
  <c r="E1900" i="4"/>
  <c r="F1900" i="4" s="1"/>
  <c r="H1900" i="4"/>
  <c r="G1900" i="4"/>
  <c r="I1900" i="4" l="1"/>
  <c r="E1901" i="4"/>
  <c r="F1901" i="4" s="1"/>
  <c r="H1901" i="4" s="1"/>
  <c r="G1901" i="4"/>
  <c r="C1903" i="4"/>
  <c r="D1902" i="4"/>
  <c r="I1901" i="4" l="1"/>
  <c r="G1902" i="4"/>
  <c r="E1902" i="4"/>
  <c r="F1902" i="4" s="1"/>
  <c r="H1902" i="4" s="1"/>
  <c r="C1904" i="4"/>
  <c r="D1903" i="4"/>
  <c r="I1902" i="4" l="1"/>
  <c r="E1903" i="4"/>
  <c r="F1903" i="4" s="1"/>
  <c r="H1903" i="4" s="1"/>
  <c r="G1903" i="4"/>
  <c r="C1905" i="4"/>
  <c r="D1904" i="4"/>
  <c r="I1903" i="4" l="1"/>
  <c r="E1904" i="4"/>
  <c r="F1904" i="4" s="1"/>
  <c r="H1904" i="4"/>
  <c r="G1904" i="4"/>
  <c r="C1906" i="4"/>
  <c r="D1905" i="4"/>
  <c r="I1904" i="4" l="1"/>
  <c r="C1907" i="4"/>
  <c r="D1906" i="4"/>
  <c r="E1905" i="4"/>
  <c r="F1905" i="4" s="1"/>
  <c r="H1905" i="4" s="1"/>
  <c r="G1905" i="4"/>
  <c r="I1905" i="4" l="1"/>
  <c r="E1906" i="4"/>
  <c r="F1906" i="4" s="1"/>
  <c r="H1906" i="4"/>
  <c r="G1906" i="4"/>
  <c r="C1908" i="4"/>
  <c r="D1907" i="4"/>
  <c r="I1906" i="4" l="1"/>
  <c r="G1907" i="4"/>
  <c r="E1907" i="4"/>
  <c r="F1907" i="4" s="1"/>
  <c r="H1907" i="4"/>
  <c r="C1909" i="4"/>
  <c r="D1908" i="4"/>
  <c r="I1907" i="4" l="1"/>
  <c r="E1908" i="4"/>
  <c r="F1908" i="4" s="1"/>
  <c r="G1908" i="4"/>
  <c r="H1908" i="4"/>
  <c r="C1910" i="4"/>
  <c r="D1909" i="4"/>
  <c r="G1909" i="4" l="1"/>
  <c r="E1909" i="4"/>
  <c r="F1909" i="4" s="1"/>
  <c r="H1909" i="4"/>
  <c r="C1911" i="4"/>
  <c r="D1910" i="4"/>
  <c r="I1908" i="4"/>
  <c r="I1909" i="4" l="1"/>
  <c r="G1910" i="4"/>
  <c r="E1910" i="4"/>
  <c r="F1910" i="4" s="1"/>
  <c r="H1910" i="4" s="1"/>
  <c r="C1912" i="4"/>
  <c r="D1911" i="4"/>
  <c r="I1910" i="4" l="1"/>
  <c r="G1911" i="4"/>
  <c r="E1911" i="4"/>
  <c r="F1911" i="4" s="1"/>
  <c r="H1911" i="4" s="1"/>
  <c r="C1913" i="4"/>
  <c r="D1912" i="4"/>
  <c r="I1911" i="4" l="1"/>
  <c r="G1912" i="4"/>
  <c r="E1912" i="4"/>
  <c r="F1912" i="4" s="1"/>
  <c r="H1912" i="4" s="1"/>
  <c r="C1914" i="4"/>
  <c r="D1913" i="4"/>
  <c r="C1915" i="4" l="1"/>
  <c r="D1914" i="4"/>
  <c r="E1913" i="4"/>
  <c r="F1913" i="4" s="1"/>
  <c r="G1913" i="4"/>
  <c r="H1913" i="4"/>
  <c r="I1912" i="4"/>
  <c r="I1913" i="4" l="1"/>
  <c r="G1914" i="4"/>
  <c r="E1914" i="4"/>
  <c r="F1914" i="4" s="1"/>
  <c r="H1914" i="4"/>
  <c r="C1916" i="4"/>
  <c r="D1915" i="4"/>
  <c r="I1914" i="4" l="1"/>
  <c r="G1915" i="4"/>
  <c r="E1915" i="4"/>
  <c r="F1915" i="4" s="1"/>
  <c r="H1915" i="4"/>
  <c r="C1917" i="4"/>
  <c r="D1916" i="4"/>
  <c r="I1915" i="4" l="1"/>
  <c r="E1916" i="4"/>
  <c r="F1916" i="4" s="1"/>
  <c r="G1916" i="4"/>
  <c r="H1916" i="4"/>
  <c r="C1918" i="4"/>
  <c r="D1917" i="4"/>
  <c r="C1919" i="4" l="1"/>
  <c r="D1918" i="4"/>
  <c r="G1917" i="4"/>
  <c r="E1917" i="4"/>
  <c r="F1917" i="4" s="1"/>
  <c r="H1917" i="4"/>
  <c r="I1916" i="4"/>
  <c r="I1917" i="4" l="1"/>
  <c r="G1918" i="4"/>
  <c r="E1918" i="4"/>
  <c r="F1918" i="4" s="1"/>
  <c r="H1918" i="4"/>
  <c r="C1920" i="4"/>
  <c r="D1919" i="4"/>
  <c r="I1918" i="4" l="1"/>
  <c r="H1919" i="4"/>
  <c r="G1919" i="4"/>
  <c r="E1919" i="4"/>
  <c r="F1919" i="4" s="1"/>
  <c r="C1921" i="4"/>
  <c r="D1920" i="4"/>
  <c r="I1919" i="4" l="1"/>
  <c r="H1920" i="4"/>
  <c r="E1920" i="4"/>
  <c r="F1920" i="4" s="1"/>
  <c r="G1920" i="4"/>
  <c r="C1922" i="4"/>
  <c r="D1921" i="4"/>
  <c r="I1920" i="4" l="1"/>
  <c r="C1923" i="4"/>
  <c r="D1922" i="4"/>
  <c r="G1921" i="4"/>
  <c r="E1921" i="4"/>
  <c r="F1921" i="4" s="1"/>
  <c r="H1921" i="4"/>
  <c r="I1921" i="4" l="1"/>
  <c r="G1922" i="4"/>
  <c r="E1922" i="4"/>
  <c r="F1922" i="4" s="1"/>
  <c r="H1922" i="4"/>
  <c r="C1924" i="4"/>
  <c r="D1923" i="4"/>
  <c r="I1922" i="4" l="1"/>
  <c r="G1923" i="4"/>
  <c r="E1923" i="4"/>
  <c r="F1923" i="4" s="1"/>
  <c r="H1923" i="4"/>
  <c r="C1925" i="4"/>
  <c r="D1924" i="4"/>
  <c r="I1923" i="4" l="1"/>
  <c r="E1924" i="4"/>
  <c r="F1924" i="4" s="1"/>
  <c r="G1924" i="4"/>
  <c r="H1924" i="4"/>
  <c r="C1926" i="4"/>
  <c r="D1925" i="4"/>
  <c r="C1927" i="4" l="1"/>
  <c r="D1926" i="4"/>
  <c r="G1925" i="4"/>
  <c r="E1925" i="4"/>
  <c r="F1925" i="4" s="1"/>
  <c r="H1925" i="4"/>
  <c r="I1924" i="4"/>
  <c r="I1925" i="4" l="1"/>
  <c r="G1926" i="4"/>
  <c r="E1926" i="4"/>
  <c r="F1926" i="4" s="1"/>
  <c r="H1926" i="4"/>
  <c r="C1928" i="4"/>
  <c r="D1927" i="4"/>
  <c r="I1926" i="4" l="1"/>
  <c r="H1927" i="4"/>
  <c r="G1927" i="4"/>
  <c r="E1927" i="4"/>
  <c r="F1927" i="4" s="1"/>
  <c r="C1929" i="4"/>
  <c r="D1928" i="4"/>
  <c r="I1927" i="4" l="1"/>
  <c r="C1930" i="4"/>
  <c r="D1929" i="4"/>
  <c r="G1928" i="4"/>
  <c r="E1928" i="4"/>
  <c r="F1928" i="4" s="1"/>
  <c r="H1928" i="4"/>
  <c r="I1928" i="4" l="1"/>
  <c r="G1929" i="4"/>
  <c r="E1929" i="4"/>
  <c r="F1929" i="4" s="1"/>
  <c r="H1929" i="4"/>
  <c r="C1931" i="4"/>
  <c r="D1930" i="4"/>
  <c r="I1929" i="4" l="1"/>
  <c r="G1930" i="4"/>
  <c r="E1930" i="4"/>
  <c r="F1930" i="4" s="1"/>
  <c r="H1930" i="4"/>
  <c r="C1932" i="4"/>
  <c r="D1931" i="4"/>
  <c r="I1930" i="4" l="1"/>
  <c r="G1931" i="4"/>
  <c r="E1931" i="4"/>
  <c r="F1931" i="4" s="1"/>
  <c r="H1931" i="4"/>
  <c r="C1933" i="4"/>
  <c r="D1932" i="4"/>
  <c r="I1931" i="4" l="1"/>
  <c r="E1932" i="4"/>
  <c r="F1932" i="4" s="1"/>
  <c r="G1932" i="4"/>
  <c r="H1932" i="4"/>
  <c r="C1934" i="4"/>
  <c r="D1933" i="4"/>
  <c r="C1935" i="4" l="1"/>
  <c r="D1934" i="4"/>
  <c r="I1932" i="4"/>
  <c r="E1933" i="4"/>
  <c r="F1933" i="4" s="1"/>
  <c r="G1933" i="4"/>
  <c r="H1933" i="4"/>
  <c r="I1933" i="4" l="1"/>
  <c r="G1934" i="4"/>
  <c r="H1934" i="4"/>
  <c r="E1934" i="4"/>
  <c r="F1934" i="4" s="1"/>
  <c r="C1936" i="4"/>
  <c r="D1935" i="4"/>
  <c r="I1934" i="4" l="1"/>
  <c r="C1937" i="4"/>
  <c r="D1936" i="4"/>
  <c r="E1935" i="4"/>
  <c r="F1935" i="4" s="1"/>
  <c r="G1935" i="4"/>
  <c r="H1935" i="4"/>
  <c r="I1935" i="4" l="1"/>
  <c r="H1936" i="4"/>
  <c r="G1936" i="4"/>
  <c r="E1936" i="4"/>
  <c r="F1936" i="4" s="1"/>
  <c r="C1938" i="4"/>
  <c r="D1937" i="4"/>
  <c r="G1937" i="4" l="1"/>
  <c r="E1937" i="4"/>
  <c r="F1937" i="4" s="1"/>
  <c r="H1937" i="4"/>
  <c r="C1939" i="4"/>
  <c r="D1938" i="4"/>
  <c r="I1936" i="4"/>
  <c r="I1937" i="4" l="1"/>
  <c r="H1938" i="4"/>
  <c r="E1938" i="4"/>
  <c r="F1938" i="4" s="1"/>
  <c r="G1938" i="4"/>
  <c r="C1940" i="4"/>
  <c r="D1939" i="4"/>
  <c r="I1938" i="4" l="1"/>
  <c r="E1939" i="4"/>
  <c r="F1939" i="4" s="1"/>
  <c r="H1939" i="4" s="1"/>
  <c r="G1939" i="4"/>
  <c r="C1941" i="4"/>
  <c r="D1940" i="4"/>
  <c r="I1939" i="4" l="1"/>
  <c r="G1940" i="4"/>
  <c r="E1940" i="4"/>
  <c r="F1940" i="4" s="1"/>
  <c r="H1940" i="4" s="1"/>
  <c r="C1942" i="4"/>
  <c r="D1941" i="4"/>
  <c r="I1940" i="4" l="1"/>
  <c r="C1943" i="4"/>
  <c r="D1942" i="4"/>
  <c r="E1941" i="4"/>
  <c r="F1941" i="4" s="1"/>
  <c r="H1941" i="4" s="1"/>
  <c r="G1941" i="4"/>
  <c r="I1941" i="4" l="1"/>
  <c r="E1942" i="4"/>
  <c r="F1942" i="4" s="1"/>
  <c r="H1942" i="4" s="1"/>
  <c r="G1942" i="4"/>
  <c r="C1944" i="4"/>
  <c r="D1943" i="4"/>
  <c r="I1942" i="4" l="1"/>
  <c r="E1943" i="4"/>
  <c r="F1943" i="4" s="1"/>
  <c r="H1943" i="4" s="1"/>
  <c r="G1943" i="4"/>
  <c r="C1945" i="4"/>
  <c r="D1944" i="4"/>
  <c r="I1943" i="4" l="1"/>
  <c r="E1944" i="4"/>
  <c r="F1944" i="4" s="1"/>
  <c r="H1944" i="4" s="1"/>
  <c r="G1944" i="4"/>
  <c r="C1946" i="4"/>
  <c r="D1945" i="4"/>
  <c r="I1944" i="4" l="1"/>
  <c r="E1945" i="4"/>
  <c r="F1945" i="4" s="1"/>
  <c r="H1945" i="4" s="1"/>
  <c r="G1945" i="4"/>
  <c r="C1947" i="4"/>
  <c r="D1946" i="4"/>
  <c r="I1945" i="4" l="1"/>
  <c r="E1946" i="4"/>
  <c r="F1946" i="4" s="1"/>
  <c r="H1946" i="4"/>
  <c r="G1946" i="4"/>
  <c r="C1948" i="4"/>
  <c r="D1947" i="4"/>
  <c r="I1946" i="4" l="1"/>
  <c r="G1947" i="4"/>
  <c r="E1947" i="4"/>
  <c r="F1947" i="4" s="1"/>
  <c r="H1947" i="4"/>
  <c r="C1949" i="4"/>
  <c r="D1948" i="4"/>
  <c r="I1947" i="4" l="1"/>
  <c r="E1948" i="4"/>
  <c r="F1948" i="4" s="1"/>
  <c r="H1948" i="4"/>
  <c r="G1948" i="4"/>
  <c r="C1950" i="4"/>
  <c r="D1949" i="4"/>
  <c r="G1949" i="4" l="1"/>
  <c r="E1949" i="4"/>
  <c r="F1949" i="4" s="1"/>
  <c r="H1949" i="4"/>
  <c r="C1951" i="4"/>
  <c r="D1950" i="4"/>
  <c r="I1948" i="4"/>
  <c r="I1949" i="4" l="1"/>
  <c r="G1950" i="4"/>
  <c r="E1950" i="4"/>
  <c r="F1950" i="4" s="1"/>
  <c r="H1950" i="4" s="1"/>
  <c r="C1952" i="4"/>
  <c r="D1951" i="4"/>
  <c r="G1951" i="4" l="1"/>
  <c r="E1951" i="4"/>
  <c r="F1951" i="4" s="1"/>
  <c r="H1951" i="4"/>
  <c r="C1953" i="4"/>
  <c r="D1952" i="4"/>
  <c r="I1950" i="4"/>
  <c r="I1951" i="4" l="1"/>
  <c r="G1952" i="4"/>
  <c r="E1952" i="4"/>
  <c r="F1952" i="4" s="1"/>
  <c r="H1952" i="4" s="1"/>
  <c r="C1954" i="4"/>
  <c r="D1953" i="4"/>
  <c r="G1953" i="4" l="1"/>
  <c r="E1953" i="4"/>
  <c r="F1953" i="4" s="1"/>
  <c r="H1953" i="4"/>
  <c r="C1955" i="4"/>
  <c r="D1954" i="4"/>
  <c r="I1952" i="4"/>
  <c r="I1953" i="4" l="1"/>
  <c r="E1954" i="4"/>
  <c r="F1954" i="4" s="1"/>
  <c r="H1954" i="4"/>
  <c r="G1954" i="4"/>
  <c r="C1956" i="4"/>
  <c r="D1955" i="4"/>
  <c r="G1955" i="4" l="1"/>
  <c r="E1955" i="4"/>
  <c r="F1955" i="4" s="1"/>
  <c r="H1955" i="4"/>
  <c r="C1957" i="4"/>
  <c r="D1956" i="4"/>
  <c r="I1954" i="4"/>
  <c r="I1955" i="4" l="1"/>
  <c r="E1956" i="4"/>
  <c r="F1956" i="4" s="1"/>
  <c r="H1956" i="4" s="1"/>
  <c r="G1956" i="4"/>
  <c r="C1958" i="4"/>
  <c r="D1957" i="4"/>
  <c r="C1959" i="4" l="1"/>
  <c r="D1958" i="4"/>
  <c r="G1957" i="4"/>
  <c r="E1957" i="4"/>
  <c r="F1957" i="4" s="1"/>
  <c r="H1957" i="4"/>
  <c r="I1956" i="4"/>
  <c r="I1957" i="4" l="1"/>
  <c r="G1958" i="4"/>
  <c r="E1958" i="4"/>
  <c r="F1958" i="4" s="1"/>
  <c r="H1958" i="4"/>
  <c r="C1960" i="4"/>
  <c r="D1959" i="4"/>
  <c r="E1959" i="4" l="1"/>
  <c r="F1959" i="4" s="1"/>
  <c r="G1959" i="4"/>
  <c r="H1959" i="4"/>
  <c r="C1961" i="4"/>
  <c r="D1960" i="4"/>
  <c r="I1958" i="4"/>
  <c r="I1959" i="4" l="1"/>
  <c r="C1962" i="4"/>
  <c r="D1961" i="4"/>
  <c r="G1960" i="4"/>
  <c r="H1960" i="4"/>
  <c r="E1960" i="4"/>
  <c r="F1960" i="4" s="1"/>
  <c r="I1960" i="4" l="1"/>
  <c r="G1961" i="4"/>
  <c r="E1961" i="4"/>
  <c r="F1961" i="4" s="1"/>
  <c r="H1961" i="4"/>
  <c r="C1963" i="4"/>
  <c r="D1962" i="4"/>
  <c r="I1961" i="4" l="1"/>
  <c r="E1962" i="4"/>
  <c r="F1962" i="4" s="1"/>
  <c r="G1962" i="4"/>
  <c r="H1962" i="4"/>
  <c r="C1964" i="4"/>
  <c r="D1963" i="4"/>
  <c r="G1963" i="4" l="1"/>
  <c r="E1963" i="4"/>
  <c r="F1963" i="4" s="1"/>
  <c r="H1963" i="4"/>
  <c r="C1965" i="4"/>
  <c r="D1964" i="4"/>
  <c r="I1962" i="4"/>
  <c r="I1963" i="4" l="1"/>
  <c r="G1964" i="4"/>
  <c r="H1964" i="4"/>
  <c r="E1964" i="4"/>
  <c r="F1964" i="4" s="1"/>
  <c r="C1966" i="4"/>
  <c r="D1965" i="4"/>
  <c r="C1967" i="4" l="1"/>
  <c r="D1966" i="4"/>
  <c r="G1965" i="4"/>
  <c r="E1965" i="4"/>
  <c r="F1965" i="4" s="1"/>
  <c r="H1965" i="4"/>
  <c r="I1964" i="4"/>
  <c r="I1965" i="4" l="1"/>
  <c r="G1966" i="4"/>
  <c r="E1966" i="4"/>
  <c r="F1966" i="4" s="1"/>
  <c r="H1966" i="4"/>
  <c r="C1968" i="4"/>
  <c r="D1967" i="4"/>
  <c r="G1967" i="4" l="1"/>
  <c r="E1967" i="4"/>
  <c r="F1967" i="4" s="1"/>
  <c r="H1967" i="4"/>
  <c r="C1969" i="4"/>
  <c r="D1968" i="4"/>
  <c r="I1966" i="4"/>
  <c r="I1967" i="4" l="1"/>
  <c r="E1968" i="4"/>
  <c r="F1968" i="4" s="1"/>
  <c r="G1968" i="4"/>
  <c r="H1968" i="4"/>
  <c r="C1970" i="4"/>
  <c r="D1969" i="4"/>
  <c r="C1971" i="4" l="1"/>
  <c r="D1970" i="4"/>
  <c r="I1968" i="4"/>
  <c r="G1969" i="4"/>
  <c r="E1969" i="4"/>
  <c r="F1969" i="4" s="1"/>
  <c r="H1969" i="4"/>
  <c r="I1969" i="4" l="1"/>
  <c r="G1970" i="4"/>
  <c r="H1970" i="4"/>
  <c r="E1970" i="4"/>
  <c r="F1970" i="4" s="1"/>
  <c r="C1972" i="4"/>
  <c r="D1971" i="4"/>
  <c r="C1973" i="4" l="1"/>
  <c r="D1972" i="4"/>
  <c r="G1971" i="4"/>
  <c r="E1971" i="4"/>
  <c r="F1971" i="4" s="1"/>
  <c r="H1971" i="4"/>
  <c r="I1970" i="4"/>
  <c r="I1971" i="4" l="1"/>
  <c r="E1972" i="4"/>
  <c r="F1972" i="4" s="1"/>
  <c r="G1972" i="4"/>
  <c r="H1972" i="4"/>
  <c r="C1974" i="4"/>
  <c r="D1973" i="4"/>
  <c r="C1975" i="4" l="1"/>
  <c r="D1974" i="4"/>
  <c r="I1972" i="4"/>
  <c r="E1973" i="4"/>
  <c r="F1973" i="4" s="1"/>
  <c r="G1973" i="4"/>
  <c r="H1973" i="4"/>
  <c r="I1973" i="4" l="1"/>
  <c r="H1974" i="4"/>
  <c r="E1974" i="4"/>
  <c r="F1974" i="4" s="1"/>
  <c r="G1974" i="4"/>
  <c r="C1976" i="4"/>
  <c r="D1975" i="4"/>
  <c r="G1975" i="4" l="1"/>
  <c r="E1975" i="4"/>
  <c r="F1975" i="4" s="1"/>
  <c r="H1975" i="4"/>
  <c r="C1977" i="4"/>
  <c r="D1976" i="4"/>
  <c r="I1974" i="4"/>
  <c r="I1975" i="4" l="1"/>
  <c r="E1976" i="4"/>
  <c r="F1976" i="4" s="1"/>
  <c r="G1976" i="4"/>
  <c r="H1976" i="4"/>
  <c r="C1978" i="4"/>
  <c r="D1977" i="4"/>
  <c r="I1976" i="4" l="1"/>
  <c r="G1977" i="4"/>
  <c r="E1977" i="4"/>
  <c r="F1977" i="4" s="1"/>
  <c r="H1977" i="4"/>
  <c r="C1979" i="4"/>
  <c r="D1978" i="4"/>
  <c r="I1977" i="4" l="1"/>
  <c r="G1978" i="4"/>
  <c r="E1978" i="4"/>
  <c r="F1978" i="4" s="1"/>
  <c r="H1978" i="4" s="1"/>
  <c r="C1980" i="4"/>
  <c r="D1979" i="4"/>
  <c r="I1978" i="4" l="1"/>
  <c r="E1979" i="4"/>
  <c r="F1979" i="4" s="1"/>
  <c r="H1979" i="4" s="1"/>
  <c r="G1979" i="4"/>
  <c r="C1981" i="4"/>
  <c r="D1980" i="4"/>
  <c r="I1979" i="4" l="1"/>
  <c r="E1980" i="4"/>
  <c r="F1980" i="4" s="1"/>
  <c r="H1980" i="4" s="1"/>
  <c r="G1980" i="4"/>
  <c r="C1982" i="4"/>
  <c r="D1981" i="4"/>
  <c r="I1980" i="4" l="1"/>
  <c r="E1981" i="4"/>
  <c r="F1981" i="4" s="1"/>
  <c r="H1981" i="4"/>
  <c r="G1981" i="4"/>
  <c r="C1983" i="4"/>
  <c r="D1982" i="4"/>
  <c r="I1981" i="4" l="1"/>
  <c r="E1982" i="4"/>
  <c r="F1982" i="4" s="1"/>
  <c r="G1982" i="4"/>
  <c r="H1982" i="4"/>
  <c r="C1984" i="4"/>
  <c r="D1983" i="4"/>
  <c r="I1982" i="4" l="1"/>
  <c r="E1983" i="4"/>
  <c r="F1983" i="4" s="1"/>
  <c r="H1983" i="4" s="1"/>
  <c r="G1983" i="4"/>
  <c r="C1985" i="4"/>
  <c r="D1984" i="4"/>
  <c r="I1983" i="4" l="1"/>
  <c r="E1984" i="4"/>
  <c r="F1984" i="4" s="1"/>
  <c r="H1984" i="4" s="1"/>
  <c r="G1984" i="4"/>
  <c r="C1986" i="4"/>
  <c r="D1985" i="4"/>
  <c r="I1984" i="4" l="1"/>
  <c r="E1985" i="4"/>
  <c r="F1985" i="4" s="1"/>
  <c r="H1985" i="4" s="1"/>
  <c r="G1985" i="4"/>
  <c r="C1987" i="4"/>
  <c r="D1986" i="4"/>
  <c r="I1985" i="4" l="1"/>
  <c r="E1986" i="4"/>
  <c r="F1986" i="4" s="1"/>
  <c r="H1986" i="4" s="1"/>
  <c r="G1986" i="4"/>
  <c r="C1988" i="4"/>
  <c r="D1987" i="4"/>
  <c r="I1986" i="4" l="1"/>
  <c r="G1987" i="4"/>
  <c r="E1987" i="4"/>
  <c r="F1987" i="4" s="1"/>
  <c r="H1987" i="4" s="1"/>
  <c r="C1989" i="4"/>
  <c r="D1988" i="4"/>
  <c r="I1987" i="4" l="1"/>
  <c r="E1988" i="4"/>
  <c r="F1988" i="4" s="1"/>
  <c r="G1988" i="4"/>
  <c r="H1988" i="4"/>
  <c r="C1990" i="4"/>
  <c r="D1989" i="4"/>
  <c r="C1991" i="4" l="1"/>
  <c r="D1990" i="4"/>
  <c r="I1988" i="4"/>
  <c r="E1989" i="4"/>
  <c r="F1989" i="4" s="1"/>
  <c r="G1989" i="4"/>
  <c r="H1989" i="4"/>
  <c r="I1989" i="4" l="1"/>
  <c r="G1990" i="4"/>
  <c r="E1990" i="4"/>
  <c r="F1990" i="4" s="1"/>
  <c r="H1990" i="4"/>
  <c r="C1992" i="4"/>
  <c r="D1991" i="4"/>
  <c r="G1991" i="4" l="1"/>
  <c r="E1991" i="4"/>
  <c r="F1991" i="4" s="1"/>
  <c r="H1991" i="4"/>
  <c r="C1993" i="4"/>
  <c r="D1992" i="4"/>
  <c r="I1990" i="4"/>
  <c r="I1991" i="4" l="1"/>
  <c r="C1994" i="4"/>
  <c r="D1993" i="4"/>
  <c r="E1992" i="4"/>
  <c r="F1992" i="4" s="1"/>
  <c r="G1992" i="4"/>
  <c r="H1992" i="4"/>
  <c r="I1992" i="4" l="1"/>
  <c r="G1993" i="4"/>
  <c r="E1993" i="4"/>
  <c r="F1993" i="4" s="1"/>
  <c r="H1993" i="4" s="1"/>
  <c r="C1995" i="4"/>
  <c r="D1994" i="4"/>
  <c r="I1993" i="4" l="1"/>
  <c r="E1994" i="4"/>
  <c r="F1994" i="4" s="1"/>
  <c r="G1994" i="4"/>
  <c r="H1994" i="4"/>
  <c r="C1996" i="4"/>
  <c r="D1995" i="4"/>
  <c r="I1994" i="4" l="1"/>
  <c r="C1997" i="4"/>
  <c r="D1996" i="4"/>
  <c r="G1995" i="4"/>
  <c r="E1995" i="4"/>
  <c r="F1995" i="4" s="1"/>
  <c r="H1995" i="4"/>
  <c r="I1995" i="4" l="1"/>
  <c r="E1996" i="4"/>
  <c r="F1996" i="4" s="1"/>
  <c r="H1996" i="4"/>
  <c r="G1996" i="4"/>
  <c r="C1998" i="4"/>
  <c r="D1997" i="4"/>
  <c r="H1997" i="4" l="1"/>
  <c r="G1997" i="4"/>
  <c r="E1997" i="4"/>
  <c r="F1997" i="4" s="1"/>
  <c r="C1999" i="4"/>
  <c r="D1998" i="4"/>
  <c r="I1996" i="4"/>
  <c r="E1998" i="4" l="1"/>
  <c r="F1998" i="4" s="1"/>
  <c r="G1998" i="4"/>
  <c r="H1998" i="4"/>
  <c r="C2000" i="4"/>
  <c r="D1999" i="4"/>
  <c r="I1997" i="4"/>
  <c r="I1998" i="4" l="1"/>
  <c r="G1999" i="4"/>
  <c r="E1999" i="4"/>
  <c r="F1999" i="4" s="1"/>
  <c r="H1999" i="4"/>
  <c r="C2001" i="4"/>
  <c r="D2000" i="4"/>
  <c r="I1999" i="4" l="1"/>
  <c r="E2000" i="4"/>
  <c r="F2000" i="4" s="1"/>
  <c r="G2000" i="4"/>
  <c r="H2000" i="4"/>
  <c r="C2002" i="4"/>
  <c r="D2001" i="4"/>
  <c r="I2000" i="4" l="1"/>
  <c r="C2003" i="4"/>
  <c r="D2002" i="4"/>
  <c r="G2001" i="4"/>
  <c r="H2001" i="4"/>
  <c r="E2001" i="4"/>
  <c r="F2001" i="4" s="1"/>
  <c r="I2001" i="4" l="1"/>
  <c r="E2002" i="4"/>
  <c r="F2002" i="4" s="1"/>
  <c r="G2002" i="4"/>
  <c r="H2002" i="4"/>
  <c r="C2004" i="4"/>
  <c r="D2003" i="4"/>
  <c r="I2002" i="4" l="1"/>
  <c r="G2003" i="4"/>
  <c r="E2003" i="4"/>
  <c r="F2003" i="4" s="1"/>
  <c r="H2003" i="4"/>
  <c r="C2005" i="4"/>
  <c r="D2004" i="4"/>
  <c r="E2004" i="4" l="1"/>
  <c r="F2004" i="4" s="1"/>
  <c r="H2004" i="4"/>
  <c r="G2004" i="4"/>
  <c r="C2006" i="4"/>
  <c r="D2005" i="4"/>
  <c r="I2003" i="4"/>
  <c r="E2005" i="4" l="1"/>
  <c r="F2005" i="4" s="1"/>
  <c r="G2005" i="4"/>
  <c r="H2005" i="4"/>
  <c r="C2007" i="4"/>
  <c r="D2006" i="4"/>
  <c r="I2004" i="4"/>
  <c r="C2008" i="4" l="1"/>
  <c r="D2007" i="4"/>
  <c r="E2006" i="4"/>
  <c r="F2006" i="4" s="1"/>
  <c r="G2006" i="4"/>
  <c r="H2006" i="4"/>
  <c r="I2005" i="4"/>
  <c r="I2006" i="4" l="1"/>
  <c r="G2007" i="4"/>
  <c r="E2007" i="4"/>
  <c r="F2007" i="4" s="1"/>
  <c r="H2007" i="4"/>
  <c r="C2009" i="4"/>
  <c r="D2008" i="4"/>
  <c r="I2007" i="4" l="1"/>
  <c r="H2008" i="4"/>
  <c r="G2008" i="4"/>
  <c r="E2008" i="4"/>
  <c r="F2008" i="4" s="1"/>
  <c r="C2010" i="4"/>
  <c r="D2009" i="4"/>
  <c r="C2011" i="4" l="1"/>
  <c r="D2010" i="4"/>
  <c r="I2008" i="4"/>
  <c r="E2009" i="4"/>
  <c r="F2009" i="4" s="1"/>
  <c r="G2009" i="4"/>
  <c r="H2009" i="4"/>
  <c r="I2009" i="4" l="1"/>
  <c r="E2010" i="4"/>
  <c r="F2010" i="4" s="1"/>
  <c r="G2010" i="4"/>
  <c r="H2010" i="4"/>
  <c r="C2012" i="4"/>
  <c r="D2011" i="4"/>
  <c r="I2010" i="4" l="1"/>
  <c r="G2011" i="4"/>
  <c r="H2011" i="4"/>
  <c r="E2011" i="4"/>
  <c r="F2011" i="4" s="1"/>
  <c r="C2013" i="4"/>
  <c r="D2012" i="4"/>
  <c r="H2012" i="4" l="1"/>
  <c r="G2012" i="4"/>
  <c r="E2012" i="4"/>
  <c r="F2012" i="4" s="1"/>
  <c r="C2014" i="4"/>
  <c r="D2013" i="4"/>
  <c r="I2011" i="4"/>
  <c r="C2015" i="4" l="1"/>
  <c r="D2014" i="4"/>
  <c r="I2012" i="4"/>
  <c r="E2013" i="4"/>
  <c r="F2013" i="4" s="1"/>
  <c r="G2013" i="4"/>
  <c r="H2013" i="4"/>
  <c r="I2013" i="4" l="1"/>
  <c r="E2014" i="4"/>
  <c r="F2014" i="4" s="1"/>
  <c r="G2014" i="4"/>
  <c r="H2014" i="4"/>
  <c r="C2016" i="4"/>
  <c r="D2015" i="4"/>
  <c r="I2014" i="4" l="1"/>
  <c r="G2015" i="4"/>
  <c r="E2015" i="4"/>
  <c r="F2015" i="4" s="1"/>
  <c r="H2015" i="4"/>
  <c r="C2017" i="4"/>
  <c r="D2016" i="4"/>
  <c r="G2016" i="4" l="1"/>
  <c r="E2016" i="4"/>
  <c r="F2016" i="4" s="1"/>
  <c r="H2016" i="4" s="1"/>
  <c r="C2018" i="4"/>
  <c r="D2017" i="4"/>
  <c r="I2015" i="4"/>
  <c r="E2017" i="4" l="1"/>
  <c r="F2017" i="4" s="1"/>
  <c r="G2017" i="4"/>
  <c r="H2017" i="4"/>
  <c r="I2016" i="4"/>
  <c r="C2019" i="4"/>
  <c r="D2018" i="4"/>
  <c r="I2017" i="4" l="1"/>
  <c r="C2020" i="4"/>
  <c r="D2019" i="4"/>
  <c r="E2018" i="4"/>
  <c r="F2018" i="4" s="1"/>
  <c r="H2018" i="4"/>
  <c r="G2018" i="4"/>
  <c r="I2018" i="4" l="1"/>
  <c r="E2019" i="4"/>
  <c r="F2019" i="4" s="1"/>
  <c r="H2019" i="4"/>
  <c r="G2019" i="4"/>
  <c r="C2021" i="4"/>
  <c r="D2020" i="4"/>
  <c r="I2019" i="4" l="1"/>
  <c r="C2022" i="4"/>
  <c r="D2021" i="4"/>
  <c r="E2020" i="4"/>
  <c r="F2020" i="4" s="1"/>
  <c r="H2020" i="4" s="1"/>
  <c r="G2020" i="4"/>
  <c r="I2020" i="4" l="1"/>
  <c r="E2021" i="4"/>
  <c r="F2021" i="4" s="1"/>
  <c r="H2021" i="4"/>
  <c r="G2021" i="4"/>
  <c r="C2023" i="4"/>
  <c r="D2022" i="4"/>
  <c r="I2021" i="4" l="1"/>
  <c r="C2024" i="4"/>
  <c r="D2023" i="4"/>
  <c r="E2022" i="4"/>
  <c r="F2022" i="4" s="1"/>
  <c r="H2022" i="4" s="1"/>
  <c r="G2022" i="4"/>
  <c r="I2022" i="4" l="1"/>
  <c r="E2023" i="4"/>
  <c r="F2023" i="4" s="1"/>
  <c r="H2023" i="4"/>
  <c r="G2023" i="4"/>
  <c r="C2025" i="4"/>
  <c r="D2024" i="4"/>
  <c r="I2023" i="4" l="1"/>
  <c r="G2024" i="4"/>
  <c r="E2024" i="4"/>
  <c r="F2024" i="4" s="1"/>
  <c r="H2024" i="4" s="1"/>
  <c r="C2026" i="4"/>
  <c r="D2025" i="4"/>
  <c r="I2024" i="4" l="1"/>
  <c r="E2025" i="4"/>
  <c r="F2025" i="4" s="1"/>
  <c r="H2025" i="4"/>
  <c r="G2025" i="4"/>
  <c r="C2027" i="4"/>
  <c r="D2026" i="4"/>
  <c r="I2025" i="4" l="1"/>
  <c r="C2028" i="4"/>
  <c r="D2027" i="4"/>
  <c r="E2026" i="4"/>
  <c r="F2026" i="4" s="1"/>
  <c r="H2026" i="4" s="1"/>
  <c r="G2026" i="4"/>
  <c r="I2026" i="4" l="1"/>
  <c r="G2027" i="4"/>
  <c r="E2027" i="4"/>
  <c r="F2027" i="4" s="1"/>
  <c r="H2027" i="4"/>
  <c r="C2029" i="4"/>
  <c r="D2028" i="4"/>
  <c r="I2027" i="4" l="1"/>
  <c r="G2028" i="4"/>
  <c r="E2028" i="4"/>
  <c r="F2028" i="4" s="1"/>
  <c r="H2028" i="4" s="1"/>
  <c r="C2030" i="4"/>
  <c r="D2029" i="4"/>
  <c r="G2029" i="4" l="1"/>
  <c r="E2029" i="4"/>
  <c r="F2029" i="4" s="1"/>
  <c r="H2029" i="4"/>
  <c r="C2031" i="4"/>
  <c r="D2030" i="4"/>
  <c r="I2028" i="4"/>
  <c r="I2029" i="4" l="1"/>
  <c r="E2030" i="4"/>
  <c r="F2030" i="4" s="1"/>
  <c r="H2030" i="4" s="1"/>
  <c r="G2030" i="4"/>
  <c r="C2032" i="4"/>
  <c r="D2031" i="4"/>
  <c r="C2033" i="4" l="1"/>
  <c r="D2032" i="4"/>
  <c r="E2031" i="4"/>
  <c r="F2031" i="4" s="1"/>
  <c r="G2031" i="4"/>
  <c r="H2031" i="4"/>
  <c r="I2030" i="4"/>
  <c r="I2031" i="4" l="1"/>
  <c r="E2032" i="4"/>
  <c r="F2032" i="4" s="1"/>
  <c r="G2032" i="4"/>
  <c r="H2032" i="4"/>
  <c r="C2034" i="4"/>
  <c r="D2033" i="4"/>
  <c r="I2032" i="4" l="1"/>
  <c r="C2035" i="4"/>
  <c r="D2034" i="4"/>
  <c r="G2033" i="4"/>
  <c r="E2033" i="4"/>
  <c r="F2033" i="4" s="1"/>
  <c r="H2033" i="4"/>
  <c r="I2033" i="4" l="1"/>
  <c r="H2034" i="4"/>
  <c r="E2034" i="4"/>
  <c r="F2034" i="4" s="1"/>
  <c r="G2034" i="4"/>
  <c r="C2036" i="4"/>
  <c r="D2035" i="4"/>
  <c r="G2035" i="4" l="1"/>
  <c r="E2035" i="4"/>
  <c r="F2035" i="4" s="1"/>
  <c r="H2035" i="4"/>
  <c r="C2037" i="4"/>
  <c r="D2036" i="4"/>
  <c r="I2034" i="4"/>
  <c r="I2035" i="4" l="1"/>
  <c r="H2036" i="4"/>
  <c r="E2036" i="4"/>
  <c r="F2036" i="4" s="1"/>
  <c r="G2036" i="4"/>
  <c r="C2038" i="4"/>
  <c r="D2037" i="4"/>
  <c r="G2037" i="4" l="1"/>
  <c r="E2037" i="4"/>
  <c r="F2037" i="4" s="1"/>
  <c r="H2037" i="4"/>
  <c r="I2036" i="4"/>
  <c r="C2039" i="4"/>
  <c r="D2038" i="4"/>
  <c r="I2037" i="4" l="1"/>
  <c r="G2038" i="4"/>
  <c r="E2038" i="4"/>
  <c r="F2038" i="4" s="1"/>
  <c r="H2038" i="4"/>
  <c r="C2040" i="4"/>
  <c r="D2039" i="4"/>
  <c r="I2038" i="4" l="1"/>
  <c r="G2039" i="4"/>
  <c r="E2039" i="4"/>
  <c r="F2039" i="4" s="1"/>
  <c r="H2039" i="4"/>
  <c r="C2041" i="4"/>
  <c r="D2040" i="4"/>
  <c r="I2039" i="4" l="1"/>
  <c r="G2040" i="4"/>
  <c r="H2040" i="4"/>
  <c r="E2040" i="4"/>
  <c r="F2040" i="4" s="1"/>
  <c r="C2042" i="4"/>
  <c r="D2041" i="4"/>
  <c r="I2040" i="4" l="1"/>
  <c r="G2041" i="4"/>
  <c r="E2041" i="4"/>
  <c r="F2041" i="4" s="1"/>
  <c r="H2041" i="4"/>
  <c r="C2043" i="4"/>
  <c r="D2042" i="4"/>
  <c r="I2041" i="4" l="1"/>
  <c r="C2044" i="4"/>
  <c r="D2043" i="4"/>
  <c r="G2042" i="4"/>
  <c r="H2042" i="4"/>
  <c r="E2042" i="4"/>
  <c r="F2042" i="4" s="1"/>
  <c r="I2042" i="4" l="1"/>
  <c r="G2043" i="4"/>
  <c r="E2043" i="4"/>
  <c r="F2043" i="4" s="1"/>
  <c r="H2043" i="4"/>
  <c r="C2045" i="4"/>
  <c r="D2044" i="4"/>
  <c r="I2043" i="4" l="1"/>
  <c r="G2044" i="4"/>
  <c r="H2044" i="4"/>
  <c r="E2044" i="4"/>
  <c r="F2044" i="4" s="1"/>
  <c r="C2046" i="4"/>
  <c r="D2045" i="4"/>
  <c r="I2044" i="4" l="1"/>
  <c r="G2045" i="4"/>
  <c r="E2045" i="4"/>
  <c r="F2045" i="4" s="1"/>
  <c r="H2045" i="4"/>
  <c r="C2047" i="4"/>
  <c r="D2046" i="4"/>
  <c r="I2045" i="4" l="1"/>
  <c r="H2046" i="4"/>
  <c r="G2046" i="4"/>
  <c r="E2046" i="4"/>
  <c r="F2046" i="4" s="1"/>
  <c r="C2048" i="4"/>
  <c r="D2047" i="4"/>
  <c r="G2047" i="4" l="1"/>
  <c r="E2047" i="4"/>
  <c r="F2047" i="4" s="1"/>
  <c r="H2047" i="4"/>
  <c r="I2046" i="4"/>
  <c r="C2049" i="4"/>
  <c r="D2048" i="4"/>
  <c r="I2047" i="4" l="1"/>
  <c r="G2048" i="4"/>
  <c r="H2048" i="4"/>
  <c r="E2048" i="4"/>
  <c r="F2048" i="4" s="1"/>
  <c r="C2050" i="4"/>
  <c r="D2049" i="4"/>
  <c r="G2049" i="4" l="1"/>
  <c r="E2049" i="4"/>
  <c r="F2049" i="4" s="1"/>
  <c r="H2049" i="4"/>
  <c r="C2051" i="4"/>
  <c r="D2050" i="4"/>
  <c r="I2048" i="4"/>
  <c r="I2049" i="4" l="1"/>
  <c r="E2050" i="4"/>
  <c r="F2050" i="4" s="1"/>
  <c r="G2050" i="4"/>
  <c r="H2050" i="4"/>
  <c r="C2052" i="4"/>
  <c r="D2051" i="4"/>
  <c r="C2053" i="4" l="1"/>
  <c r="D2052" i="4"/>
  <c r="I2050" i="4"/>
  <c r="G2051" i="4"/>
  <c r="E2051" i="4"/>
  <c r="F2051" i="4" s="1"/>
  <c r="H2051" i="4"/>
  <c r="I2051" i="4" l="1"/>
  <c r="E2052" i="4"/>
  <c r="F2052" i="4" s="1"/>
  <c r="G2052" i="4"/>
  <c r="H2052" i="4"/>
  <c r="C2054" i="4"/>
  <c r="D2053" i="4"/>
  <c r="I2052" i="4" l="1"/>
  <c r="C2055" i="4"/>
  <c r="D2054" i="4"/>
  <c r="G2053" i="4"/>
  <c r="E2053" i="4"/>
  <c r="F2053" i="4" s="1"/>
  <c r="H2053" i="4"/>
  <c r="I2053" i="4" l="1"/>
  <c r="E2054" i="4"/>
  <c r="F2054" i="4" s="1"/>
  <c r="H2054" i="4" s="1"/>
  <c r="G2054" i="4"/>
  <c r="C2056" i="4"/>
  <c r="D2055" i="4"/>
  <c r="I2054" i="4" l="1"/>
  <c r="C2057" i="4"/>
  <c r="D2056" i="4"/>
  <c r="G2055" i="4"/>
  <c r="E2055" i="4"/>
  <c r="F2055" i="4" s="1"/>
  <c r="H2055" i="4"/>
  <c r="I2055" i="4" l="1"/>
  <c r="E2056" i="4"/>
  <c r="F2056" i="4" s="1"/>
  <c r="G2056" i="4"/>
  <c r="H2056" i="4"/>
  <c r="C2058" i="4"/>
  <c r="D2057" i="4"/>
  <c r="I2056" i="4" l="1"/>
  <c r="G2057" i="4"/>
  <c r="E2057" i="4"/>
  <c r="F2057" i="4" s="1"/>
  <c r="H2057" i="4"/>
  <c r="C2059" i="4"/>
  <c r="D2058" i="4"/>
  <c r="I2057" i="4" l="1"/>
  <c r="E2058" i="4"/>
  <c r="F2058" i="4" s="1"/>
  <c r="H2058" i="4" s="1"/>
  <c r="G2058" i="4"/>
  <c r="C2060" i="4"/>
  <c r="D2059" i="4"/>
  <c r="I2058" i="4" l="1"/>
  <c r="E2059" i="4"/>
  <c r="F2059" i="4" s="1"/>
  <c r="H2059" i="4" s="1"/>
  <c r="G2059" i="4"/>
  <c r="C2061" i="4"/>
  <c r="D2060" i="4"/>
  <c r="I2059" i="4" l="1"/>
  <c r="E2060" i="4"/>
  <c r="F2060" i="4" s="1"/>
  <c r="H2060" i="4"/>
  <c r="G2060" i="4"/>
  <c r="C2062" i="4"/>
  <c r="D2061" i="4"/>
  <c r="I2060" i="4" l="1"/>
  <c r="E2061" i="4"/>
  <c r="F2061" i="4" s="1"/>
  <c r="H2061" i="4" s="1"/>
  <c r="G2061" i="4"/>
  <c r="C2063" i="4"/>
  <c r="D2062" i="4"/>
  <c r="I2061" i="4" l="1"/>
  <c r="E2062" i="4"/>
  <c r="F2062" i="4" s="1"/>
  <c r="H2062" i="4" s="1"/>
  <c r="G2062" i="4"/>
  <c r="C2064" i="4"/>
  <c r="D2063" i="4"/>
  <c r="I2062" i="4" l="1"/>
  <c r="E2063" i="4"/>
  <c r="F2063" i="4" s="1"/>
  <c r="H2063" i="4" s="1"/>
  <c r="G2063" i="4"/>
  <c r="C2065" i="4"/>
  <c r="D2064" i="4"/>
  <c r="I2063" i="4" l="1"/>
  <c r="E2064" i="4"/>
  <c r="F2064" i="4" s="1"/>
  <c r="H2064" i="4" s="1"/>
  <c r="G2064" i="4"/>
  <c r="C2066" i="4"/>
  <c r="D2065" i="4"/>
  <c r="I2064" i="4" l="1"/>
  <c r="E2065" i="4"/>
  <c r="F2065" i="4" s="1"/>
  <c r="H2065" i="4" s="1"/>
  <c r="G2065" i="4"/>
  <c r="C2067" i="4"/>
  <c r="D2066" i="4"/>
  <c r="I2065" i="4" l="1"/>
  <c r="E2066" i="4"/>
  <c r="F2066" i="4" s="1"/>
  <c r="H2066" i="4" s="1"/>
  <c r="G2066" i="4"/>
  <c r="C2068" i="4"/>
  <c r="D2067" i="4"/>
  <c r="I2066" i="4" l="1"/>
  <c r="E2067" i="4"/>
  <c r="F2067" i="4" s="1"/>
  <c r="G2067" i="4"/>
  <c r="H2067" i="4"/>
  <c r="C2069" i="4"/>
  <c r="D2068" i="4"/>
  <c r="I2067" i="4" l="1"/>
  <c r="E2068" i="4"/>
  <c r="F2068" i="4" s="1"/>
  <c r="G2068" i="4"/>
  <c r="H2068" i="4"/>
  <c r="C2070" i="4"/>
  <c r="D2069" i="4"/>
  <c r="I2068" i="4" l="1"/>
  <c r="G2069" i="4"/>
  <c r="E2069" i="4"/>
  <c r="F2069" i="4" s="1"/>
  <c r="H2069" i="4"/>
  <c r="C2071" i="4"/>
  <c r="D2070" i="4"/>
  <c r="I2069" i="4" l="1"/>
  <c r="G2070" i="4"/>
  <c r="E2070" i="4"/>
  <c r="F2070" i="4" s="1"/>
  <c r="H2070" i="4" s="1"/>
  <c r="C2072" i="4"/>
  <c r="D2071" i="4"/>
  <c r="C2073" i="4" l="1"/>
  <c r="D2072" i="4"/>
  <c r="I2070" i="4"/>
  <c r="G2071" i="4"/>
  <c r="E2071" i="4"/>
  <c r="F2071" i="4" s="1"/>
  <c r="H2071" i="4"/>
  <c r="I2071" i="4" l="1"/>
  <c r="E2072" i="4"/>
  <c r="F2072" i="4" s="1"/>
  <c r="G2072" i="4"/>
  <c r="H2072" i="4"/>
  <c r="C2074" i="4"/>
  <c r="D2073" i="4"/>
  <c r="G2073" i="4" l="1"/>
  <c r="E2073" i="4"/>
  <c r="F2073" i="4" s="1"/>
  <c r="H2073" i="4"/>
  <c r="C2075" i="4"/>
  <c r="D2074" i="4"/>
  <c r="I2072" i="4"/>
  <c r="I2073" i="4" l="1"/>
  <c r="C2076" i="4"/>
  <c r="D2075" i="4"/>
  <c r="H2074" i="4"/>
  <c r="G2074" i="4"/>
  <c r="E2074" i="4"/>
  <c r="F2074" i="4" s="1"/>
  <c r="I2074" i="4" l="1"/>
  <c r="E2075" i="4"/>
  <c r="F2075" i="4" s="1"/>
  <c r="G2075" i="4"/>
  <c r="H2075" i="4"/>
  <c r="C2077" i="4"/>
  <c r="D2076" i="4"/>
  <c r="I2075" i="4" l="1"/>
  <c r="E2076" i="4"/>
  <c r="F2076" i="4" s="1"/>
  <c r="G2076" i="4"/>
  <c r="H2076" i="4"/>
  <c r="C2078" i="4"/>
  <c r="D2077" i="4"/>
  <c r="G2077" i="4" l="1"/>
  <c r="E2077" i="4"/>
  <c r="F2077" i="4" s="1"/>
  <c r="H2077" i="4"/>
  <c r="C2079" i="4"/>
  <c r="D2078" i="4"/>
  <c r="I2076" i="4"/>
  <c r="I2077" i="4" l="1"/>
  <c r="E2078" i="4"/>
  <c r="F2078" i="4" s="1"/>
  <c r="H2078" i="4"/>
  <c r="G2078" i="4"/>
  <c r="C2080" i="4"/>
  <c r="D2079" i="4"/>
  <c r="C2081" i="4" l="1"/>
  <c r="D2080" i="4"/>
  <c r="G2079" i="4"/>
  <c r="E2079" i="4"/>
  <c r="F2079" i="4" s="1"/>
  <c r="H2079" i="4"/>
  <c r="I2078" i="4"/>
  <c r="I2079" i="4" l="1"/>
  <c r="E2080" i="4"/>
  <c r="F2080" i="4" s="1"/>
  <c r="H2080" i="4"/>
  <c r="G2080" i="4"/>
  <c r="C2082" i="4"/>
  <c r="D2081" i="4"/>
  <c r="G2081" i="4" l="1"/>
  <c r="E2081" i="4"/>
  <c r="F2081" i="4" s="1"/>
  <c r="H2081" i="4"/>
  <c r="C2083" i="4"/>
  <c r="D2082" i="4"/>
  <c r="I2080" i="4"/>
  <c r="I2081" i="4" l="1"/>
  <c r="E2082" i="4"/>
  <c r="F2082" i="4" s="1"/>
  <c r="H2082" i="4"/>
  <c r="G2082" i="4"/>
  <c r="C2084" i="4"/>
  <c r="D2083" i="4"/>
  <c r="E2083" i="4" l="1"/>
  <c r="F2083" i="4" s="1"/>
  <c r="G2083" i="4"/>
  <c r="H2083" i="4"/>
  <c r="C2085" i="4"/>
  <c r="D2084" i="4"/>
  <c r="I2082" i="4"/>
  <c r="I2083" i="4" l="1"/>
  <c r="E2084" i="4"/>
  <c r="F2084" i="4" s="1"/>
  <c r="H2084" i="4"/>
  <c r="G2084" i="4"/>
  <c r="C2086" i="4"/>
  <c r="D2085" i="4"/>
  <c r="C2087" i="4" l="1"/>
  <c r="D2086" i="4"/>
  <c r="I2084" i="4"/>
  <c r="G2085" i="4"/>
  <c r="E2085" i="4"/>
  <c r="F2085" i="4" s="1"/>
  <c r="H2085" i="4"/>
  <c r="I2085" i="4" l="1"/>
  <c r="G2086" i="4"/>
  <c r="E2086" i="4"/>
  <c r="F2086" i="4" s="1"/>
  <c r="H2086" i="4"/>
  <c r="C2088" i="4"/>
  <c r="D2087" i="4"/>
  <c r="I2086" i="4" l="1"/>
  <c r="G2087" i="4"/>
  <c r="E2087" i="4"/>
  <c r="F2087" i="4" s="1"/>
  <c r="H2087" i="4"/>
  <c r="C2089" i="4"/>
  <c r="D2088" i="4"/>
  <c r="I2087" i="4" l="1"/>
  <c r="E2088" i="4"/>
  <c r="F2088" i="4" s="1"/>
  <c r="H2088" i="4"/>
  <c r="G2088" i="4"/>
  <c r="C2090" i="4"/>
  <c r="D2089" i="4"/>
  <c r="C2091" i="4" l="1"/>
  <c r="D2090" i="4"/>
  <c r="G2089" i="4"/>
  <c r="E2089" i="4"/>
  <c r="F2089" i="4" s="1"/>
  <c r="H2089" i="4"/>
  <c r="I2088" i="4"/>
  <c r="I2089" i="4" l="1"/>
  <c r="H2090" i="4"/>
  <c r="G2090" i="4"/>
  <c r="E2090" i="4"/>
  <c r="F2090" i="4" s="1"/>
  <c r="C2092" i="4"/>
  <c r="D2091" i="4"/>
  <c r="E2091" i="4" l="1"/>
  <c r="F2091" i="4" s="1"/>
  <c r="G2091" i="4"/>
  <c r="H2091" i="4"/>
  <c r="I2090" i="4"/>
  <c r="C2093" i="4"/>
  <c r="D2092" i="4"/>
  <c r="I2091" i="4" l="1"/>
  <c r="C2094" i="4"/>
  <c r="D2093" i="4"/>
  <c r="E2092" i="4"/>
  <c r="F2092" i="4" s="1"/>
  <c r="H2092" i="4"/>
  <c r="G2092" i="4"/>
  <c r="I2092" i="4" l="1"/>
  <c r="G2093" i="4"/>
  <c r="E2093" i="4"/>
  <c r="F2093" i="4" s="1"/>
  <c r="H2093" i="4"/>
  <c r="C2095" i="4"/>
  <c r="D2094" i="4"/>
  <c r="I2093" i="4" l="1"/>
  <c r="G2094" i="4"/>
  <c r="E2094" i="4"/>
  <c r="F2094" i="4" s="1"/>
  <c r="H2094" i="4"/>
  <c r="C2096" i="4"/>
  <c r="D2095" i="4"/>
  <c r="C2097" i="4" l="1"/>
  <c r="D2096" i="4"/>
  <c r="G2095" i="4"/>
  <c r="E2095" i="4"/>
  <c r="F2095" i="4" s="1"/>
  <c r="H2095" i="4"/>
  <c r="I2094" i="4"/>
  <c r="I2095" i="4" l="1"/>
  <c r="E2096" i="4"/>
  <c r="F2096" i="4" s="1"/>
  <c r="G2096" i="4"/>
  <c r="H2096" i="4"/>
  <c r="C2098" i="4"/>
  <c r="D2097" i="4"/>
  <c r="I2096" i="4" l="1"/>
  <c r="G2097" i="4"/>
  <c r="E2097" i="4"/>
  <c r="F2097" i="4" s="1"/>
  <c r="H2097" i="4"/>
  <c r="C2099" i="4"/>
  <c r="D2098" i="4"/>
  <c r="I2097" i="4" l="1"/>
  <c r="E2098" i="4"/>
  <c r="F2098" i="4" s="1"/>
  <c r="H2098" i="4" s="1"/>
  <c r="G2098" i="4"/>
  <c r="C2100" i="4"/>
  <c r="D2099" i="4"/>
  <c r="I2098" i="4" l="1"/>
  <c r="E2099" i="4"/>
  <c r="F2099" i="4" s="1"/>
  <c r="H2099" i="4"/>
  <c r="G2099" i="4"/>
  <c r="C2101" i="4"/>
  <c r="D2100" i="4"/>
  <c r="I2099" i="4" l="1"/>
  <c r="E2100" i="4"/>
  <c r="F2100" i="4" s="1"/>
  <c r="H2100" i="4"/>
  <c r="G2100" i="4"/>
  <c r="C2102" i="4"/>
  <c r="D2101" i="4"/>
  <c r="I2100" i="4" l="1"/>
  <c r="E2101" i="4"/>
  <c r="F2101" i="4" s="1"/>
  <c r="H2101" i="4" s="1"/>
  <c r="G2101" i="4"/>
  <c r="C2103" i="4"/>
  <c r="D2102" i="4"/>
  <c r="I2101" i="4" l="1"/>
  <c r="C2104" i="4"/>
  <c r="D2103" i="4"/>
  <c r="G2102" i="4"/>
  <c r="E2102" i="4"/>
  <c r="F2102" i="4" s="1"/>
  <c r="H2102" i="4" s="1"/>
  <c r="I2102" i="4" l="1"/>
  <c r="E2103" i="4"/>
  <c r="F2103" i="4" s="1"/>
  <c r="H2103" i="4" s="1"/>
  <c r="G2103" i="4"/>
  <c r="C2105" i="4"/>
  <c r="D2104" i="4"/>
  <c r="I2103" i="4" l="1"/>
  <c r="E2104" i="4"/>
  <c r="F2104" i="4" s="1"/>
  <c r="H2104" i="4"/>
  <c r="G2104" i="4"/>
  <c r="C2106" i="4"/>
  <c r="D2105" i="4"/>
  <c r="I2104" i="4" l="1"/>
  <c r="E2105" i="4"/>
  <c r="F2105" i="4" s="1"/>
  <c r="H2105" i="4" s="1"/>
  <c r="G2105" i="4"/>
  <c r="C2107" i="4"/>
  <c r="D2106" i="4"/>
  <c r="I2105" i="4" l="1"/>
  <c r="E2106" i="4"/>
  <c r="F2106" i="4" s="1"/>
  <c r="H2106" i="4" s="1"/>
  <c r="G2106" i="4"/>
  <c r="C2108" i="4"/>
  <c r="D2107" i="4"/>
  <c r="I2106" i="4" l="1"/>
  <c r="G2107" i="4"/>
  <c r="E2107" i="4"/>
  <c r="F2107" i="4" s="1"/>
  <c r="H2107" i="4"/>
  <c r="C2109" i="4"/>
  <c r="D2108" i="4"/>
  <c r="I2107" i="4" l="1"/>
  <c r="C2110" i="4"/>
  <c r="D2109" i="4"/>
  <c r="E2108" i="4"/>
  <c r="F2108" i="4" s="1"/>
  <c r="G2108" i="4"/>
  <c r="H2108" i="4"/>
  <c r="I2108" i="4" l="1"/>
  <c r="G2109" i="4"/>
  <c r="E2109" i="4"/>
  <c r="F2109" i="4" s="1"/>
  <c r="H2109" i="4"/>
  <c r="C2111" i="4"/>
  <c r="D2110" i="4"/>
  <c r="I2109" i="4" l="1"/>
  <c r="C2112" i="4"/>
  <c r="D2111" i="4"/>
  <c r="E2110" i="4"/>
  <c r="F2110" i="4" s="1"/>
  <c r="G2110" i="4"/>
  <c r="H2110" i="4"/>
  <c r="I2110" i="4" l="1"/>
  <c r="G2111" i="4"/>
  <c r="E2111" i="4"/>
  <c r="F2111" i="4" s="1"/>
  <c r="H2111" i="4"/>
  <c r="C2113" i="4"/>
  <c r="D2112" i="4"/>
  <c r="I2111" i="4" l="1"/>
  <c r="E2112" i="4"/>
  <c r="F2112" i="4" s="1"/>
  <c r="H2112" i="4"/>
  <c r="G2112" i="4"/>
  <c r="C2114" i="4"/>
  <c r="D2113" i="4"/>
  <c r="G2113" i="4" l="1"/>
  <c r="E2113" i="4"/>
  <c r="F2113" i="4" s="1"/>
  <c r="H2113" i="4"/>
  <c r="C2115" i="4"/>
  <c r="D2114" i="4"/>
  <c r="I2112" i="4"/>
  <c r="I2113" i="4" l="1"/>
  <c r="E2114" i="4"/>
  <c r="F2114" i="4" s="1"/>
  <c r="G2114" i="4"/>
  <c r="H2114" i="4"/>
  <c r="C2116" i="4"/>
  <c r="D2115" i="4"/>
  <c r="I2114" i="4" l="1"/>
  <c r="C2117" i="4"/>
  <c r="D2116" i="4"/>
  <c r="G2115" i="4"/>
  <c r="E2115" i="4"/>
  <c r="F2115" i="4" s="1"/>
  <c r="H2115" i="4"/>
  <c r="I2115" i="4" l="1"/>
  <c r="E2116" i="4"/>
  <c r="F2116" i="4" s="1"/>
  <c r="H2116" i="4"/>
  <c r="G2116" i="4"/>
  <c r="C2118" i="4"/>
  <c r="D2118" i="4" s="1"/>
  <c r="D2117" i="4"/>
  <c r="E2118" i="4" l="1"/>
  <c r="F2118" i="4" s="1"/>
  <c r="G2117" i="4"/>
  <c r="E2117" i="4"/>
  <c r="F2117" i="4" s="1"/>
  <c r="H2118" i="4" s="1"/>
  <c r="H2117" i="4"/>
  <c r="I2116" i="4"/>
  <c r="G2118" i="4" l="1"/>
  <c r="I2118" i="4" s="1"/>
  <c r="I2117" i="4"/>
  <c r="G25" i="2" l="1"/>
  <c r="H25" i="2" s="1"/>
  <c r="J25" i="2" s="1"/>
  <c r="K26" i="2" l="1"/>
  <c r="L27" i="2" l="1"/>
  <c r="G26" i="2"/>
  <c r="H26" i="2" s="1"/>
  <c r="J26" i="2" s="1"/>
  <c r="K27" i="2" l="1"/>
  <c r="L28" i="2" l="1"/>
  <c r="G27" i="2"/>
  <c r="H27" i="2" s="1"/>
  <c r="J27" i="2" s="1"/>
  <c r="K28" i="2" l="1"/>
  <c r="L29" i="2" l="1"/>
  <c r="G28" i="2"/>
  <c r="H28" i="2" s="1"/>
  <c r="J28" i="2" s="1"/>
  <c r="K29" i="2" l="1"/>
  <c r="L30" i="2" l="1"/>
  <c r="G29" i="2"/>
  <c r="H29" i="2" s="1"/>
  <c r="J29" i="2" s="1"/>
  <c r="K30" i="2" l="1"/>
  <c r="L31" i="2" l="1"/>
  <c r="G30" i="2"/>
  <c r="H30" i="2" s="1"/>
  <c r="J30" i="2" s="1"/>
  <c r="K31" i="2" l="1"/>
  <c r="L32" i="2" l="1"/>
  <c r="G31" i="2"/>
  <c r="H31" i="2" s="1"/>
  <c r="J31" i="2" s="1"/>
  <c r="K32" i="2" l="1"/>
  <c r="L33" i="2" l="1"/>
  <c r="G32" i="2"/>
  <c r="H32" i="2" s="1"/>
  <c r="J32" i="2" s="1"/>
  <c r="K33" i="2" l="1"/>
  <c r="L34" i="2" l="1"/>
  <c r="G33" i="2"/>
  <c r="H33" i="2" s="1"/>
  <c r="J33" i="2" s="1"/>
  <c r="K34" i="2" l="1"/>
  <c r="L35" i="2" l="1"/>
  <c r="G34" i="2"/>
  <c r="H34" i="2" s="1"/>
  <c r="J34" i="2" s="1"/>
  <c r="K35" i="2" l="1"/>
  <c r="L36" i="2" l="1"/>
  <c r="G35" i="2"/>
  <c r="H35" i="2" s="1"/>
  <c r="J35" i="2" s="1"/>
  <c r="K36" i="2" l="1"/>
  <c r="L37" i="2" l="1"/>
  <c r="G36" i="2"/>
  <c r="H36" i="2" s="1"/>
  <c r="J36" i="2" s="1"/>
  <c r="K37" i="2" l="1"/>
  <c r="L38" i="2" l="1"/>
  <c r="G37" i="2"/>
  <c r="H37" i="2" s="1"/>
  <c r="J37" i="2" s="1"/>
  <c r="K38" i="2" l="1"/>
  <c r="L39" i="2" l="1"/>
  <c r="G38" i="2"/>
  <c r="H38" i="2" s="1"/>
  <c r="J38" i="2" s="1"/>
  <c r="K39" i="2" l="1"/>
  <c r="L40" i="2" l="1"/>
  <c r="G39" i="2"/>
  <c r="H39" i="2" s="1"/>
  <c r="J39" i="2" s="1"/>
  <c r="K40" i="2" l="1"/>
  <c r="L41" i="2" l="1"/>
  <c r="G40" i="2"/>
  <c r="H40" i="2" s="1"/>
  <c r="J40" i="2" s="1"/>
  <c r="K41" i="2" l="1"/>
  <c r="L42" i="2" l="1"/>
  <c r="G41" i="2"/>
  <c r="H41" i="2" s="1"/>
  <c r="J41" i="2" s="1"/>
  <c r="K42" i="2" l="1"/>
  <c r="L43" i="2" l="1"/>
  <c r="G42" i="2"/>
  <c r="H42" i="2" s="1"/>
  <c r="J42" i="2" s="1"/>
  <c r="K43" i="2" l="1"/>
  <c r="L44" i="2" l="1"/>
  <c r="G43" i="2"/>
  <c r="H43" i="2" s="1"/>
  <c r="J43" i="2" s="1"/>
  <c r="K44" i="2" l="1"/>
  <c r="L45" i="2" l="1"/>
  <c r="G44" i="2"/>
  <c r="H44" i="2" s="1"/>
  <c r="J44" i="2" s="1"/>
  <c r="K45" i="2" l="1"/>
  <c r="L46" i="2" l="1"/>
  <c r="G45" i="2"/>
  <c r="H45" i="2" s="1"/>
  <c r="J45" i="2" s="1"/>
  <c r="K46" i="2" l="1"/>
  <c r="L47" i="2" l="1"/>
  <c r="G46" i="2"/>
  <c r="H46" i="2" s="1"/>
  <c r="J46" i="2" s="1"/>
  <c r="K47" i="2" l="1"/>
  <c r="L48" i="2" l="1"/>
  <c r="G47" i="2"/>
  <c r="H47" i="2" s="1"/>
  <c r="J47" i="2" s="1"/>
  <c r="K48" i="2" l="1"/>
  <c r="L49" i="2" l="1"/>
  <c r="G48" i="2"/>
  <c r="H48" i="2" s="1"/>
  <c r="J48" i="2" s="1"/>
  <c r="K49" i="2" l="1"/>
  <c r="L50" i="2" l="1"/>
  <c r="G49" i="2"/>
  <c r="H49" i="2" s="1"/>
  <c r="J49" i="2" s="1"/>
  <c r="K50" i="2" l="1"/>
  <c r="L51" i="2" l="1"/>
  <c r="G50" i="2"/>
  <c r="H50" i="2" s="1"/>
  <c r="J50" i="2" s="1"/>
  <c r="K51" i="2" l="1"/>
  <c r="L52" i="2" l="1"/>
  <c r="G51" i="2"/>
  <c r="H51" i="2" s="1"/>
  <c r="J51" i="2" s="1"/>
  <c r="K52" i="2" l="1"/>
  <c r="L53" i="2" l="1"/>
  <c r="G52" i="2"/>
  <c r="H52" i="2" s="1"/>
  <c r="J52" i="2" s="1"/>
  <c r="K53" i="2" l="1"/>
  <c r="L54" i="2" l="1"/>
  <c r="G53" i="2"/>
  <c r="H53" i="2" s="1"/>
  <c r="J53" i="2" s="1"/>
  <c r="K54" i="2" l="1"/>
  <c r="L55" i="2" l="1"/>
  <c r="G54" i="2"/>
  <c r="H54" i="2" s="1"/>
  <c r="J54" i="2" s="1"/>
  <c r="K55" i="2" l="1"/>
  <c r="L56" i="2" l="1"/>
  <c r="G55" i="2"/>
  <c r="H55" i="2" s="1"/>
  <c r="J55" i="2" s="1"/>
  <c r="K56" i="2" l="1"/>
  <c r="L57" i="2" l="1"/>
  <c r="G56" i="2"/>
  <c r="H56" i="2" s="1"/>
  <c r="J56" i="2" s="1"/>
  <c r="K57" i="2" l="1"/>
  <c r="L58" i="2" l="1"/>
  <c r="G57" i="2"/>
  <c r="H57" i="2" s="1"/>
  <c r="J57" i="2" s="1"/>
  <c r="K58" i="2" l="1"/>
  <c r="L59" i="2" l="1"/>
  <c r="G58" i="2"/>
  <c r="H58" i="2" s="1"/>
  <c r="J58" i="2" s="1"/>
  <c r="K59" i="2" l="1"/>
  <c r="L60" i="2" l="1"/>
  <c r="G59" i="2"/>
  <c r="H59" i="2" s="1"/>
  <c r="J59" i="2" s="1"/>
  <c r="K60" i="2" l="1"/>
  <c r="L61" i="2" l="1"/>
  <c r="G60" i="2"/>
  <c r="H60" i="2" s="1"/>
  <c r="J60" i="2" s="1"/>
  <c r="K61" i="2" l="1"/>
  <c r="L62" i="2" l="1"/>
  <c r="G61" i="2"/>
  <c r="H61" i="2" s="1"/>
  <c r="J61" i="2" s="1"/>
  <c r="K62" i="2" l="1"/>
  <c r="L63" i="2" l="1"/>
  <c r="G62" i="2"/>
  <c r="H62" i="2" s="1"/>
  <c r="J62" i="2" s="1"/>
  <c r="K63" i="2" l="1"/>
  <c r="L64" i="2" l="1"/>
  <c r="G63" i="2"/>
  <c r="H63" i="2" s="1"/>
  <c r="J63" i="2" s="1"/>
  <c r="K64" i="2" l="1"/>
  <c r="L65" i="2" l="1"/>
  <c r="G64" i="2"/>
  <c r="H64" i="2" s="1"/>
  <c r="J64" i="2" s="1"/>
  <c r="K65" i="2" l="1"/>
  <c r="L66" i="2" l="1"/>
  <c r="G65" i="2"/>
  <c r="H65" i="2" s="1"/>
  <c r="J65" i="2" s="1"/>
  <c r="K66" i="2" l="1"/>
  <c r="L67" i="2" l="1"/>
  <c r="G66" i="2"/>
  <c r="H66" i="2" s="1"/>
  <c r="J66" i="2" s="1"/>
  <c r="K67" i="2" l="1"/>
  <c r="L68" i="2" l="1"/>
  <c r="G67" i="2"/>
  <c r="H67" i="2" s="1"/>
  <c r="J67" i="2" s="1"/>
  <c r="K68" i="2" l="1"/>
  <c r="L69" i="2" l="1"/>
  <c r="G68" i="2"/>
  <c r="H68" i="2" s="1"/>
  <c r="J68" i="2" s="1"/>
  <c r="K69" i="2" l="1"/>
  <c r="L70" i="2" l="1"/>
  <c r="G69" i="2"/>
  <c r="H69" i="2" s="1"/>
  <c r="J69" i="2" s="1"/>
  <c r="K70" i="2" l="1"/>
  <c r="L71" i="2" l="1"/>
  <c r="G70" i="2"/>
  <c r="H70" i="2" s="1"/>
  <c r="J70" i="2" s="1"/>
  <c r="K71" i="2" l="1"/>
  <c r="L72" i="2" l="1"/>
  <c r="G71" i="2"/>
  <c r="H71" i="2" s="1"/>
  <c r="J71" i="2" s="1"/>
  <c r="K72" i="2" l="1"/>
  <c r="L73" i="2" l="1"/>
  <c r="G72" i="2"/>
  <c r="H72" i="2" s="1"/>
  <c r="J72" i="2" s="1"/>
  <c r="K73" i="2" l="1"/>
  <c r="L74" i="2" l="1"/>
  <c r="G73" i="2"/>
  <c r="H73" i="2" s="1"/>
  <c r="J73" i="2" s="1"/>
  <c r="K74" i="2" l="1"/>
  <c r="L75" i="2" l="1"/>
  <c r="G74" i="2"/>
  <c r="H74" i="2" s="1"/>
  <c r="J74" i="2" s="1"/>
  <c r="K75" i="2" l="1"/>
  <c r="L76" i="2" l="1"/>
  <c r="G75" i="2"/>
  <c r="H75" i="2" s="1"/>
  <c r="J75" i="2" s="1"/>
  <c r="K76" i="2" l="1"/>
  <c r="L77" i="2" l="1"/>
  <c r="G76" i="2"/>
  <c r="H76" i="2" s="1"/>
  <c r="J76" i="2" s="1"/>
  <c r="K77" i="2" l="1"/>
  <c r="L78" i="2" l="1"/>
  <c r="G77" i="2"/>
  <c r="H77" i="2" s="1"/>
  <c r="J77" i="2" s="1"/>
  <c r="K78" i="2" l="1"/>
  <c r="L79" i="2" l="1"/>
  <c r="G78" i="2"/>
  <c r="H78" i="2" s="1"/>
  <c r="J78" i="2" s="1"/>
  <c r="K79" i="2" l="1"/>
  <c r="L80" i="2" l="1"/>
  <c r="G79" i="2"/>
  <c r="H79" i="2" s="1"/>
  <c r="J79" i="2" s="1"/>
  <c r="K80" i="2" l="1"/>
  <c r="L81" i="2" l="1"/>
  <c r="G80" i="2"/>
  <c r="H80" i="2" s="1"/>
  <c r="J80" i="2" s="1"/>
  <c r="K81" i="2" l="1"/>
  <c r="L82" i="2" l="1"/>
  <c r="G81" i="2"/>
  <c r="H81" i="2" s="1"/>
  <c r="J81" i="2" s="1"/>
  <c r="K82" i="2" l="1"/>
  <c r="L83" i="2" l="1"/>
  <c r="G82" i="2"/>
  <c r="H82" i="2" s="1"/>
  <c r="J82" i="2" s="1"/>
  <c r="K83" i="2" l="1"/>
  <c r="L84" i="2" l="1"/>
  <c r="G83" i="2"/>
  <c r="H83" i="2" s="1"/>
  <c r="J83" i="2" s="1"/>
  <c r="K84" i="2" l="1"/>
  <c r="L85" i="2" l="1"/>
  <c r="G84" i="2"/>
  <c r="H84" i="2" s="1"/>
  <c r="J84" i="2" s="1"/>
  <c r="K85" i="2" l="1"/>
  <c r="L86" i="2" l="1"/>
  <c r="G85" i="2"/>
  <c r="H85" i="2" s="1"/>
  <c r="J85" i="2" s="1"/>
  <c r="K86" i="2" l="1"/>
  <c r="L87" i="2" l="1"/>
  <c r="G86" i="2"/>
  <c r="H86" i="2" s="1"/>
  <c r="J86" i="2" s="1"/>
  <c r="K87" i="2" l="1"/>
  <c r="L88" i="2" l="1"/>
  <c r="G87" i="2"/>
  <c r="H87" i="2" s="1"/>
  <c r="J87" i="2" s="1"/>
  <c r="K88" i="2" l="1"/>
  <c r="L89" i="2" l="1"/>
  <c r="G88" i="2"/>
  <c r="H88" i="2" s="1"/>
  <c r="J88" i="2" s="1"/>
  <c r="K89" i="2" l="1"/>
  <c r="L90" i="2" l="1"/>
  <c r="G89" i="2"/>
  <c r="H89" i="2" s="1"/>
  <c r="J89" i="2" s="1"/>
  <c r="K90" i="2" l="1"/>
  <c r="L91" i="2" l="1"/>
  <c r="G90" i="2"/>
  <c r="H90" i="2" s="1"/>
  <c r="J90" i="2" s="1"/>
  <c r="K91" i="2" l="1"/>
  <c r="L92" i="2" l="1"/>
  <c r="G91" i="2"/>
  <c r="H91" i="2" s="1"/>
  <c r="J91" i="2" s="1"/>
  <c r="K92" i="2" l="1"/>
  <c r="L93" i="2" l="1"/>
  <c r="G92" i="2"/>
  <c r="H92" i="2" s="1"/>
  <c r="J92" i="2" s="1"/>
  <c r="K93" i="2" l="1"/>
  <c r="L94" i="2" l="1"/>
  <c r="G93" i="2"/>
  <c r="H93" i="2" s="1"/>
  <c r="J93" i="2" s="1"/>
  <c r="K94" i="2" l="1"/>
  <c r="L95" i="2" l="1"/>
  <c r="G94" i="2"/>
  <c r="H94" i="2" s="1"/>
  <c r="J94" i="2" s="1"/>
  <c r="K95" i="2" l="1"/>
  <c r="L96" i="2" l="1"/>
  <c r="G95" i="2"/>
  <c r="H95" i="2" s="1"/>
  <c r="J95" i="2" s="1"/>
  <c r="K96" i="2" l="1"/>
  <c r="L97" i="2" l="1"/>
  <c r="G96" i="2"/>
  <c r="H96" i="2" s="1"/>
  <c r="J96" i="2" s="1"/>
  <c r="K97" i="2" l="1"/>
  <c r="L98" i="2" l="1"/>
  <c r="G97" i="2"/>
  <c r="H97" i="2" s="1"/>
  <c r="J97" i="2" s="1"/>
  <c r="K98" i="2" l="1"/>
  <c r="L99" i="2" l="1"/>
  <c r="G98" i="2"/>
  <c r="H98" i="2" s="1"/>
  <c r="J98" i="2" s="1"/>
  <c r="K99" i="2" l="1"/>
  <c r="L100" i="2" l="1"/>
  <c r="G99" i="2"/>
  <c r="H99" i="2" s="1"/>
  <c r="J99" i="2" s="1"/>
  <c r="K100" i="2" l="1"/>
  <c r="L101" i="2" l="1"/>
  <c r="G100" i="2"/>
  <c r="H100" i="2" s="1"/>
  <c r="J100" i="2" s="1"/>
  <c r="K101" i="2" l="1"/>
  <c r="L102" i="2" l="1"/>
  <c r="G101" i="2"/>
  <c r="H101" i="2" s="1"/>
  <c r="J101" i="2" s="1"/>
  <c r="K102" i="2" l="1"/>
  <c r="L103" i="2" l="1"/>
  <c r="G102" i="2"/>
  <c r="H102" i="2" s="1"/>
  <c r="J102" i="2" s="1"/>
  <c r="K103" i="2" l="1"/>
  <c r="L104" i="2" l="1"/>
  <c r="G103" i="2"/>
  <c r="H103" i="2" s="1"/>
  <c r="J103" i="2" s="1"/>
  <c r="K104" i="2" l="1"/>
  <c r="L105" i="2" l="1"/>
  <c r="G104" i="2"/>
  <c r="H104" i="2" s="1"/>
  <c r="J104" i="2" s="1"/>
  <c r="K105" i="2" l="1"/>
  <c r="L106" i="2" l="1"/>
  <c r="G105" i="2"/>
  <c r="H105" i="2" s="1"/>
  <c r="J105" i="2" s="1"/>
  <c r="K106" i="2" l="1"/>
  <c r="L107" i="2" l="1"/>
  <c r="G106" i="2"/>
  <c r="H106" i="2" s="1"/>
  <c r="J106" i="2" s="1"/>
  <c r="K107" i="2" l="1"/>
  <c r="L108" i="2" l="1"/>
  <c r="G107" i="2"/>
  <c r="H107" i="2" s="1"/>
  <c r="J107" i="2" s="1"/>
  <c r="K108" i="2" l="1"/>
  <c r="L109" i="2" l="1"/>
  <c r="G108" i="2"/>
  <c r="H108" i="2" s="1"/>
  <c r="J108" i="2" s="1"/>
  <c r="K109" i="2" l="1"/>
  <c r="L110" i="2" l="1"/>
  <c r="G109" i="2"/>
  <c r="H109" i="2" s="1"/>
  <c r="J109" i="2" s="1"/>
  <c r="K110" i="2" l="1"/>
  <c r="L111" i="2" l="1"/>
  <c r="G110" i="2"/>
  <c r="H110" i="2" s="1"/>
  <c r="J110" i="2" s="1"/>
  <c r="K111" i="2" l="1"/>
  <c r="L112" i="2" l="1"/>
  <c r="G111" i="2"/>
  <c r="H111" i="2" s="1"/>
  <c r="J111" i="2" s="1"/>
  <c r="K112" i="2" l="1"/>
  <c r="L113" i="2" l="1"/>
  <c r="G112" i="2"/>
  <c r="H112" i="2" s="1"/>
  <c r="J112" i="2" s="1"/>
  <c r="K113" i="2" l="1"/>
  <c r="L114" i="2" l="1"/>
  <c r="G113" i="2"/>
  <c r="H113" i="2" s="1"/>
  <c r="J113" i="2" s="1"/>
  <c r="K114" i="2" l="1"/>
  <c r="L115" i="2" l="1"/>
  <c r="G114" i="2"/>
  <c r="H114" i="2" s="1"/>
  <c r="J114" i="2" s="1"/>
  <c r="K115" i="2" l="1"/>
  <c r="L116" i="2" l="1"/>
  <c r="G115" i="2"/>
  <c r="H115" i="2" s="1"/>
  <c r="J115" i="2" s="1"/>
  <c r="K116" i="2" l="1"/>
  <c r="L117" i="2" l="1"/>
  <c r="G116" i="2"/>
  <c r="H116" i="2" s="1"/>
  <c r="J116" i="2" s="1"/>
  <c r="K117" i="2" l="1"/>
  <c r="L118" i="2" l="1"/>
  <c r="G117" i="2"/>
  <c r="H117" i="2" s="1"/>
  <c r="J117" i="2" s="1"/>
  <c r="K118" i="2" l="1"/>
  <c r="L119" i="2" l="1"/>
  <c r="G118" i="2"/>
  <c r="H118" i="2" s="1"/>
  <c r="J118" i="2" s="1"/>
  <c r="K119" i="2" l="1"/>
  <c r="L120" i="2" l="1"/>
  <c r="G119" i="2"/>
  <c r="H119" i="2" s="1"/>
  <c r="J119" i="2" s="1"/>
  <c r="K120" i="2" l="1"/>
  <c r="L121" i="2" l="1"/>
  <c r="G120" i="2"/>
  <c r="H120" i="2" s="1"/>
  <c r="J120" i="2" s="1"/>
  <c r="K121" i="2" l="1"/>
  <c r="L122" i="2" l="1"/>
  <c r="G121" i="2"/>
  <c r="H121" i="2" s="1"/>
  <c r="J121" i="2" s="1"/>
  <c r="K122" i="2" l="1"/>
  <c r="L123" i="2" l="1"/>
  <c r="G122" i="2"/>
  <c r="H122" i="2" s="1"/>
  <c r="J122" i="2" s="1"/>
  <c r="K123" i="2" l="1"/>
  <c r="L124" i="2" l="1"/>
  <c r="G123" i="2"/>
  <c r="H123" i="2" s="1"/>
  <c r="J123" i="2" s="1"/>
  <c r="K124" i="2" l="1"/>
  <c r="L125" i="2" l="1"/>
  <c r="G124" i="2"/>
  <c r="H124" i="2" s="1"/>
  <c r="J124" i="2" s="1"/>
  <c r="K125" i="2" l="1"/>
  <c r="L126" i="2" l="1"/>
  <c r="G125" i="2"/>
  <c r="H125" i="2" s="1"/>
  <c r="J125" i="2" s="1"/>
  <c r="K126" i="2" l="1"/>
  <c r="L127" i="2" l="1"/>
  <c r="G126" i="2"/>
  <c r="H126" i="2" s="1"/>
  <c r="J126" i="2" s="1"/>
  <c r="K127" i="2" l="1"/>
  <c r="L128" i="2" l="1"/>
  <c r="G127" i="2"/>
  <c r="H127" i="2" s="1"/>
  <c r="J127" i="2" s="1"/>
  <c r="K128" i="2" l="1"/>
  <c r="L129" i="2" l="1"/>
  <c r="G128" i="2"/>
  <c r="H128" i="2" s="1"/>
  <c r="J128" i="2" s="1"/>
  <c r="K129" i="2" l="1"/>
  <c r="L130" i="2" l="1"/>
  <c r="G129" i="2"/>
  <c r="H129" i="2" s="1"/>
  <c r="J129" i="2" s="1"/>
  <c r="K130" i="2" l="1"/>
  <c r="L131" i="2" l="1"/>
  <c r="G130" i="2"/>
  <c r="H130" i="2" s="1"/>
  <c r="J130" i="2" s="1"/>
  <c r="K131" i="2" l="1"/>
  <c r="L132" i="2" l="1"/>
  <c r="G131" i="2"/>
  <c r="H131" i="2" s="1"/>
  <c r="J131" i="2" s="1"/>
  <c r="K132" i="2" l="1"/>
  <c r="L133" i="2" l="1"/>
  <c r="G132" i="2"/>
  <c r="H132" i="2" s="1"/>
  <c r="J132" i="2" s="1"/>
  <c r="K133" i="2" l="1"/>
  <c r="L134" i="2" l="1"/>
  <c r="G133" i="2"/>
  <c r="H133" i="2" s="1"/>
  <c r="J133" i="2" s="1"/>
  <c r="K134" i="2" l="1"/>
  <c r="L135" i="2" l="1"/>
  <c r="G134" i="2"/>
  <c r="H134" i="2" s="1"/>
  <c r="J134" i="2" s="1"/>
  <c r="K135" i="2" l="1"/>
  <c r="L136" i="2" l="1"/>
  <c r="G135" i="2"/>
  <c r="H135" i="2" s="1"/>
  <c r="J135" i="2" s="1"/>
  <c r="K136" i="2" l="1"/>
  <c r="L137" i="2" l="1"/>
  <c r="G136" i="2"/>
  <c r="H136" i="2" s="1"/>
  <c r="J136" i="2" s="1"/>
  <c r="K137" i="2" l="1"/>
  <c r="L138" i="2" l="1"/>
  <c r="G137" i="2"/>
  <c r="H137" i="2" s="1"/>
  <c r="J137" i="2" s="1"/>
  <c r="K138" i="2" l="1"/>
  <c r="L139" i="2" l="1"/>
  <c r="G138" i="2"/>
  <c r="H138" i="2" s="1"/>
  <c r="J138" i="2" s="1"/>
  <c r="K139" i="2" l="1"/>
  <c r="L140" i="2" l="1"/>
  <c r="G139" i="2"/>
  <c r="H139" i="2" s="1"/>
  <c r="J139" i="2" s="1"/>
  <c r="K140" i="2" l="1"/>
  <c r="L141" i="2" l="1"/>
  <c r="G140" i="2"/>
  <c r="H140" i="2" s="1"/>
  <c r="J140" i="2" s="1"/>
  <c r="K141" i="2" l="1"/>
  <c r="L142" i="2" l="1"/>
  <c r="G141" i="2"/>
  <c r="H141" i="2" s="1"/>
  <c r="J141" i="2" s="1"/>
  <c r="K142" i="2" l="1"/>
  <c r="L143" i="2" l="1"/>
  <c r="G142" i="2"/>
  <c r="H142" i="2" s="1"/>
  <c r="J142" i="2" s="1"/>
  <c r="K143" i="2" l="1"/>
  <c r="L144" i="2" l="1"/>
  <c r="G143" i="2"/>
  <c r="H143" i="2" s="1"/>
  <c r="J143" i="2" s="1"/>
  <c r="K144" i="2" l="1"/>
  <c r="L145" i="2" l="1"/>
  <c r="G144" i="2"/>
  <c r="H144" i="2" s="1"/>
  <c r="J144" i="2" s="1"/>
  <c r="K145" i="2" l="1"/>
  <c r="L146" i="2" l="1"/>
  <c r="G145" i="2"/>
  <c r="H145" i="2" s="1"/>
  <c r="J145" i="2" s="1"/>
  <c r="K146" i="2" l="1"/>
  <c r="L147" i="2" l="1"/>
  <c r="G146" i="2"/>
  <c r="H146" i="2" s="1"/>
  <c r="J146" i="2" s="1"/>
  <c r="K147" i="2" l="1"/>
  <c r="L148" i="2" l="1"/>
  <c r="G147" i="2"/>
  <c r="H147" i="2" s="1"/>
  <c r="J147" i="2" s="1"/>
  <c r="K148" i="2" l="1"/>
  <c r="L149" i="2" l="1"/>
  <c r="G148" i="2"/>
  <c r="H148" i="2" s="1"/>
  <c r="J148" i="2" s="1"/>
  <c r="K149" i="2" l="1"/>
  <c r="L150" i="2" l="1"/>
  <c r="G149" i="2"/>
  <c r="H149" i="2" s="1"/>
  <c r="J149" i="2" s="1"/>
  <c r="K150" i="2" l="1"/>
  <c r="L151" i="2" l="1"/>
  <c r="G150" i="2"/>
  <c r="H150" i="2" s="1"/>
  <c r="J150" i="2" s="1"/>
  <c r="K151" i="2" l="1"/>
  <c r="L152" i="2" l="1"/>
  <c r="G151" i="2"/>
  <c r="H151" i="2" s="1"/>
  <c r="J151" i="2" s="1"/>
  <c r="K152" i="2" l="1"/>
  <c r="L153" i="2" l="1"/>
  <c r="G152" i="2"/>
  <c r="H152" i="2" s="1"/>
  <c r="J152" i="2" s="1"/>
  <c r="K153" i="2" l="1"/>
  <c r="L154" i="2" l="1"/>
  <c r="G153" i="2"/>
  <c r="H153" i="2" s="1"/>
  <c r="J153" i="2" s="1"/>
  <c r="K154" i="2" l="1"/>
  <c r="L155" i="2" l="1"/>
  <c r="G154" i="2"/>
  <c r="H154" i="2" s="1"/>
  <c r="J154" i="2" s="1"/>
  <c r="K155" i="2" l="1"/>
  <c r="L156" i="2" l="1"/>
  <c r="G155" i="2"/>
  <c r="H155" i="2" s="1"/>
  <c r="J155" i="2" s="1"/>
  <c r="K156" i="2" l="1"/>
  <c r="L157" i="2" l="1"/>
  <c r="G156" i="2"/>
  <c r="H156" i="2" s="1"/>
  <c r="J156" i="2" s="1"/>
  <c r="K157" i="2" l="1"/>
  <c r="L158" i="2" l="1"/>
  <c r="G157" i="2"/>
  <c r="H157" i="2" s="1"/>
  <c r="J157" i="2" s="1"/>
  <c r="K158" i="2" l="1"/>
  <c r="L159" i="2" l="1"/>
  <c r="G158" i="2"/>
  <c r="H158" i="2" s="1"/>
  <c r="J158" i="2" s="1"/>
  <c r="K159" i="2" l="1"/>
  <c r="L160" i="2" l="1"/>
  <c r="G159" i="2"/>
  <c r="H159" i="2" s="1"/>
  <c r="J159" i="2" s="1"/>
  <c r="K160" i="2" l="1"/>
  <c r="L161" i="2" l="1"/>
  <c r="G160" i="2"/>
  <c r="H160" i="2" s="1"/>
  <c r="J160" i="2" s="1"/>
  <c r="K161" i="2" l="1"/>
  <c r="L162" i="2" l="1"/>
  <c r="G161" i="2"/>
  <c r="H161" i="2" s="1"/>
  <c r="J161" i="2" s="1"/>
  <c r="K162" i="2" l="1"/>
  <c r="L163" i="2" l="1"/>
  <c r="G162" i="2"/>
  <c r="H162" i="2" s="1"/>
  <c r="J162" i="2" s="1"/>
  <c r="K163" i="2" l="1"/>
  <c r="L164" i="2" l="1"/>
  <c r="G163" i="2"/>
  <c r="H163" i="2" s="1"/>
  <c r="J163" i="2" s="1"/>
  <c r="K164" i="2" l="1"/>
  <c r="L165" i="2" l="1"/>
  <c r="G164" i="2"/>
  <c r="H164" i="2" s="1"/>
  <c r="J164" i="2" s="1"/>
  <c r="K165" i="2" l="1"/>
  <c r="L166" i="2" l="1"/>
  <c r="G165" i="2"/>
  <c r="H165" i="2" s="1"/>
  <c r="J165" i="2" s="1"/>
  <c r="K166" i="2" l="1"/>
  <c r="L167" i="2" l="1"/>
  <c r="G166" i="2"/>
  <c r="H166" i="2" s="1"/>
  <c r="J166" i="2" s="1"/>
  <c r="K167" i="2" l="1"/>
  <c r="L168" i="2" l="1"/>
  <c r="G167" i="2"/>
  <c r="H167" i="2" s="1"/>
  <c r="J167" i="2" s="1"/>
  <c r="K168" i="2" l="1"/>
  <c r="L169" i="2" l="1"/>
  <c r="G168" i="2"/>
  <c r="H168" i="2" s="1"/>
  <c r="J168" i="2" s="1"/>
  <c r="K169" i="2" l="1"/>
  <c r="L170" i="2" l="1"/>
  <c r="G169" i="2"/>
  <c r="H169" i="2" s="1"/>
  <c r="J169" i="2" s="1"/>
  <c r="K170" i="2" l="1"/>
  <c r="L171" i="2" l="1"/>
  <c r="G170" i="2"/>
  <c r="H170" i="2" s="1"/>
  <c r="J170" i="2" s="1"/>
  <c r="K171" i="2" l="1"/>
  <c r="L172" i="2" l="1"/>
  <c r="G171" i="2"/>
  <c r="H171" i="2" s="1"/>
  <c r="J171" i="2" s="1"/>
  <c r="K172" i="2" l="1"/>
  <c r="L173" i="2" l="1"/>
  <c r="G172" i="2"/>
  <c r="H172" i="2" s="1"/>
  <c r="J172" i="2" s="1"/>
  <c r="K173" i="2" l="1"/>
  <c r="L174" i="2" l="1"/>
  <c r="G173" i="2"/>
  <c r="H173" i="2" s="1"/>
  <c r="J173" i="2" s="1"/>
  <c r="K174" i="2" l="1"/>
  <c r="L175" i="2" l="1"/>
  <c r="G174" i="2"/>
  <c r="H174" i="2" s="1"/>
  <c r="J174" i="2" s="1"/>
  <c r="K175" i="2" l="1"/>
  <c r="L176" i="2" l="1"/>
  <c r="G175" i="2"/>
  <c r="H175" i="2" s="1"/>
  <c r="J175" i="2" s="1"/>
  <c r="K176" i="2" l="1"/>
  <c r="L177" i="2" l="1"/>
  <c r="G176" i="2"/>
  <c r="H176" i="2" s="1"/>
  <c r="J176" i="2" s="1"/>
  <c r="K177" i="2" l="1"/>
  <c r="L178" i="2" l="1"/>
  <c r="G177" i="2"/>
  <c r="H177" i="2" s="1"/>
  <c r="J177" i="2" s="1"/>
  <c r="K178" i="2" l="1"/>
  <c r="L179" i="2" l="1"/>
  <c r="G178" i="2"/>
  <c r="H178" i="2" s="1"/>
  <c r="J178" i="2" s="1"/>
  <c r="K179" i="2" l="1"/>
  <c r="L180" i="2" l="1"/>
  <c r="G179" i="2"/>
  <c r="H179" i="2" s="1"/>
  <c r="J179" i="2" s="1"/>
  <c r="K180" i="2" l="1"/>
  <c r="L181" i="2" l="1"/>
  <c r="G180" i="2"/>
  <c r="H180" i="2" s="1"/>
  <c r="J180" i="2" s="1"/>
  <c r="K181" i="2" l="1"/>
  <c r="L182" i="2" l="1"/>
  <c r="G181" i="2"/>
  <c r="H181" i="2" s="1"/>
  <c r="J181" i="2" s="1"/>
  <c r="K182" i="2" l="1"/>
  <c r="L183" i="2" l="1"/>
  <c r="G182" i="2"/>
  <c r="H182" i="2" s="1"/>
  <c r="J182" i="2" s="1"/>
  <c r="K183" i="2" l="1"/>
  <c r="L184" i="2" l="1"/>
  <c r="G183" i="2"/>
  <c r="H183" i="2" s="1"/>
  <c r="J183" i="2" s="1"/>
  <c r="K184" i="2" l="1"/>
  <c r="L185" i="2" l="1"/>
  <c r="G184" i="2"/>
  <c r="H184" i="2" s="1"/>
  <c r="J184" i="2" s="1"/>
  <c r="K185" i="2" l="1"/>
  <c r="L186" i="2" l="1"/>
  <c r="G185" i="2"/>
  <c r="H185" i="2" s="1"/>
  <c r="J185" i="2" s="1"/>
  <c r="K186" i="2" l="1"/>
  <c r="L187" i="2" l="1"/>
  <c r="G186" i="2"/>
  <c r="H186" i="2" s="1"/>
  <c r="J186" i="2" s="1"/>
  <c r="K187" i="2" l="1"/>
  <c r="L188" i="2" l="1"/>
  <c r="G187" i="2"/>
  <c r="H187" i="2" s="1"/>
  <c r="J187" i="2" s="1"/>
  <c r="K188" i="2" l="1"/>
  <c r="L189" i="2" l="1"/>
  <c r="G188" i="2"/>
  <c r="H188" i="2" s="1"/>
  <c r="J188" i="2" s="1"/>
  <c r="K189" i="2" l="1"/>
  <c r="L190" i="2" l="1"/>
  <c r="G189" i="2"/>
  <c r="H189" i="2" s="1"/>
  <c r="J189" i="2" s="1"/>
  <c r="K190" i="2" l="1"/>
  <c r="L191" i="2" l="1"/>
  <c r="G190" i="2"/>
  <c r="H190" i="2" s="1"/>
  <c r="J190" i="2" s="1"/>
  <c r="K191" i="2" l="1"/>
  <c r="L192" i="2" l="1"/>
  <c r="G191" i="2"/>
  <c r="H191" i="2" s="1"/>
  <c r="J191" i="2" s="1"/>
  <c r="K192" i="2" l="1"/>
  <c r="L193" i="2" l="1"/>
  <c r="G192" i="2"/>
  <c r="H192" i="2" s="1"/>
  <c r="J192" i="2" s="1"/>
  <c r="K193" i="2" l="1"/>
  <c r="L194" i="2" l="1"/>
  <c r="G193" i="2"/>
  <c r="H193" i="2" s="1"/>
  <c r="J193" i="2" s="1"/>
  <c r="K194" i="2" l="1"/>
  <c r="L195" i="2" l="1"/>
  <c r="G194" i="2"/>
  <c r="H194" i="2" s="1"/>
  <c r="J194" i="2" s="1"/>
  <c r="K195" i="2" l="1"/>
  <c r="L196" i="2" l="1"/>
  <c r="G195" i="2"/>
  <c r="H195" i="2" s="1"/>
  <c r="J195" i="2" s="1"/>
  <c r="K196" i="2" l="1"/>
  <c r="L197" i="2" l="1"/>
  <c r="G196" i="2"/>
  <c r="H196" i="2" s="1"/>
  <c r="J196" i="2" s="1"/>
  <c r="K197" i="2" l="1"/>
  <c r="L198" i="2" l="1"/>
  <c r="G197" i="2"/>
  <c r="H197" i="2" s="1"/>
  <c r="J197" i="2" s="1"/>
  <c r="K198" i="2" l="1"/>
  <c r="L199" i="2" l="1"/>
  <c r="G198" i="2"/>
  <c r="H198" i="2" s="1"/>
  <c r="J198" i="2" s="1"/>
  <c r="K199" i="2" l="1"/>
  <c r="L200" i="2" l="1"/>
  <c r="G199" i="2"/>
  <c r="H199" i="2" s="1"/>
  <c r="J199" i="2" s="1"/>
  <c r="K200" i="2" l="1"/>
  <c r="L201" i="2" l="1"/>
  <c r="G200" i="2"/>
  <c r="H200" i="2" s="1"/>
  <c r="J200" i="2" s="1"/>
  <c r="K201" i="2" l="1"/>
  <c r="L202" i="2" l="1"/>
  <c r="G201" i="2"/>
  <c r="H201" i="2" s="1"/>
  <c r="J201" i="2" s="1"/>
  <c r="K202" i="2" l="1"/>
  <c r="L203" i="2" l="1"/>
  <c r="G202" i="2"/>
  <c r="H202" i="2" s="1"/>
  <c r="J202" i="2" s="1"/>
  <c r="K203" i="2" l="1"/>
  <c r="L204" i="2" l="1"/>
  <c r="G203" i="2"/>
  <c r="H203" i="2" s="1"/>
  <c r="J203" i="2" s="1"/>
  <c r="K204" i="2" l="1"/>
  <c r="L205" i="2" l="1"/>
  <c r="G204" i="2"/>
  <c r="H204" i="2" s="1"/>
  <c r="J204" i="2" s="1"/>
  <c r="K205" i="2" l="1"/>
  <c r="L206" i="2" l="1"/>
  <c r="G205" i="2"/>
  <c r="H205" i="2" s="1"/>
  <c r="J205" i="2" s="1"/>
  <c r="K206" i="2" l="1"/>
  <c r="L207" i="2" l="1"/>
  <c r="G206" i="2"/>
  <c r="H206" i="2" s="1"/>
  <c r="J206" i="2" s="1"/>
  <c r="K207" i="2" l="1"/>
  <c r="L208" i="2" l="1"/>
  <c r="G207" i="2"/>
  <c r="H207" i="2" s="1"/>
  <c r="J207" i="2" s="1"/>
  <c r="K208" i="2" l="1"/>
  <c r="L209" i="2" l="1"/>
  <c r="G208" i="2"/>
  <c r="H208" i="2" s="1"/>
  <c r="J208" i="2" s="1"/>
  <c r="K209" i="2" l="1"/>
  <c r="L210" i="2" l="1"/>
  <c r="G209" i="2"/>
  <c r="H209" i="2" s="1"/>
  <c r="J209" i="2" s="1"/>
  <c r="K210" i="2" l="1"/>
  <c r="L211" i="2" l="1"/>
  <c r="G210" i="2"/>
  <c r="H210" i="2" s="1"/>
  <c r="J210" i="2" s="1"/>
  <c r="K211" i="2" l="1"/>
  <c r="L212" i="2" l="1"/>
  <c r="G211" i="2"/>
  <c r="H211" i="2" s="1"/>
  <c r="J211" i="2" s="1"/>
  <c r="K212" i="2" l="1"/>
  <c r="L213" i="2" l="1"/>
  <c r="G212" i="2"/>
  <c r="H212" i="2" s="1"/>
  <c r="J212" i="2" s="1"/>
  <c r="K213" i="2" l="1"/>
  <c r="L214" i="2" l="1"/>
  <c r="G213" i="2"/>
  <c r="H213" i="2" s="1"/>
  <c r="J213" i="2" s="1"/>
  <c r="K214" i="2" l="1"/>
  <c r="L215" i="2" l="1"/>
  <c r="G214" i="2"/>
  <c r="H214" i="2" s="1"/>
  <c r="J214" i="2" s="1"/>
  <c r="K215" i="2" l="1"/>
  <c r="L216" i="2" l="1"/>
  <c r="G215" i="2"/>
  <c r="H215" i="2" s="1"/>
  <c r="J215" i="2" s="1"/>
  <c r="K216" i="2" l="1"/>
  <c r="L217" i="2" l="1"/>
  <c r="G216" i="2"/>
  <c r="H216" i="2" s="1"/>
  <c r="J216" i="2" s="1"/>
  <c r="K217" i="2" l="1"/>
  <c r="L218" i="2" l="1"/>
  <c r="G217" i="2"/>
  <c r="H217" i="2" s="1"/>
  <c r="J217" i="2" s="1"/>
  <c r="K218" i="2" l="1"/>
  <c r="L219" i="2" l="1"/>
  <c r="G218" i="2"/>
  <c r="H218" i="2" s="1"/>
  <c r="J218" i="2" s="1"/>
  <c r="K219" i="2" l="1"/>
  <c r="L220" i="2" l="1"/>
  <c r="G219" i="2"/>
  <c r="H219" i="2" s="1"/>
  <c r="J219" i="2" s="1"/>
  <c r="K220" i="2" l="1"/>
  <c r="L221" i="2" l="1"/>
  <c r="G220" i="2"/>
  <c r="H220" i="2" s="1"/>
  <c r="J220" i="2" s="1"/>
  <c r="K221" i="2" l="1"/>
  <c r="L222" i="2" l="1"/>
  <c r="G221" i="2"/>
  <c r="H221" i="2" s="1"/>
  <c r="J221" i="2" s="1"/>
  <c r="K222" i="2" l="1"/>
  <c r="L223" i="2" l="1"/>
  <c r="G222" i="2"/>
  <c r="H222" i="2" s="1"/>
  <c r="J222" i="2" s="1"/>
  <c r="K223" i="2" l="1"/>
  <c r="L224" i="2" l="1"/>
  <c r="G223" i="2"/>
  <c r="H223" i="2" s="1"/>
  <c r="J223" i="2" s="1"/>
  <c r="K224" i="2" l="1"/>
  <c r="L225" i="2" l="1"/>
  <c r="G224" i="2"/>
  <c r="H224" i="2" s="1"/>
  <c r="J224" i="2" s="1"/>
  <c r="K225" i="2" l="1"/>
  <c r="L226" i="2" l="1"/>
  <c r="G225" i="2"/>
  <c r="H225" i="2" s="1"/>
  <c r="J225" i="2" s="1"/>
  <c r="K226" i="2" l="1"/>
  <c r="L227" i="2" l="1"/>
  <c r="G226" i="2"/>
  <c r="H226" i="2" s="1"/>
  <c r="J226" i="2" s="1"/>
  <c r="K227" i="2" l="1"/>
  <c r="L228" i="2" l="1"/>
  <c r="G227" i="2"/>
  <c r="H227" i="2" s="1"/>
  <c r="J227" i="2" s="1"/>
  <c r="K228" i="2" l="1"/>
  <c r="L229" i="2" l="1"/>
  <c r="G228" i="2"/>
  <c r="H228" i="2" s="1"/>
  <c r="J228" i="2" s="1"/>
  <c r="K229" i="2" l="1"/>
  <c r="L230" i="2" l="1"/>
  <c r="G229" i="2"/>
  <c r="H229" i="2" s="1"/>
  <c r="J229" i="2" s="1"/>
  <c r="K230" i="2" l="1"/>
  <c r="L231" i="2" l="1"/>
  <c r="G230" i="2"/>
  <c r="H230" i="2" s="1"/>
  <c r="J230" i="2" s="1"/>
  <c r="K231" i="2" l="1"/>
  <c r="L232" i="2" l="1"/>
  <c r="G231" i="2"/>
  <c r="H231" i="2" s="1"/>
  <c r="J231" i="2" s="1"/>
  <c r="K232" i="2" l="1"/>
  <c r="L233" i="2" l="1"/>
  <c r="G232" i="2"/>
  <c r="H232" i="2" s="1"/>
  <c r="J232" i="2" s="1"/>
  <c r="K233" i="2" l="1"/>
  <c r="L234" i="2" l="1"/>
  <c r="G233" i="2"/>
  <c r="H233" i="2" s="1"/>
  <c r="J233" i="2" s="1"/>
  <c r="K234" i="2" l="1"/>
  <c r="L235" i="2" l="1"/>
  <c r="G234" i="2"/>
  <c r="H234" i="2" s="1"/>
  <c r="J234" i="2" s="1"/>
  <c r="K235" i="2" l="1"/>
  <c r="L236" i="2" l="1"/>
  <c r="G235" i="2"/>
  <c r="H235" i="2" s="1"/>
  <c r="J235" i="2" s="1"/>
  <c r="K236" i="2" l="1"/>
  <c r="L237" i="2" l="1"/>
  <c r="G236" i="2"/>
  <c r="H236" i="2" s="1"/>
  <c r="J236" i="2" s="1"/>
  <c r="K237" i="2" l="1"/>
  <c r="L238" i="2" l="1"/>
  <c r="G237" i="2"/>
  <c r="H237" i="2" s="1"/>
  <c r="J237" i="2" s="1"/>
  <c r="K238" i="2" l="1"/>
  <c r="L239" i="2" l="1"/>
  <c r="G238" i="2"/>
  <c r="H238" i="2" s="1"/>
  <c r="J238" i="2" s="1"/>
  <c r="K239" i="2" l="1"/>
  <c r="L240" i="2" l="1"/>
  <c r="G239" i="2"/>
  <c r="H239" i="2" s="1"/>
  <c r="J239" i="2" s="1"/>
  <c r="K240" i="2" l="1"/>
  <c r="L241" i="2" l="1"/>
  <c r="G240" i="2"/>
  <c r="H240" i="2" s="1"/>
  <c r="J240" i="2" s="1"/>
  <c r="K241" i="2" l="1"/>
  <c r="L242" i="2" l="1"/>
  <c r="G241" i="2"/>
  <c r="H241" i="2" s="1"/>
  <c r="J241" i="2" s="1"/>
  <c r="K242" i="2" l="1"/>
  <c r="L243" i="2" l="1"/>
  <c r="G242" i="2"/>
  <c r="H242" i="2" s="1"/>
  <c r="J242" i="2" s="1"/>
  <c r="K243" i="2" l="1"/>
  <c r="L244" i="2" l="1"/>
  <c r="G243" i="2"/>
  <c r="H243" i="2" s="1"/>
  <c r="J243" i="2" s="1"/>
  <c r="K244" i="2" l="1"/>
  <c r="L245" i="2" l="1"/>
  <c r="G244" i="2"/>
  <c r="H244" i="2" l="1"/>
  <c r="J244" i="2" s="1"/>
</calcChain>
</file>

<file path=xl/comments1.xml><?xml version="1.0" encoding="utf-8"?>
<comments xmlns="http://schemas.openxmlformats.org/spreadsheetml/2006/main">
  <authors>
    <author>Rob Collins</author>
  </authors>
  <commentList>
    <comment ref="C35" authorId="0">
      <text>
        <r>
          <rPr>
            <b/>
            <sz val="9"/>
            <color indexed="81"/>
            <rFont val="Tahoma"/>
            <family val="2"/>
          </rPr>
          <t>Convets RT_Clock into (decimal) seconds for model display purposes</t>
        </r>
      </text>
    </comment>
    <comment ref="B36" authorId="0">
      <text>
        <r>
          <rPr>
            <b/>
            <sz val="9"/>
            <color indexed="81"/>
            <rFont val="Tahoma"/>
            <family val="2"/>
          </rPr>
          <t>See tab 'Real Time Clock Generator' for calibration of this clock to 100ms ticks</t>
        </r>
      </text>
    </comment>
    <comment ref="D36" authorId="0">
      <text>
        <r>
          <rPr>
            <b/>
            <sz val="9"/>
            <color indexed="81"/>
            <rFont val="Tahoma"/>
            <family val="2"/>
          </rPr>
          <t>Inspiratory pressure applied whilst this column = 1</t>
        </r>
        <r>
          <rPr>
            <sz val="9"/>
            <color indexed="81"/>
            <rFont val="Tahoma"/>
            <family val="2"/>
          </rPr>
          <t xml:space="preserve">
</t>
        </r>
      </text>
    </comment>
    <comment ref="E36" authorId="0">
      <text>
        <r>
          <rPr>
            <b/>
            <sz val="9"/>
            <color indexed="81"/>
            <rFont val="Tahoma"/>
            <family val="2"/>
          </rPr>
          <t>PEEP Pressure applied whilst this column = 1</t>
        </r>
      </text>
    </comment>
    <comment ref="F37" authorId="0">
      <text>
        <r>
          <rPr>
            <sz val="9"/>
            <color indexed="81"/>
            <rFont val="Tahoma"/>
            <family val="2"/>
          </rPr>
          <t xml:space="preserve">Assume that we can use calibration to get a CMH20 value
</t>
        </r>
      </text>
    </comment>
    <comment ref="G37" authorId="0">
      <text>
        <r>
          <rPr>
            <sz val="9"/>
            <color indexed="81"/>
            <rFont val="Tahoma"/>
            <family val="2"/>
          </rPr>
          <t xml:space="preserve">Assume that we can use calibration to get a CMH20 value
</t>
        </r>
      </text>
    </comment>
  </commentList>
</comments>
</file>

<file path=xl/comments2.xml><?xml version="1.0" encoding="utf-8"?>
<comments xmlns="http://schemas.openxmlformats.org/spreadsheetml/2006/main">
  <authors>
    <author>Rob Collins</author>
  </authors>
  <commentList>
    <comment ref="E4" authorId="0">
      <text>
        <r>
          <rPr>
            <b/>
            <sz val="9"/>
            <color indexed="81"/>
            <rFont val="Tahoma"/>
            <family val="2"/>
          </rPr>
          <t>Number of controller internal clock cycles (ticks) per RT_Clock tick. Arbitrary - but lets assume we want the RT_Clock to tick every 100ms, and that the machine clock is ticking at 20ms (50Hz). Therefore, callibration factor = 5</t>
        </r>
      </text>
    </comment>
  </commentList>
</comments>
</file>

<file path=xl/sharedStrings.xml><?xml version="1.0" encoding="utf-8"?>
<sst xmlns="http://schemas.openxmlformats.org/spreadsheetml/2006/main" count="168" uniqueCount="130">
  <si>
    <t>Clock</t>
  </si>
  <si>
    <t>RT_Clock</t>
  </si>
  <si>
    <t>Units -&gt;</t>
  </si>
  <si>
    <t>Arbitrary</t>
  </si>
  <si>
    <t>Clock Accumulator</t>
  </si>
  <si>
    <t>Real-time clock calibration -&gt;</t>
  </si>
  <si>
    <t>1 = 100ms elapsed</t>
  </si>
  <si>
    <t>These variables NOT in control system! Used only in the spread-sheet for display purposes</t>
  </si>
  <si>
    <t>Time</t>
  </si>
  <si>
    <t>Seconds</t>
  </si>
  <si>
    <t>Inspiratory pressure level</t>
  </si>
  <si>
    <t>PEEP</t>
  </si>
  <si>
    <t>I:E ratio</t>
  </si>
  <si>
    <t>Respiratory rate</t>
  </si>
  <si>
    <r>
      <t>FiO</t>
    </r>
    <r>
      <rPr>
        <b/>
        <vertAlign val="subscript"/>
        <sz val="11"/>
        <color theme="1"/>
        <rFont val="Calibri"/>
        <family val="2"/>
        <scheme val="minor"/>
      </rPr>
      <t>2</t>
    </r>
  </si>
  <si>
    <t>Units</t>
  </si>
  <si>
    <t>Value</t>
  </si>
  <si>
    <t>Description</t>
  </si>
  <si>
    <t>cmH2O</t>
  </si>
  <si>
    <t>Positive end-expiratory pressure (PEEP) is the pressure in the lungs (alveolar pressure) above atmospheric pressure (the pressure outside of the body) that exists at the end of expiration</t>
  </si>
  <si>
    <t>Unitless (ratio)</t>
  </si>
  <si>
    <t>Rate at which breathing occurs. Measured by counting the number of breaths for one minute through counting how many times the chest rises. 
Adults: 12-18 breaths per minute; Elderly ≥ 65 years old: 12-28 breaths per minute; Elderly ≥ 80 years old: 10-30 breaths per minute</t>
  </si>
  <si>
    <t>Breaths per minute</t>
  </si>
  <si>
    <t xml:space="preserve">Volumetric fraction of oxygen in the inhaled gas. Medical patients experiencing difficulty breathing are provided with oxygen-enriched air, which means a higher-than-atmospheric FiO2. </t>
  </si>
  <si>
    <t>Minimal tidal volume alert level</t>
  </si>
  <si>
    <t>Ratio of a patient's inspiratory to expiratory time. Expressed here as a percentage of time inhaling</t>
  </si>
  <si>
    <t>Medic Control Parameters</t>
  </si>
  <si>
    <t>Intermediate calculations</t>
  </si>
  <si>
    <t>Time for 1 breath</t>
  </si>
  <si>
    <t>seconds</t>
  </si>
  <si>
    <t>RT_Clock Ticks</t>
  </si>
  <si>
    <t>=</t>
  </si>
  <si>
    <t>Breath Clock</t>
  </si>
  <si>
    <t>2 = 100ms elapsed</t>
  </si>
  <si>
    <t>Exhelation</t>
  </si>
  <si>
    <t>1 = on, 
0 = off</t>
  </si>
  <si>
    <t>Unitless
(%)</t>
  </si>
  <si>
    <t>CMH2O</t>
  </si>
  <si>
    <t>Physics model parameters</t>
  </si>
  <si>
    <t>Switch on reaction time for pressure regulator + piping + lung reaction</t>
  </si>
  <si>
    <t>Switch off reaction time for pressure regulator + piping + lung reaction</t>
  </si>
  <si>
    <t>The highest level of pressure applied to the lungs during inhalation. In mechanical ventilation the number reflects a positive pressure in centimeters of water pressure (cmH2O). In the model below, this is used as the 'target' for driving the pressure. Less than 20cm H20 ?</t>
  </si>
  <si>
    <t>Pressure target</t>
  </si>
  <si>
    <t>Measured pressure after system lag</t>
  </si>
  <si>
    <r>
      <t>Time taken for the system to actually apply the required pressure once commanded. To account for any reaction / settling time in the system. Cannot assume instantaneous pressure. C</t>
    </r>
    <r>
      <rPr>
        <b/>
        <sz val="10"/>
        <color theme="1"/>
        <rFont val="Calibri"/>
        <family val="2"/>
        <scheme val="minor"/>
      </rPr>
      <t>urrent value is a complete guess - would need to be tested and calibrated on actual physical device</t>
    </r>
  </si>
  <si>
    <t>Time taken for the system to release the pressure once commanded. To account for any reaction / settling time in the system. Cannot assume instantaneous pressure.  Current value is a complete guess - would need to be tested and calibrated on actual physical device</t>
  </si>
  <si>
    <t>Inspratory pressure</t>
  </si>
  <si>
    <t>I.E. Ratio</t>
  </si>
  <si>
    <t>Respatory Rate</t>
  </si>
  <si>
    <t>Min</t>
  </si>
  <si>
    <t>Max</t>
  </si>
  <si>
    <t>Inhallation pressure component</t>
  </si>
  <si>
    <t>Exhalation pressure component</t>
  </si>
  <si>
    <t>Inhalation time</t>
  </si>
  <si>
    <t>Exhalation time</t>
  </si>
  <si>
    <t>Inhalation</t>
  </si>
  <si>
    <t>Control Panel</t>
  </si>
  <si>
    <t>Pmus</t>
  </si>
  <si>
    <t>Respiratory pressure generated by respitatory muscles</t>
  </si>
  <si>
    <t>C</t>
  </si>
  <si>
    <t>Lung compliance</t>
  </si>
  <si>
    <t>R</t>
  </si>
  <si>
    <t>Airway resistance</t>
  </si>
  <si>
    <t>V(t)</t>
  </si>
  <si>
    <t>Volume of air breathed in</t>
  </si>
  <si>
    <t>V_dot(t)</t>
  </si>
  <si>
    <t>Respiration air flow</t>
  </si>
  <si>
    <t>Pa.s/l</t>
  </si>
  <si>
    <t>l/kPa</t>
  </si>
  <si>
    <t>Reference:</t>
  </si>
  <si>
    <t>Paštěka Richard, Mathias Forjan, Andreas Drauschke (2018) "Comparison of Mathematical and Controlled Mechanical Lung Simulation in Active Breathing and Ventilated State"</t>
  </si>
  <si>
    <t>T</t>
  </si>
  <si>
    <t>t step</t>
  </si>
  <si>
    <t>Respitatory Muscles</t>
  </si>
  <si>
    <t>Constant?</t>
  </si>
  <si>
    <t>Airway Resistance</t>
  </si>
  <si>
    <t>*</t>
  </si>
  <si>
    <t>du/dt</t>
  </si>
  <si>
    <t>Compliance</t>
  </si>
  <si>
    <t>Gas volume in lungs</t>
  </si>
  <si>
    <t>c</t>
  </si>
  <si>
    <t>a</t>
  </si>
  <si>
    <t>b</t>
  </si>
  <si>
    <t>E</t>
  </si>
  <si>
    <t>Tick</t>
  </si>
  <si>
    <t>Target</t>
  </si>
  <si>
    <t>Waveform generator table</t>
  </si>
  <si>
    <t>Simulation</t>
  </si>
  <si>
    <t>Corresponding Grad</t>
  </si>
  <si>
    <t>Corresponding Grad Index</t>
  </si>
  <si>
    <t>Required Grad</t>
  </si>
  <si>
    <t>Function Val</t>
  </si>
  <si>
    <t>Example</t>
  </si>
  <si>
    <t>Ticks per second</t>
  </si>
  <si>
    <t>RR</t>
  </si>
  <si>
    <t>Ticks per minute</t>
  </si>
  <si>
    <t>Ticks per breath</t>
  </si>
  <si>
    <t>I</t>
  </si>
  <si>
    <t xml:space="preserve">I:E </t>
  </si>
  <si>
    <t>Ticks for Inhale</t>
  </si>
  <si>
    <t>Ticks for exhale</t>
  </si>
  <si>
    <t>I + E</t>
  </si>
  <si>
    <t>Ticks</t>
  </si>
  <si>
    <t>Drive value</t>
  </si>
  <si>
    <t>Drive bag close</t>
  </si>
  <si>
    <t>Drive bag open</t>
  </si>
  <si>
    <t>Num chars</t>
  </si>
  <si>
    <t>LED display</t>
  </si>
  <si>
    <t>Inhale</t>
  </si>
  <si>
    <t>Exhale</t>
  </si>
  <si>
    <t>Num chars at tick x</t>
  </si>
  <si>
    <t>% of inhale</t>
  </si>
  <si>
    <t>Inhale LEDS</t>
  </si>
  <si>
    <t>% exhale</t>
  </si>
  <si>
    <t>Exhale LEDS</t>
  </si>
  <si>
    <t>ticks per breath =</t>
  </si>
  <si>
    <t xml:space="preserve">ticks per inhale = </t>
  </si>
  <si>
    <t>ticks per exhale =</t>
  </si>
  <si>
    <t>Num segments</t>
  </si>
  <si>
    <t>S</t>
  </si>
  <si>
    <t>Segment</t>
  </si>
  <si>
    <t>Drive Table</t>
  </si>
  <si>
    <t>Grad</t>
  </si>
  <si>
    <t>Clock tick</t>
  </si>
  <si>
    <t>Position into drive table</t>
  </si>
  <si>
    <t>Inspiration definition</t>
  </si>
  <si>
    <t>Real-time plot (for validation)</t>
  </si>
  <si>
    <t>Drive table for Arduino</t>
  </si>
  <si>
    <t>These formula are replicated in the  controller</t>
  </si>
  <si>
    <t>const int INHALE_DRIVE[]={,0,3,7,11,15,18,22,26,30,33,37,41,45,48,52,56,60,63,67,71,75,78,82,86,90,93,97,101,105,108,112,116,120,123,127,131,135,138,142,146,150,155,160,165,170,175,180,185,190,195,200,205,210,215,220,225,230,235,240,245,250,255,260,265,270,275,280,285,290,295,300,305,310,315,320,325,330,335,340,345,350,347,345,342,340,337,335,332,330,327,325,322,320,317,315,312,310,307,305,302,300};</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</si>
</sst>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 #,##0.00_-;_-* &quot;-&quot;??_-;_-@_-"/>
    <numFmt numFmtId="164" formatCode="0.0"/>
    <numFmt numFmtId="165" formatCode="0.000"/>
    <numFmt numFmtId="166" formatCode="0.0\ \b\p\m"/>
    <numFmt numFmtId="167" formatCode="0.0\ \c\m\H\2\O"/>
    <numFmt numFmtId="168" formatCode="0.0000"/>
    <numFmt numFmtId="169" formatCode="_-* #,##0_-;\-* #,##0_-;_-* &quot;-&quot;??_-;_-@_-"/>
    <numFmt numFmtId="170" formatCode="#,##0.000_ ;\-#,##0.000\ "/>
    <numFmt numFmtId="171" formatCode="#,##0_ ;\-#,##0\ "/>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vertAlign val="subscript"/>
      <sz val="11"/>
      <color theme="1"/>
      <name val="Calibri"/>
      <family val="2"/>
      <scheme val="minor"/>
    </font>
    <font>
      <sz val="10"/>
      <color theme="1"/>
      <name val="Calibri"/>
      <family val="2"/>
      <scheme val="minor"/>
    </font>
    <font>
      <b/>
      <sz val="10"/>
      <color theme="1"/>
      <name val="Calibri"/>
      <family val="2"/>
      <scheme val="minor"/>
    </font>
    <font>
      <b/>
      <sz val="14"/>
      <color theme="1"/>
      <name val="Calibri"/>
      <family val="2"/>
      <scheme val="minor"/>
    </font>
    <font>
      <sz val="12"/>
      <color theme="1"/>
      <name val="Calibri"/>
      <family val="2"/>
      <scheme val="minor"/>
    </font>
    <font>
      <sz val="18"/>
      <color theme="1"/>
      <name val="Calibri"/>
      <family val="2"/>
      <scheme val="minor"/>
    </font>
    <font>
      <sz val="11"/>
      <name val="Calibri"/>
      <family val="2"/>
      <scheme val="minor"/>
    </font>
    <font>
      <sz val="11"/>
      <color theme="9" tint="0.39997558519241921"/>
      <name val="Calibri"/>
      <family val="2"/>
      <scheme val="minor"/>
    </font>
    <font>
      <b/>
      <sz val="24"/>
      <color rgb="FF00FF00"/>
      <name val="Calibri"/>
      <family val="2"/>
      <scheme val="minor"/>
    </font>
    <font>
      <b/>
      <sz val="22"/>
      <color theme="1"/>
      <name val="Calibri"/>
      <family val="2"/>
      <scheme val="minor"/>
    </font>
    <font>
      <b/>
      <sz val="9"/>
      <color theme="1"/>
      <name val="Calibri"/>
      <family val="2"/>
      <scheme val="minor"/>
    </font>
    <font>
      <sz val="16"/>
      <color theme="1"/>
      <name val="Calibri"/>
      <family val="2"/>
      <scheme val="minor"/>
    </font>
    <font>
      <b/>
      <sz val="12"/>
      <color theme="1"/>
      <name val="Calibri"/>
      <family val="2"/>
      <scheme val="minor"/>
    </font>
    <font>
      <b/>
      <sz val="16"/>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249977111117893"/>
        <bgColor indexed="64"/>
      </patternFill>
    </fill>
    <fill>
      <patternFill patternType="solid">
        <fgColor theme="9" tint="0.399975585192419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155">
    <xf numFmtId="0" fontId="0" fillId="0" borderId="0" xfId="0"/>
    <xf numFmtId="0" fontId="0" fillId="0" borderId="0" xfId="0" applyAlignment="1">
      <alignment horizontal="center"/>
    </xf>
    <xf numFmtId="0" fontId="0" fillId="0" borderId="0" xfId="0" applyFont="1" applyAlignment="1">
      <alignment horizontal="center"/>
    </xf>
    <xf numFmtId="0" fontId="2" fillId="0" borderId="0" xfId="0" applyFont="1"/>
    <xf numFmtId="0" fontId="2" fillId="0" borderId="0" xfId="0" applyFont="1" applyAlignment="1">
      <alignment horizontal="center" vertical="center"/>
    </xf>
    <xf numFmtId="0" fontId="0" fillId="0" borderId="0" xfId="0" applyFont="1" applyAlignment="1">
      <alignment horizontal="center" vertical="center"/>
    </xf>
    <xf numFmtId="0" fontId="2" fillId="0" borderId="0" xfId="0" applyFont="1" applyAlignment="1">
      <alignment horizontal="center" vertical="center" wrapText="1"/>
    </xf>
    <xf numFmtId="0" fontId="0" fillId="2" borderId="0" xfId="0" applyFill="1" applyAlignment="1">
      <alignment horizontal="center"/>
    </xf>
    <xf numFmtId="0" fontId="0" fillId="0" borderId="0" xfId="0" applyFont="1" applyAlignment="1">
      <alignment horizontal="center" vertical="center" wrapText="1"/>
    </xf>
    <xf numFmtId="0" fontId="0" fillId="2" borderId="0" xfId="0" applyFill="1" applyAlignment="1">
      <alignment horizontal="center" vertical="center"/>
    </xf>
    <xf numFmtId="2" fontId="0" fillId="0" borderId="0" xfId="0" applyNumberFormat="1" applyAlignment="1">
      <alignment horizontal="center"/>
    </xf>
    <xf numFmtId="165" fontId="0" fillId="0" borderId="0" xfId="0" applyNumberFormat="1" applyAlignment="1">
      <alignment horizontal="center"/>
    </xf>
    <xf numFmtId="0" fontId="0" fillId="0" borderId="0" xfId="0" applyAlignment="1">
      <alignment horizontal="center" vertical="center" wrapText="1"/>
    </xf>
    <xf numFmtId="0" fontId="0" fillId="2" borderId="1" xfId="0" applyFill="1" applyBorder="1" applyAlignment="1">
      <alignment horizontal="center" vertical="center"/>
    </xf>
    <xf numFmtId="0" fontId="2" fillId="0"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wrapText="1"/>
    </xf>
    <xf numFmtId="0" fontId="0" fillId="0" borderId="0" xfId="0" applyFill="1" applyBorder="1" applyAlignment="1">
      <alignment horizontal="center" vertical="center" wrapText="1"/>
    </xf>
    <xf numFmtId="0" fontId="6" fillId="0" borderId="0" xfId="0" applyFont="1" applyFill="1" applyBorder="1" applyAlignment="1">
      <alignment horizontal="left" vertical="center" wrapText="1"/>
    </xf>
    <xf numFmtId="166" fontId="0" fillId="2" borderId="1" xfId="0" applyNumberFormat="1" applyFill="1" applyBorder="1" applyAlignment="1">
      <alignment horizontal="center" vertical="center"/>
    </xf>
    <xf numFmtId="9" fontId="0" fillId="2" borderId="1" xfId="0" applyNumberFormat="1" applyFill="1" applyBorder="1" applyAlignment="1">
      <alignment horizontal="center" vertical="center"/>
    </xf>
    <xf numFmtId="0" fontId="2" fillId="0" borderId="0" xfId="0" applyFont="1" applyBorder="1" applyAlignment="1">
      <alignment horizontal="right" vertical="center" wrapText="1"/>
    </xf>
    <xf numFmtId="0" fontId="10" fillId="0" borderId="0" xfId="0" quotePrefix="1" applyFont="1" applyFill="1" applyBorder="1" applyAlignment="1">
      <alignment horizontal="center" vertical="center" wrapText="1"/>
    </xf>
    <xf numFmtId="0" fontId="0" fillId="0" borderId="0" xfId="0" quotePrefix="1" applyFont="1" applyAlignment="1">
      <alignment horizontal="center" vertical="center" wrapText="1"/>
    </xf>
    <xf numFmtId="0" fontId="9" fillId="0" borderId="1" xfId="0" applyFont="1" applyFill="1" applyBorder="1" applyAlignment="1">
      <alignment horizontal="center" vertical="center" wrapText="1"/>
    </xf>
    <xf numFmtId="167" fontId="0" fillId="2" borderId="1" xfId="0" applyNumberFormat="1" applyFill="1" applyBorder="1" applyAlignment="1">
      <alignment horizontal="center" vertical="center"/>
    </xf>
    <xf numFmtId="0" fontId="2" fillId="6" borderId="0" xfId="0" applyFont="1" applyFill="1" applyAlignment="1">
      <alignment horizontal="center" vertical="center"/>
    </xf>
    <xf numFmtId="0" fontId="0" fillId="6" borderId="0" xfId="0" applyFont="1" applyFill="1" applyAlignment="1">
      <alignment horizontal="center" vertical="center" wrapText="1"/>
    </xf>
    <xf numFmtId="0" fontId="0" fillId="6" borderId="0" xfId="0" quotePrefix="1" applyFont="1" applyFill="1" applyAlignment="1">
      <alignment horizontal="center" vertical="center" wrapText="1"/>
    </xf>
    <xf numFmtId="0" fontId="0" fillId="6" borderId="0" xfId="0" applyFont="1" applyFill="1" applyAlignment="1">
      <alignment horizontal="center" vertical="center"/>
    </xf>
    <xf numFmtId="164" fontId="0" fillId="0" borderId="0" xfId="0" applyNumberFormat="1" applyFont="1" applyAlignment="1">
      <alignment horizontal="center" vertical="center"/>
    </xf>
    <xf numFmtId="164" fontId="0" fillId="0" borderId="0" xfId="0" applyNumberFormat="1" applyAlignment="1">
      <alignment horizontal="center" vertical="center"/>
    </xf>
    <xf numFmtId="0" fontId="8" fillId="4" borderId="3" xfId="0" applyFont="1" applyFill="1" applyBorder="1" applyAlignment="1">
      <alignment horizontal="left" vertical="center"/>
    </xf>
    <xf numFmtId="0" fontId="0" fillId="4" borderId="4" xfId="0" applyFill="1" applyBorder="1" applyAlignment="1">
      <alignment vertical="center"/>
    </xf>
    <xf numFmtId="0" fontId="0" fillId="4" borderId="5" xfId="0" applyFill="1" applyBorder="1" applyAlignment="1">
      <alignment vertical="center"/>
    </xf>
    <xf numFmtId="0" fontId="6" fillId="0" borderId="7" xfId="0" applyFont="1" applyFill="1" applyBorder="1" applyAlignment="1">
      <alignment vertical="center" wrapText="1"/>
    </xf>
    <xf numFmtId="0" fontId="0" fillId="0" borderId="9" xfId="0" applyFill="1" applyBorder="1" applyAlignment="1">
      <alignment horizontal="center" vertical="center" wrapText="1"/>
    </xf>
    <xf numFmtId="0" fontId="9" fillId="0" borderId="9" xfId="0" applyFont="1" applyFill="1" applyBorder="1" applyAlignment="1">
      <alignment horizontal="center" vertical="center" wrapText="1"/>
    </xf>
    <xf numFmtId="0" fontId="6" fillId="0" borderId="10" xfId="0" applyFont="1" applyFill="1" applyBorder="1" applyAlignment="1">
      <alignment vertical="center" wrapText="1"/>
    </xf>
    <xf numFmtId="0" fontId="6" fillId="0" borderId="11" xfId="0" applyFont="1" applyFill="1" applyBorder="1" applyAlignment="1">
      <alignment horizontal="left" vertical="center" wrapText="1"/>
    </xf>
    <xf numFmtId="0" fontId="10" fillId="0" borderId="11" xfId="0" quotePrefix="1" applyFont="1" applyFill="1" applyBorder="1" applyAlignment="1">
      <alignment horizontal="center" vertical="center" wrapText="1"/>
    </xf>
    <xf numFmtId="0" fontId="0" fillId="0" borderId="12" xfId="0" applyFont="1" applyBorder="1" applyAlignment="1">
      <alignment horizontal="center"/>
    </xf>
    <xf numFmtId="0" fontId="0" fillId="0" borderId="0" xfId="0" applyBorder="1"/>
    <xf numFmtId="0" fontId="0" fillId="2" borderId="9" xfId="0" applyFill="1" applyBorder="1" applyAlignment="1">
      <alignment horizontal="center" vertical="center"/>
    </xf>
    <xf numFmtId="0" fontId="11" fillId="8" borderId="16" xfId="0" applyFont="1" applyFill="1" applyBorder="1" applyAlignment="1">
      <alignment horizontal="center" vertical="center"/>
    </xf>
    <xf numFmtId="0" fontId="0" fillId="8" borderId="16" xfId="0" applyFill="1" applyBorder="1"/>
    <xf numFmtId="0" fontId="0" fillId="8" borderId="17" xfId="0" applyFill="1" applyBorder="1"/>
    <xf numFmtId="0" fontId="12" fillId="8" borderId="15" xfId="0" applyFont="1" applyFill="1" applyBorder="1" applyAlignment="1">
      <alignment horizontal="center" vertical="center"/>
    </xf>
    <xf numFmtId="0" fontId="13" fillId="3" borderId="2" xfId="0" applyFont="1" applyFill="1" applyBorder="1" applyAlignment="1">
      <alignment horizontal="center" vertical="center" wrapText="1"/>
    </xf>
    <xf numFmtId="9" fontId="13" fillId="3" borderId="2" xfId="1" applyFont="1" applyFill="1" applyBorder="1" applyAlignment="1">
      <alignment horizontal="center" vertical="center" wrapText="1"/>
    </xf>
    <xf numFmtId="164" fontId="13" fillId="3" borderId="2" xfId="0" applyNumberFormat="1" applyFont="1" applyFill="1" applyBorder="1" applyAlignment="1">
      <alignment horizontal="center" vertical="center" wrapText="1"/>
    </xf>
    <xf numFmtId="0" fontId="0" fillId="0" borderId="0" xfId="0" applyFill="1"/>
    <xf numFmtId="0" fontId="2" fillId="0" borderId="0" xfId="0" applyFont="1" applyFill="1" applyAlignment="1">
      <alignment horizontal="center" vertical="center"/>
    </xf>
    <xf numFmtId="0" fontId="0" fillId="0" borderId="0" xfId="0" applyFont="1" applyFill="1" applyAlignment="1">
      <alignment horizontal="center" vertical="center"/>
    </xf>
    <xf numFmtId="0" fontId="2" fillId="8" borderId="20" xfId="0" applyFont="1" applyFill="1" applyBorder="1" applyAlignment="1">
      <alignment horizontal="center" vertical="center"/>
    </xf>
    <xf numFmtId="0" fontId="2" fillId="8" borderId="8" xfId="0" applyFont="1" applyFill="1" applyBorder="1" applyAlignment="1">
      <alignment horizontal="center" vertical="center"/>
    </xf>
    <xf numFmtId="0" fontId="0" fillId="8" borderId="3" xfId="0" applyFill="1" applyBorder="1"/>
    <xf numFmtId="0" fontId="0" fillId="8" borderId="4" xfId="0" applyFill="1" applyBorder="1"/>
    <xf numFmtId="0" fontId="11" fillId="8" borderId="4" xfId="0" applyFont="1" applyFill="1" applyBorder="1" applyAlignment="1">
      <alignment horizontal="center" vertical="center"/>
    </xf>
    <xf numFmtId="0" fontId="0" fillId="8" borderId="5" xfId="0" applyFill="1" applyBorder="1"/>
    <xf numFmtId="0" fontId="0" fillId="8" borderId="12" xfId="0" applyFill="1" applyBorder="1"/>
    <xf numFmtId="0" fontId="0" fillId="8" borderId="0" xfId="0" applyFill="1" applyBorder="1"/>
    <xf numFmtId="0" fontId="11" fillId="8" borderId="0" xfId="0" applyFont="1" applyFill="1" applyBorder="1" applyAlignment="1">
      <alignment horizontal="center" vertical="center"/>
    </xf>
    <xf numFmtId="0" fontId="0" fillId="8" borderId="23" xfId="0" applyFill="1" applyBorder="1"/>
    <xf numFmtId="0" fontId="0" fillId="8" borderId="18" xfId="0" applyFill="1" applyBorder="1"/>
    <xf numFmtId="0" fontId="0" fillId="8" borderId="11" xfId="0" applyFill="1" applyBorder="1"/>
    <xf numFmtId="0" fontId="0" fillId="8" borderId="19" xfId="0" applyFill="1" applyBorder="1"/>
    <xf numFmtId="0" fontId="10" fillId="5" borderId="21" xfId="0" applyFont="1" applyFill="1" applyBorder="1" applyAlignment="1">
      <alignment horizontal="center" vertical="center"/>
    </xf>
    <xf numFmtId="9" fontId="10" fillId="5" borderId="21" xfId="1" applyFont="1" applyFill="1" applyBorder="1" applyAlignment="1">
      <alignment horizontal="center" vertical="center"/>
    </xf>
    <xf numFmtId="0" fontId="10" fillId="5" borderId="22" xfId="0" applyFont="1" applyFill="1" applyBorder="1" applyAlignment="1">
      <alignment horizontal="center" vertical="center"/>
    </xf>
    <xf numFmtId="0" fontId="10" fillId="5" borderId="9" xfId="0" applyFont="1" applyFill="1" applyBorder="1" applyAlignment="1">
      <alignment horizontal="center" vertical="center"/>
    </xf>
    <xf numFmtId="9" fontId="10" fillId="5" borderId="9" xfId="1" applyFont="1" applyFill="1" applyBorder="1" applyAlignment="1">
      <alignment horizontal="center" vertical="center"/>
    </xf>
    <xf numFmtId="0" fontId="10" fillId="5" borderId="10" xfId="0" applyFont="1" applyFill="1" applyBorder="1" applyAlignment="1">
      <alignment horizontal="center" vertical="center"/>
    </xf>
    <xf numFmtId="0" fontId="0" fillId="7" borderId="25" xfId="0" applyFill="1" applyBorder="1"/>
    <xf numFmtId="0" fontId="0" fillId="7" borderId="26" xfId="0" applyFill="1" applyBorder="1"/>
    <xf numFmtId="0" fontId="14" fillId="7" borderId="24" xfId="0" applyFont="1" applyFill="1" applyBorder="1" applyAlignment="1">
      <alignment vertical="center"/>
    </xf>
    <xf numFmtId="0" fontId="7" fillId="8" borderId="15" xfId="0" applyFont="1" applyFill="1" applyBorder="1" applyAlignment="1">
      <alignment horizontal="center" vertical="center" wrapText="1"/>
    </xf>
    <xf numFmtId="0" fontId="2" fillId="0" borderId="3" xfId="0" applyFont="1" applyBorder="1"/>
    <xf numFmtId="0" fontId="0" fillId="0" borderId="4" xfId="0" applyBorder="1"/>
    <xf numFmtId="0" fontId="0" fillId="0" borderId="5" xfId="0" applyBorder="1"/>
    <xf numFmtId="0" fontId="0" fillId="0" borderId="12" xfId="0" applyBorder="1"/>
    <xf numFmtId="0" fontId="0" fillId="0" borderId="23" xfId="0" applyBorder="1"/>
    <xf numFmtId="0" fontId="2" fillId="0" borderId="12" xfId="0" applyFont="1" applyBorder="1" applyAlignment="1">
      <alignment horizontal="center" vertical="center"/>
    </xf>
    <xf numFmtId="0" fontId="2" fillId="0" borderId="0" xfId="0" applyFont="1" applyBorder="1" applyAlignment="1">
      <alignment horizontal="center" vertical="center"/>
    </xf>
    <xf numFmtId="0" fontId="2" fillId="0" borderId="23" xfId="0" applyFont="1" applyBorder="1" applyAlignment="1">
      <alignment horizontal="center" vertical="center"/>
    </xf>
    <xf numFmtId="0" fontId="0" fillId="0" borderId="0" xfId="0" applyFont="1" applyBorder="1" applyAlignment="1">
      <alignment horizontal="center" vertical="center"/>
    </xf>
    <xf numFmtId="0" fontId="2" fillId="6" borderId="12" xfId="0" applyFont="1" applyFill="1" applyBorder="1" applyAlignment="1">
      <alignment horizontal="center" vertical="center"/>
    </xf>
    <xf numFmtId="0" fontId="2" fillId="6" borderId="0" xfId="0" applyFont="1" applyFill="1" applyBorder="1" applyAlignment="1">
      <alignment horizontal="center" vertical="center"/>
    </xf>
    <xf numFmtId="0" fontId="0" fillId="6" borderId="0" xfId="0" applyFont="1" applyFill="1" applyBorder="1" applyAlignment="1">
      <alignment horizontal="center" vertical="center"/>
    </xf>
    <xf numFmtId="0" fontId="2" fillId="6" borderId="23" xfId="0" applyFont="1" applyFill="1" applyBorder="1" applyAlignment="1">
      <alignment horizontal="center" vertical="center"/>
    </xf>
    <xf numFmtId="0" fontId="0" fillId="0" borderId="0" xfId="0" applyBorder="1" applyAlignment="1">
      <alignment horizontal="center"/>
    </xf>
    <xf numFmtId="0" fontId="0" fillId="0" borderId="18" xfId="0" applyBorder="1"/>
    <xf numFmtId="0" fontId="0" fillId="0" borderId="11" xfId="0" applyBorder="1"/>
    <xf numFmtId="0" fontId="0" fillId="0" borderId="19" xfId="0" applyBorder="1"/>
    <xf numFmtId="0" fontId="15" fillId="0" borderId="0" xfId="0" applyFont="1" applyAlignment="1">
      <alignment horizontal="center" vertical="center" wrapText="1"/>
    </xf>
    <xf numFmtId="168" fontId="0" fillId="0" borderId="0" xfId="0" applyNumberFormat="1"/>
    <xf numFmtId="164" fontId="0" fillId="0" borderId="1" xfId="0" applyNumberFormat="1" applyFill="1" applyBorder="1" applyAlignment="1">
      <alignment horizontal="center" vertical="center" wrapText="1"/>
    </xf>
    <xf numFmtId="164" fontId="0" fillId="0" borderId="9" xfId="0" applyNumberFormat="1" applyFill="1" applyBorder="1" applyAlignment="1">
      <alignment horizontal="center" vertical="center" wrapText="1"/>
    </xf>
    <xf numFmtId="164" fontId="0" fillId="0" borderId="1" xfId="0" applyNumberFormat="1" applyFont="1" applyFill="1" applyBorder="1" applyAlignment="1">
      <alignment horizontal="center" vertical="center" wrapText="1"/>
    </xf>
    <xf numFmtId="164" fontId="0" fillId="0" borderId="9" xfId="0" applyNumberFormat="1" applyFont="1" applyFill="1" applyBorder="1" applyAlignment="1">
      <alignment horizontal="center" vertical="center" wrapText="1"/>
    </xf>
    <xf numFmtId="0" fontId="0" fillId="0" borderId="0" xfId="0" applyAlignment="1">
      <alignment vertical="center"/>
    </xf>
    <xf numFmtId="0" fontId="0" fillId="0" borderId="0" xfId="0" applyAlignment="1">
      <alignment horizontal="center" vertical="center"/>
    </xf>
    <xf numFmtId="0" fontId="16" fillId="2" borderId="1" xfId="0" applyFont="1" applyFill="1" applyBorder="1" applyAlignment="1">
      <alignment horizontal="center" vertical="center" wrapText="1"/>
    </xf>
    <xf numFmtId="0" fontId="16" fillId="2" borderId="9" xfId="0" applyFont="1" applyFill="1" applyBorder="1" applyAlignment="1">
      <alignment horizontal="center" vertical="center" wrapText="1"/>
    </xf>
    <xf numFmtId="0" fontId="2" fillId="0" borderId="0" xfId="0" applyFont="1" applyAlignment="1">
      <alignment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9" fontId="0" fillId="0" borderId="0" xfId="2" applyNumberFormat="1" applyFont="1" applyAlignment="1">
      <alignment vertical="center"/>
    </xf>
    <xf numFmtId="169" fontId="0" fillId="0" borderId="0" xfId="0" applyNumberFormat="1" applyAlignment="1">
      <alignment vertical="center"/>
    </xf>
    <xf numFmtId="0" fontId="0" fillId="2" borderId="0" xfId="0" applyFill="1" applyAlignment="1">
      <alignment vertical="center"/>
    </xf>
    <xf numFmtId="169" fontId="0" fillId="0" borderId="27" xfId="0" applyNumberFormat="1" applyBorder="1" applyAlignment="1">
      <alignment vertical="center"/>
    </xf>
    <xf numFmtId="43" fontId="0" fillId="0" borderId="0" xfId="0" applyNumberFormat="1" applyAlignment="1">
      <alignment vertical="center"/>
    </xf>
    <xf numFmtId="0" fontId="2" fillId="0" borderId="28" xfId="0" applyFont="1" applyBorder="1" applyAlignment="1">
      <alignment horizontal="center" vertical="center"/>
    </xf>
    <xf numFmtId="0" fontId="0" fillId="0" borderId="1" xfId="0" applyBorder="1" applyAlignment="1">
      <alignment horizontal="center" vertical="center"/>
    </xf>
    <xf numFmtId="0" fontId="2" fillId="0" borderId="1" xfId="0" applyFont="1" applyBorder="1" applyAlignment="1">
      <alignment horizontal="center" vertical="center"/>
    </xf>
    <xf numFmtId="171" fontId="0" fillId="0" borderId="1" xfId="0" applyNumberFormat="1" applyBorder="1" applyAlignment="1">
      <alignment horizontal="center" vertical="center"/>
    </xf>
    <xf numFmtId="0" fontId="2" fillId="0" borderId="0" xfId="0" applyFont="1" applyAlignment="1">
      <alignment horizontal="left" vertical="center"/>
    </xf>
    <xf numFmtId="170" fontId="0" fillId="0" borderId="0" xfId="0" applyNumberFormat="1" applyBorder="1" applyAlignment="1">
      <alignment horizontal="center" vertical="center"/>
    </xf>
    <xf numFmtId="170" fontId="0" fillId="0" borderId="1" xfId="0" applyNumberFormat="1" applyBorder="1" applyAlignment="1">
      <alignment horizontal="center" vertical="center"/>
    </xf>
    <xf numFmtId="164"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applyAlignment="1">
      <alignment horizontal="center"/>
    </xf>
    <xf numFmtId="0" fontId="8" fillId="0" borderId="0" xfId="0" applyFont="1"/>
    <xf numFmtId="0" fontId="0" fillId="0" borderId="6" xfId="0" applyFont="1" applyBorder="1" applyAlignment="1">
      <alignment horizontal="left" vertical="center" wrapText="1"/>
    </xf>
    <xf numFmtId="0" fontId="0" fillId="0" borderId="1" xfId="0" applyFont="1" applyBorder="1" applyAlignment="1">
      <alignment horizontal="left"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6" fillId="0" borderId="1" xfId="0" applyFont="1" applyFill="1" applyBorder="1" applyAlignment="1">
      <alignment horizontal="left" vertical="center" wrapText="1"/>
    </xf>
    <xf numFmtId="0" fontId="6" fillId="0" borderId="9" xfId="0" applyFont="1" applyFill="1" applyBorder="1" applyAlignment="1">
      <alignment horizontal="left" vertical="center" wrapText="1"/>
    </xf>
    <xf numFmtId="0" fontId="0" fillId="0" borderId="6" xfId="0" applyFont="1" applyBorder="1" applyAlignment="1">
      <alignment horizontal="right" vertical="center" wrapText="1"/>
    </xf>
    <xf numFmtId="0" fontId="0" fillId="0" borderId="1" xfId="0" applyFont="1" applyBorder="1" applyAlignment="1">
      <alignment horizontal="right" vertical="center" wrapText="1"/>
    </xf>
    <xf numFmtId="0" fontId="0" fillId="0" borderId="8" xfId="0" applyFont="1" applyBorder="1" applyAlignment="1">
      <alignment horizontal="right" vertical="center" wrapText="1"/>
    </xf>
    <xf numFmtId="0" fontId="0" fillId="0" borderId="9" xfId="0" applyFont="1" applyBorder="1" applyAlignment="1">
      <alignment horizontal="right" vertical="center" wrapText="1"/>
    </xf>
    <xf numFmtId="0" fontId="6" fillId="0" borderId="7" xfId="0" applyFont="1" applyFill="1" applyBorder="1" applyAlignment="1">
      <alignment horizontal="left" vertical="center" wrapText="1"/>
    </xf>
    <xf numFmtId="0" fontId="6" fillId="0" borderId="10"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7" xfId="0" applyFont="1" applyFill="1" applyBorder="1" applyAlignment="1">
      <alignment horizontal="left" vertical="center" wrapText="1"/>
    </xf>
    <xf numFmtId="0" fontId="2" fillId="0" borderId="13" xfId="0" applyFont="1" applyBorder="1" applyAlignment="1">
      <alignment horizontal="right" vertical="center" wrapText="1"/>
    </xf>
    <xf numFmtId="0" fontId="2" fillId="0" borderId="14" xfId="0" applyFont="1" applyBorder="1" applyAlignment="1">
      <alignment horizontal="right" vertical="center" wrapText="1"/>
    </xf>
    <xf numFmtId="0" fontId="2" fillId="0" borderId="6" xfId="0" applyFont="1" applyBorder="1" applyAlignment="1">
      <alignment horizontal="right" vertical="center"/>
    </xf>
    <xf numFmtId="0" fontId="2" fillId="0" borderId="1" xfId="0" applyFont="1" applyBorder="1" applyAlignment="1">
      <alignment horizontal="right" vertical="center"/>
    </xf>
    <xf numFmtId="0" fontId="0" fillId="0" borderId="0" xfId="0" applyAlignment="1">
      <alignment horizontal="left" vertical="top" wrapText="1"/>
    </xf>
    <xf numFmtId="0" fontId="0" fillId="0" borderId="12" xfId="0" applyBorder="1" applyAlignment="1">
      <alignment vertical="center"/>
    </xf>
    <xf numFmtId="0" fontId="0" fillId="0" borderId="0" xfId="0" applyBorder="1" applyAlignment="1">
      <alignment vertical="center"/>
    </xf>
    <xf numFmtId="169" fontId="0" fillId="0" borderId="0" xfId="2" applyNumberFormat="1" applyFont="1" applyBorder="1" applyAlignment="1">
      <alignment vertical="center"/>
    </xf>
    <xf numFmtId="169" fontId="0" fillId="0" borderId="0" xfId="0" applyNumberFormat="1" applyBorder="1" applyAlignment="1">
      <alignment vertical="center"/>
    </xf>
    <xf numFmtId="0" fontId="0" fillId="0" borderId="0" xfId="0" applyBorder="1" applyAlignment="1">
      <alignment horizontal="center" vertical="center"/>
    </xf>
    <xf numFmtId="0" fontId="0" fillId="2" borderId="0" xfId="0" applyFill="1" applyBorder="1" applyAlignment="1">
      <alignment horizontal="center" vertical="center"/>
    </xf>
    <xf numFmtId="0" fontId="0" fillId="2" borderId="0" xfId="0" applyFill="1" applyBorder="1" applyAlignment="1">
      <alignment horizontal="center"/>
    </xf>
    <xf numFmtId="1" fontId="0" fillId="0" borderId="0" xfId="0" applyNumberFormat="1" applyBorder="1" applyAlignment="1">
      <alignment horizontal="center"/>
    </xf>
    <xf numFmtId="0" fontId="0" fillId="0" borderId="11" xfId="0" applyBorder="1" applyAlignment="1">
      <alignment horizontal="center"/>
    </xf>
    <xf numFmtId="1" fontId="0" fillId="0" borderId="11" xfId="0" applyNumberFormat="1" applyBorder="1" applyAlignment="1">
      <alignment horizontal="center"/>
    </xf>
    <xf numFmtId="0" fontId="17" fillId="0" borderId="3" xfId="0" applyFont="1" applyBorder="1" applyAlignment="1">
      <alignment horizontal="center"/>
    </xf>
    <xf numFmtId="0" fontId="17" fillId="0" borderId="4" xfId="0" applyFont="1" applyBorder="1" applyAlignment="1">
      <alignment horizontal="center"/>
    </xf>
    <xf numFmtId="0" fontId="17" fillId="0" borderId="5" xfId="0" applyFont="1" applyBorder="1" applyAlignment="1">
      <alignment horizontal="center"/>
    </xf>
  </cellXfs>
  <cellStyles count="3">
    <cellStyle name="Comma" xfId="2" builtinId="3"/>
    <cellStyle name="Normal" xfId="0" builtinId="0"/>
    <cellStyle name="Percent" xfId="1" builtinId="5"/>
  </cellStyles>
  <dxfs count="11">
    <dxf>
      <font>
        <color rgb="FF006100"/>
      </font>
      <fill>
        <patternFill>
          <bgColor rgb="FFC6EF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FF00"/>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45"/>
    </mc:Choice>
    <mc:Fallback>
      <c:style val="45"/>
    </mc:Fallback>
  </mc:AlternateContent>
  <c:chart>
    <c:title>
      <c:tx>
        <c:rich>
          <a:bodyPr/>
          <a:lstStyle/>
          <a:p>
            <a:pPr>
              <a:defRPr/>
            </a:pPr>
            <a:r>
              <a:rPr lang="en-US"/>
              <a:t>Inhalation / Exhalation Cycle</a:t>
            </a:r>
          </a:p>
        </c:rich>
      </c:tx>
      <c:overlay val="0"/>
    </c:title>
    <c:autoTitleDeleted val="0"/>
    <c:plotArea>
      <c:layout/>
      <c:lineChart>
        <c:grouping val="standard"/>
        <c:varyColors val="0"/>
        <c:ser>
          <c:idx val="0"/>
          <c:order val="0"/>
          <c:tx>
            <c:strRef>
              <c:f>'Control Logic'!$D$36</c:f>
              <c:strCache>
                <c:ptCount val="1"/>
                <c:pt idx="0">
                  <c:v>Inhalation</c:v>
                </c:pt>
              </c:strCache>
            </c:strRef>
          </c:tx>
          <c:spPr>
            <a:ln>
              <a:solidFill>
                <a:srgbClr val="FF0000"/>
              </a:solidFill>
            </a:ln>
          </c:spPr>
          <c:marker>
            <c:symbol val="none"/>
          </c:marker>
          <c:cat>
            <c:numRef>
              <c:f>'Control Logic'!$S$58:$S$2118</c:f>
              <c:numCache>
                <c:formatCode>General</c:formatCode>
                <c:ptCount val="206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numCache>
            </c:numRef>
          </c:cat>
          <c:val>
            <c:numRef>
              <c:f>'Control Logic'!$D$58:$D$207</c:f>
              <c:numCache>
                <c:formatCode>General</c:formatCode>
                <c:ptCount val="1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1</c:v>
                </c:pt>
                <c:pt idx="144">
                  <c:v>1</c:v>
                </c:pt>
                <c:pt idx="145">
                  <c:v>1</c:v>
                </c:pt>
                <c:pt idx="146">
                  <c:v>1</c:v>
                </c:pt>
                <c:pt idx="147">
                  <c:v>1</c:v>
                </c:pt>
                <c:pt idx="148">
                  <c:v>1</c:v>
                </c:pt>
                <c:pt idx="149">
                  <c:v>1</c:v>
                </c:pt>
              </c:numCache>
            </c:numRef>
          </c:val>
          <c:smooth val="0"/>
        </c:ser>
        <c:ser>
          <c:idx val="1"/>
          <c:order val="1"/>
          <c:tx>
            <c:strRef>
              <c:f>'Control Logic'!$E$36</c:f>
              <c:strCache>
                <c:ptCount val="1"/>
                <c:pt idx="0">
                  <c:v>Exhelation</c:v>
                </c:pt>
              </c:strCache>
            </c:strRef>
          </c:tx>
          <c:spPr>
            <a:ln>
              <a:solidFill>
                <a:srgbClr val="00B050"/>
              </a:solidFill>
            </a:ln>
          </c:spPr>
          <c:marker>
            <c:symbol val="none"/>
          </c:marker>
          <c:cat>
            <c:numRef>
              <c:f>'Control Logic'!$S$58:$S$2118</c:f>
              <c:numCache>
                <c:formatCode>General</c:formatCode>
                <c:ptCount val="206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numCache>
            </c:numRef>
          </c:cat>
          <c:val>
            <c:numRef>
              <c:f>'Control Logic'!$E$58:$E$207</c:f>
              <c:numCache>
                <c:formatCode>General</c:formatCode>
                <c:ptCount val="1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1</c:v>
                </c:pt>
                <c:pt idx="26">
                  <c:v>1</c:v>
                </c:pt>
                <c:pt idx="27">
                  <c:v>1</c:v>
                </c:pt>
                <c:pt idx="28">
                  <c:v>1</c:v>
                </c:pt>
                <c:pt idx="29">
                  <c:v>1</c:v>
                </c:pt>
                <c:pt idx="30">
                  <c:v>1</c:v>
                </c:pt>
                <c:pt idx="31">
                  <c:v>1</c:v>
                </c:pt>
                <c:pt idx="32">
                  <c:v>1</c:v>
                </c:pt>
                <c:pt idx="33">
                  <c:v>1</c:v>
                </c:pt>
                <c:pt idx="34">
                  <c:v>1</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1</c:v>
                </c:pt>
                <c:pt idx="61">
                  <c:v>1</c:v>
                </c:pt>
                <c:pt idx="62">
                  <c:v>1</c:v>
                </c:pt>
                <c:pt idx="63">
                  <c:v>1</c:v>
                </c:pt>
                <c:pt idx="64">
                  <c:v>1</c:v>
                </c:pt>
                <c:pt idx="65">
                  <c:v>1</c:v>
                </c:pt>
                <c:pt idx="66">
                  <c:v>1</c:v>
                </c:pt>
                <c:pt idx="67">
                  <c:v>1</c:v>
                </c:pt>
                <c:pt idx="68">
                  <c:v>1</c:v>
                </c:pt>
                <c:pt idx="69">
                  <c:v>1</c:v>
                </c:pt>
                <c:pt idx="70">
                  <c:v>1</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1</c:v>
                </c:pt>
                <c:pt idx="101">
                  <c:v>1</c:v>
                </c:pt>
                <c:pt idx="102">
                  <c:v>1</c:v>
                </c:pt>
                <c:pt idx="103">
                  <c:v>1</c:v>
                </c:pt>
                <c:pt idx="104">
                  <c:v>1</c:v>
                </c:pt>
                <c:pt idx="105">
                  <c:v>1</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numCache>
            </c:numRef>
          </c:val>
          <c:smooth val="0"/>
        </c:ser>
        <c:dLbls>
          <c:showLegendKey val="0"/>
          <c:showVal val="0"/>
          <c:showCatName val="0"/>
          <c:showSerName val="0"/>
          <c:showPercent val="0"/>
          <c:showBubbleSize val="0"/>
        </c:dLbls>
        <c:marker val="1"/>
        <c:smooth val="0"/>
        <c:axId val="158561408"/>
        <c:axId val="158563328"/>
      </c:lineChart>
      <c:catAx>
        <c:axId val="158561408"/>
        <c:scaling>
          <c:orientation val="minMax"/>
        </c:scaling>
        <c:delete val="0"/>
        <c:axPos val="b"/>
        <c:title>
          <c:tx>
            <c:rich>
              <a:bodyPr/>
              <a:lstStyle/>
              <a:p>
                <a:pPr>
                  <a:defRPr/>
                </a:pPr>
                <a:r>
                  <a:rPr lang="en-US"/>
                  <a:t>Seconds</a:t>
                </a:r>
              </a:p>
            </c:rich>
          </c:tx>
          <c:overlay val="0"/>
        </c:title>
        <c:numFmt formatCode="General" sourceLinked="1"/>
        <c:majorTickMark val="out"/>
        <c:minorTickMark val="none"/>
        <c:tickLblPos val="nextTo"/>
        <c:txPr>
          <a:bodyPr rot="-2700000" vert="horz"/>
          <a:lstStyle/>
          <a:p>
            <a:pPr>
              <a:defRPr/>
            </a:pPr>
            <a:endParaRPr lang="en-US"/>
          </a:p>
        </c:txPr>
        <c:crossAx val="158563328"/>
        <c:crosses val="autoZero"/>
        <c:auto val="1"/>
        <c:lblAlgn val="ctr"/>
        <c:lblOffset val="100"/>
        <c:noMultiLvlLbl val="0"/>
      </c:catAx>
      <c:valAx>
        <c:axId val="158563328"/>
        <c:scaling>
          <c:orientation val="minMax"/>
          <c:max val="1"/>
          <c:min val="0"/>
        </c:scaling>
        <c:delete val="0"/>
        <c:axPos val="l"/>
        <c:majorGridlines/>
        <c:title>
          <c:tx>
            <c:rich>
              <a:bodyPr rot="-5400000" vert="horz"/>
              <a:lstStyle/>
              <a:p>
                <a:pPr>
                  <a:defRPr sz="1400"/>
                </a:pPr>
                <a:r>
                  <a:rPr lang="en-US" sz="1400"/>
                  <a:t>1 = Active, 0 = Inactive</a:t>
                </a:r>
              </a:p>
            </c:rich>
          </c:tx>
          <c:layout>
            <c:manualLayout>
              <c:xMode val="edge"/>
              <c:yMode val="edge"/>
              <c:x val="1.4781163655308766E-2"/>
              <c:y val="0.20796739338820813"/>
            </c:manualLayout>
          </c:layout>
          <c:overlay val="0"/>
        </c:title>
        <c:numFmt formatCode="General" sourceLinked="1"/>
        <c:majorTickMark val="out"/>
        <c:minorTickMark val="none"/>
        <c:tickLblPos val="nextTo"/>
        <c:crossAx val="158561408"/>
        <c:crosses val="autoZero"/>
        <c:crossBetween val="between"/>
        <c:majorUnit val="1"/>
        <c:minorUnit val="2.0000000000000004E-2"/>
      </c:valAx>
    </c:plotArea>
    <c:legend>
      <c:legendPos val="b"/>
      <c:overlay val="0"/>
      <c:txPr>
        <a:bodyPr/>
        <a:lstStyle/>
        <a:p>
          <a:pPr>
            <a:defRPr sz="1400"/>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45"/>
    </mc:Choice>
    <mc:Fallback>
      <c:style val="45"/>
    </mc:Fallback>
  </mc:AlternateContent>
  <c:chart>
    <c:title>
      <c:tx>
        <c:rich>
          <a:bodyPr/>
          <a:lstStyle/>
          <a:p>
            <a:pPr>
              <a:defRPr/>
            </a:pPr>
            <a:r>
              <a:rPr lang="en-US"/>
              <a:t>Pressure Cycle</a:t>
            </a:r>
          </a:p>
        </c:rich>
      </c:tx>
      <c:layout>
        <c:manualLayout>
          <c:xMode val="edge"/>
          <c:yMode val="edge"/>
          <c:x val="0.44243962151789851"/>
          <c:y val="3.0103480714957668E-2"/>
        </c:manualLayout>
      </c:layout>
      <c:overlay val="0"/>
    </c:title>
    <c:autoTitleDeleted val="0"/>
    <c:plotArea>
      <c:layout/>
      <c:lineChart>
        <c:grouping val="standard"/>
        <c:varyColors val="0"/>
        <c:ser>
          <c:idx val="1"/>
          <c:order val="0"/>
          <c:tx>
            <c:strRef>
              <c:f>'Control Logic'!$D$36</c:f>
              <c:strCache>
                <c:ptCount val="1"/>
                <c:pt idx="0">
                  <c:v>Inhalation</c:v>
                </c:pt>
              </c:strCache>
            </c:strRef>
          </c:tx>
          <c:spPr>
            <a:ln>
              <a:solidFill>
                <a:srgbClr val="FF0000"/>
              </a:solidFill>
            </a:ln>
          </c:spPr>
          <c:marker>
            <c:symbol val="none"/>
          </c:marker>
          <c:cat>
            <c:numRef>
              <c:f>'Control Logic'!$S$58:$S$207</c:f>
              <c:numCache>
                <c:formatCode>General</c:formatCode>
                <c:ptCount val="150"/>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numCache>
            </c:numRef>
          </c:cat>
          <c:val>
            <c:numRef>
              <c:f>'Control Logic'!$D$58:$D$207</c:f>
              <c:numCache>
                <c:formatCode>General</c:formatCode>
                <c:ptCount val="1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1</c:v>
                </c:pt>
                <c:pt idx="144">
                  <c:v>1</c:v>
                </c:pt>
                <c:pt idx="145">
                  <c:v>1</c:v>
                </c:pt>
                <c:pt idx="146">
                  <c:v>1</c:v>
                </c:pt>
                <c:pt idx="147">
                  <c:v>1</c:v>
                </c:pt>
                <c:pt idx="148">
                  <c:v>1</c:v>
                </c:pt>
                <c:pt idx="149">
                  <c:v>1</c:v>
                </c:pt>
              </c:numCache>
            </c:numRef>
          </c:val>
          <c:smooth val="0"/>
        </c:ser>
        <c:ser>
          <c:idx val="0"/>
          <c:order val="1"/>
          <c:tx>
            <c:strRef>
              <c:f>'Control Logic'!$I$36</c:f>
              <c:strCache>
                <c:ptCount val="1"/>
                <c:pt idx="0">
                  <c:v>Measured pressure after system lag</c:v>
                </c:pt>
              </c:strCache>
            </c:strRef>
          </c:tx>
          <c:spPr>
            <a:ln>
              <a:solidFill>
                <a:srgbClr val="00B0F0"/>
              </a:solidFill>
            </a:ln>
          </c:spPr>
          <c:marker>
            <c:symbol val="none"/>
          </c:marker>
          <c:cat>
            <c:numRef>
              <c:f>'Control Logic'!$S$58:$S$207</c:f>
              <c:numCache>
                <c:formatCode>General</c:formatCode>
                <c:ptCount val="150"/>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numCache>
            </c:numRef>
          </c:cat>
          <c:val>
            <c:numRef>
              <c:f>'Control Logic'!$I$58:$I$207</c:f>
              <c:numCache>
                <c:formatCode>0.0</c:formatCode>
                <c:ptCount val="150"/>
                <c:pt idx="0">
                  <c:v>6.4</c:v>
                </c:pt>
                <c:pt idx="1">
                  <c:v>8.4500000000000011</c:v>
                </c:pt>
                <c:pt idx="2">
                  <c:v>10.5</c:v>
                </c:pt>
                <c:pt idx="3">
                  <c:v>12.55</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pt idx="20">
                  <c:v>14.6</c:v>
                </c:pt>
                <c:pt idx="21">
                  <c:v>14.6</c:v>
                </c:pt>
                <c:pt idx="22">
                  <c:v>14.6</c:v>
                </c:pt>
                <c:pt idx="23">
                  <c:v>14.6</c:v>
                </c:pt>
                <c:pt idx="24">
                  <c:v>6.4</c:v>
                </c:pt>
                <c:pt idx="25">
                  <c:v>6.4</c:v>
                </c:pt>
                <c:pt idx="26">
                  <c:v>6.4</c:v>
                </c:pt>
                <c:pt idx="27">
                  <c:v>6.4</c:v>
                </c:pt>
                <c:pt idx="28">
                  <c:v>6.4</c:v>
                </c:pt>
                <c:pt idx="29">
                  <c:v>6.4</c:v>
                </c:pt>
                <c:pt idx="30">
                  <c:v>6.4</c:v>
                </c:pt>
                <c:pt idx="31">
                  <c:v>6.4</c:v>
                </c:pt>
                <c:pt idx="32">
                  <c:v>6.4</c:v>
                </c:pt>
                <c:pt idx="33">
                  <c:v>6.4</c:v>
                </c:pt>
                <c:pt idx="34">
                  <c:v>6.4</c:v>
                </c:pt>
                <c:pt idx="35">
                  <c:v>6.4</c:v>
                </c:pt>
                <c:pt idx="36">
                  <c:v>6.4</c:v>
                </c:pt>
                <c:pt idx="37">
                  <c:v>8.4500000000000011</c:v>
                </c:pt>
                <c:pt idx="38">
                  <c:v>10.5</c:v>
                </c:pt>
                <c:pt idx="39">
                  <c:v>12.55</c:v>
                </c:pt>
                <c:pt idx="40">
                  <c:v>14.6</c:v>
                </c:pt>
                <c:pt idx="41">
                  <c:v>14.6</c:v>
                </c:pt>
                <c:pt idx="42">
                  <c:v>14.6</c:v>
                </c:pt>
                <c:pt idx="43">
                  <c:v>14.6</c:v>
                </c:pt>
                <c:pt idx="44">
                  <c:v>14.6</c:v>
                </c:pt>
                <c:pt idx="45">
                  <c:v>14.6</c:v>
                </c:pt>
                <c:pt idx="46">
                  <c:v>14.6</c:v>
                </c:pt>
                <c:pt idx="47">
                  <c:v>14.6</c:v>
                </c:pt>
                <c:pt idx="48">
                  <c:v>14.6</c:v>
                </c:pt>
                <c:pt idx="49">
                  <c:v>14.6</c:v>
                </c:pt>
                <c:pt idx="50">
                  <c:v>14.6</c:v>
                </c:pt>
                <c:pt idx="51">
                  <c:v>14.6</c:v>
                </c:pt>
                <c:pt idx="52">
                  <c:v>14.6</c:v>
                </c:pt>
                <c:pt idx="53">
                  <c:v>14.6</c:v>
                </c:pt>
                <c:pt idx="54">
                  <c:v>14.6</c:v>
                </c:pt>
                <c:pt idx="55">
                  <c:v>14.6</c:v>
                </c:pt>
                <c:pt idx="56">
                  <c:v>14.6</c:v>
                </c:pt>
                <c:pt idx="57">
                  <c:v>14.6</c:v>
                </c:pt>
                <c:pt idx="58">
                  <c:v>14.6</c:v>
                </c:pt>
                <c:pt idx="59">
                  <c:v>14.6</c:v>
                </c:pt>
                <c:pt idx="60">
                  <c:v>6.4</c:v>
                </c:pt>
                <c:pt idx="61">
                  <c:v>6.4</c:v>
                </c:pt>
                <c:pt idx="62">
                  <c:v>6.4</c:v>
                </c:pt>
                <c:pt idx="63">
                  <c:v>6.4</c:v>
                </c:pt>
                <c:pt idx="64">
                  <c:v>6.4</c:v>
                </c:pt>
                <c:pt idx="65">
                  <c:v>6.4</c:v>
                </c:pt>
                <c:pt idx="66">
                  <c:v>6.4</c:v>
                </c:pt>
                <c:pt idx="67">
                  <c:v>6.4</c:v>
                </c:pt>
                <c:pt idx="68">
                  <c:v>6.4</c:v>
                </c:pt>
                <c:pt idx="69">
                  <c:v>6.4</c:v>
                </c:pt>
                <c:pt idx="70">
                  <c:v>6.4</c:v>
                </c:pt>
                <c:pt idx="71">
                  <c:v>6.4</c:v>
                </c:pt>
                <c:pt idx="72">
                  <c:v>8.4500000000000011</c:v>
                </c:pt>
                <c:pt idx="73">
                  <c:v>10.5</c:v>
                </c:pt>
                <c:pt idx="74">
                  <c:v>12.55</c:v>
                </c:pt>
                <c:pt idx="75">
                  <c:v>14.6</c:v>
                </c:pt>
                <c:pt idx="76">
                  <c:v>14.6</c:v>
                </c:pt>
                <c:pt idx="77">
                  <c:v>14.6</c:v>
                </c:pt>
                <c:pt idx="78">
                  <c:v>14.6</c:v>
                </c:pt>
                <c:pt idx="79">
                  <c:v>14.6</c:v>
                </c:pt>
                <c:pt idx="80">
                  <c:v>14.6</c:v>
                </c:pt>
                <c:pt idx="81">
                  <c:v>14.6</c:v>
                </c:pt>
                <c:pt idx="82">
                  <c:v>14.6</c:v>
                </c:pt>
                <c:pt idx="83">
                  <c:v>14.6</c:v>
                </c:pt>
                <c:pt idx="84">
                  <c:v>14.6</c:v>
                </c:pt>
                <c:pt idx="85">
                  <c:v>14.6</c:v>
                </c:pt>
                <c:pt idx="86">
                  <c:v>14.6</c:v>
                </c:pt>
                <c:pt idx="87">
                  <c:v>14.6</c:v>
                </c:pt>
                <c:pt idx="88">
                  <c:v>14.6</c:v>
                </c:pt>
                <c:pt idx="89">
                  <c:v>14.6</c:v>
                </c:pt>
                <c:pt idx="90">
                  <c:v>14.6</c:v>
                </c:pt>
                <c:pt idx="91">
                  <c:v>14.6</c:v>
                </c:pt>
                <c:pt idx="92">
                  <c:v>14.6</c:v>
                </c:pt>
                <c:pt idx="93">
                  <c:v>14.6</c:v>
                </c:pt>
                <c:pt idx="94">
                  <c:v>14.6</c:v>
                </c:pt>
                <c:pt idx="95">
                  <c:v>6.4</c:v>
                </c:pt>
                <c:pt idx="96">
                  <c:v>6.4</c:v>
                </c:pt>
                <c:pt idx="97">
                  <c:v>6.4</c:v>
                </c:pt>
                <c:pt idx="98">
                  <c:v>6.4</c:v>
                </c:pt>
                <c:pt idx="99">
                  <c:v>6.4</c:v>
                </c:pt>
                <c:pt idx="100">
                  <c:v>6.4</c:v>
                </c:pt>
                <c:pt idx="101">
                  <c:v>6.4</c:v>
                </c:pt>
                <c:pt idx="102">
                  <c:v>6.4</c:v>
                </c:pt>
                <c:pt idx="103">
                  <c:v>6.4</c:v>
                </c:pt>
                <c:pt idx="104">
                  <c:v>6.4</c:v>
                </c:pt>
                <c:pt idx="105">
                  <c:v>6.4</c:v>
                </c:pt>
                <c:pt idx="106">
                  <c:v>6.4</c:v>
                </c:pt>
                <c:pt idx="107">
                  <c:v>8.4500000000000011</c:v>
                </c:pt>
                <c:pt idx="108">
                  <c:v>10.5</c:v>
                </c:pt>
                <c:pt idx="109">
                  <c:v>12.55</c:v>
                </c:pt>
                <c:pt idx="110">
                  <c:v>14.6</c:v>
                </c:pt>
                <c:pt idx="111">
                  <c:v>14.6</c:v>
                </c:pt>
                <c:pt idx="112">
                  <c:v>14.6</c:v>
                </c:pt>
                <c:pt idx="113">
                  <c:v>14.6</c:v>
                </c:pt>
                <c:pt idx="114">
                  <c:v>14.6</c:v>
                </c:pt>
                <c:pt idx="115">
                  <c:v>14.6</c:v>
                </c:pt>
                <c:pt idx="116">
                  <c:v>14.6</c:v>
                </c:pt>
                <c:pt idx="117">
                  <c:v>14.6</c:v>
                </c:pt>
                <c:pt idx="118">
                  <c:v>14.6</c:v>
                </c:pt>
                <c:pt idx="119">
                  <c:v>14.6</c:v>
                </c:pt>
                <c:pt idx="120">
                  <c:v>14.6</c:v>
                </c:pt>
                <c:pt idx="121">
                  <c:v>14.6</c:v>
                </c:pt>
                <c:pt idx="122">
                  <c:v>14.6</c:v>
                </c:pt>
                <c:pt idx="123">
                  <c:v>14.6</c:v>
                </c:pt>
                <c:pt idx="124">
                  <c:v>14.6</c:v>
                </c:pt>
                <c:pt idx="125">
                  <c:v>14.6</c:v>
                </c:pt>
                <c:pt idx="126">
                  <c:v>14.6</c:v>
                </c:pt>
                <c:pt idx="127">
                  <c:v>14.6</c:v>
                </c:pt>
                <c:pt idx="128">
                  <c:v>14.6</c:v>
                </c:pt>
                <c:pt idx="129">
                  <c:v>14.6</c:v>
                </c:pt>
                <c:pt idx="130">
                  <c:v>6.4</c:v>
                </c:pt>
                <c:pt idx="131">
                  <c:v>6.4</c:v>
                </c:pt>
                <c:pt idx="132">
                  <c:v>6.4</c:v>
                </c:pt>
                <c:pt idx="133">
                  <c:v>6.4</c:v>
                </c:pt>
                <c:pt idx="134">
                  <c:v>6.4</c:v>
                </c:pt>
                <c:pt idx="135">
                  <c:v>6.4</c:v>
                </c:pt>
                <c:pt idx="136">
                  <c:v>6.4</c:v>
                </c:pt>
                <c:pt idx="137">
                  <c:v>6.4</c:v>
                </c:pt>
                <c:pt idx="138">
                  <c:v>6.4</c:v>
                </c:pt>
                <c:pt idx="139">
                  <c:v>6.4</c:v>
                </c:pt>
                <c:pt idx="140">
                  <c:v>6.4</c:v>
                </c:pt>
                <c:pt idx="141">
                  <c:v>6.4</c:v>
                </c:pt>
                <c:pt idx="142">
                  <c:v>6.4</c:v>
                </c:pt>
                <c:pt idx="143">
                  <c:v>8.4500000000000011</c:v>
                </c:pt>
                <c:pt idx="144">
                  <c:v>10.5</c:v>
                </c:pt>
                <c:pt idx="145">
                  <c:v>12.55</c:v>
                </c:pt>
                <c:pt idx="146">
                  <c:v>14.6</c:v>
                </c:pt>
                <c:pt idx="147">
                  <c:v>14.6</c:v>
                </c:pt>
                <c:pt idx="148">
                  <c:v>14.6</c:v>
                </c:pt>
                <c:pt idx="149">
                  <c:v>14.6</c:v>
                </c:pt>
              </c:numCache>
            </c:numRef>
          </c:val>
          <c:smooth val="0"/>
        </c:ser>
        <c:dLbls>
          <c:showLegendKey val="0"/>
          <c:showVal val="0"/>
          <c:showCatName val="0"/>
          <c:showSerName val="0"/>
          <c:showPercent val="0"/>
          <c:showBubbleSize val="0"/>
        </c:dLbls>
        <c:marker val="1"/>
        <c:smooth val="0"/>
        <c:axId val="158941568"/>
        <c:axId val="158943104"/>
      </c:lineChart>
      <c:catAx>
        <c:axId val="158941568"/>
        <c:scaling>
          <c:orientation val="minMax"/>
        </c:scaling>
        <c:delete val="0"/>
        <c:axPos val="b"/>
        <c:numFmt formatCode="General" sourceLinked="1"/>
        <c:majorTickMark val="out"/>
        <c:minorTickMark val="none"/>
        <c:tickLblPos val="nextTo"/>
        <c:txPr>
          <a:bodyPr rot="-2700000" vert="horz"/>
          <a:lstStyle/>
          <a:p>
            <a:pPr>
              <a:defRPr/>
            </a:pPr>
            <a:endParaRPr lang="en-US"/>
          </a:p>
        </c:txPr>
        <c:crossAx val="158943104"/>
        <c:crosses val="autoZero"/>
        <c:auto val="1"/>
        <c:lblAlgn val="ctr"/>
        <c:lblOffset val="100"/>
        <c:noMultiLvlLbl val="0"/>
      </c:catAx>
      <c:valAx>
        <c:axId val="158943104"/>
        <c:scaling>
          <c:orientation val="minMax"/>
          <c:max val="25"/>
        </c:scaling>
        <c:delete val="0"/>
        <c:axPos val="l"/>
        <c:majorGridlines/>
        <c:numFmt formatCode="General" sourceLinked="1"/>
        <c:majorTickMark val="out"/>
        <c:minorTickMark val="none"/>
        <c:tickLblPos val="nextTo"/>
        <c:crossAx val="158941568"/>
        <c:crosses val="autoZero"/>
        <c:crossBetween val="between"/>
      </c:valAx>
    </c:plotArea>
    <c:legend>
      <c:legendPos val="b"/>
      <c:overlay val="0"/>
      <c:txPr>
        <a:bodyPr/>
        <a:lstStyle/>
        <a:p>
          <a:pPr>
            <a:defRPr sz="1400"/>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'Lung Model'!$L$23:$L$133</c:f>
              <c:numCache>
                <c:formatCode>General</c:formatCode>
                <c:ptCount val="111"/>
                <c:pt idx="1">
                  <c:v>0</c:v>
                </c:pt>
                <c:pt idx="2" formatCode="0.0000">
                  <c:v>0</c:v>
                </c:pt>
                <c:pt idx="3" formatCode="0.0000">
                  <c:v>2.717391304347826E-2</c:v>
                </c:pt>
                <c:pt idx="4" formatCode="0.0000">
                  <c:v>2.5697069943289224E-2</c:v>
                </c:pt>
                <c:pt idx="5" formatCode="0.0000">
                  <c:v>2.7254176255445055E-2</c:v>
                </c:pt>
                <c:pt idx="6" formatCode="0.0000">
                  <c:v>2.7089287700426314E-2</c:v>
                </c:pt>
                <c:pt idx="7" formatCode="0.0000">
                  <c:v>2.7182874377990149E-2</c:v>
                </c:pt>
                <c:pt idx="8" formatCode="0.0000">
                  <c:v>2.7168826811001964E-2</c:v>
                </c:pt>
                <c:pt idx="9" formatCode="0.0000">
                  <c:v>2.7174676498205878E-2</c:v>
                </c:pt>
                <c:pt idx="10" formatCode="0.0000">
                  <c:v>2.7173595125695438E-2</c:v>
                </c:pt>
                <c:pt idx="11" formatCode="0.0000">
                  <c:v>2.7173971813723392E-2</c:v>
                </c:pt>
                <c:pt idx="12" formatCode="0.0000">
                  <c:v>2.7173892571302826E-2</c:v>
                </c:pt>
                <c:pt idx="13" formatCode="0.0000">
                  <c:v>2.7173917350131551E-2</c:v>
                </c:pt>
                <c:pt idx="14" formatCode="0.0000">
                  <c:v>2.7173911696802784E-2</c:v>
                </c:pt>
                <c:pt idx="15" formatCode="0.0000">
                  <c:v>2.7173913350724388E-2</c:v>
                </c:pt>
                <c:pt idx="16" formatCode="0.0000">
                  <c:v>2.7173912953591214E-2</c:v>
                </c:pt>
                <c:pt idx="17" formatCode="0.0000">
                  <c:v>2.7173913065061582E-2</c:v>
                </c:pt>
                <c:pt idx="18" formatCode="0.0000">
                  <c:v>2.7173913037420085E-2</c:v>
                </c:pt>
                <c:pt idx="19" formatCode="0.0000">
                  <c:v>2.7173913044980513E-2</c:v>
                </c:pt>
                <c:pt idx="20" formatCode="0.0000">
                  <c:v>2.7173913043067367E-2</c:v>
                </c:pt>
                <c:pt idx="21" formatCode="0.0000">
                  <c:v>2.7173913043582233E-2</c:v>
                </c:pt>
                <c:pt idx="22" formatCode="0.0000">
                  <c:v>2.7173913043450276E-2</c:v>
                </c:pt>
                <c:pt idx="23" formatCode="0.0000">
                  <c:v>2.7173913043485428E-2</c:v>
                </c:pt>
                <c:pt idx="24" formatCode="0.0000">
                  <c:v>2.7173913043476348E-2</c:v>
                </c:pt>
                <c:pt idx="25" formatCode="0.0000">
                  <c:v>2.7173913043478749E-2</c:v>
                </c:pt>
                <c:pt idx="26" formatCode="0.0000">
                  <c:v>2.7173913043478125E-2</c:v>
                </c:pt>
                <c:pt idx="27" formatCode="0.0000">
                  <c:v>2.7173913043478291E-2</c:v>
                </c:pt>
                <c:pt idx="28" formatCode="0.0000">
                  <c:v>8.0434782608695632E-2</c:v>
                </c:pt>
                <c:pt idx="29" formatCode="0.0000">
                  <c:v>7.7540170132325142E-2</c:v>
                </c:pt>
                <c:pt idx="30" formatCode="0.0000">
                  <c:v>8.0592098504150569E-2</c:v>
                </c:pt>
                <c:pt idx="31" formatCode="0.0000">
                  <c:v>8.0268916936313842E-2</c:v>
                </c:pt>
                <c:pt idx="32" formatCode="0.0000">
                  <c:v>8.0452346824338952E-2</c:v>
                </c:pt>
                <c:pt idx="33" formatCode="0.0000">
                  <c:v>8.0424813593042113E-2</c:v>
                </c:pt>
                <c:pt idx="34" formatCode="0.0000">
                  <c:v>8.0436278979961792E-2</c:v>
                </c:pt>
                <c:pt idx="35" formatCode="0.0000">
                  <c:v>8.0434159489841325E-2</c:v>
                </c:pt>
                <c:pt idx="36" formatCode="0.0000">
                  <c:v>8.043489779837612E-2</c:v>
                </c:pt>
                <c:pt idx="37" formatCode="0.0000">
                  <c:v>8.0434742483231805E-2</c:v>
                </c:pt>
                <c:pt idx="38" formatCode="0.0000">
                  <c:v>8.043479104973611E-2</c:v>
                </c:pt>
                <c:pt idx="39" formatCode="0.0000">
                  <c:v>8.0434779969211723E-2</c:v>
                </c:pt>
                <c:pt idx="40" formatCode="0.0000">
                  <c:v>8.0434783210898059E-2</c:v>
                </c:pt>
                <c:pt idx="41" formatCode="0.0000">
                  <c:v>2.7173912867299643E-2</c:v>
                </c:pt>
                <c:pt idx="42" formatCode="0.0000">
                  <c:v>3.0068525562152074E-2</c:v>
                </c:pt>
                <c:pt idx="43" formatCode="0.0000">
                  <c:v>2.701659713614931E-2</c:v>
                </c:pt>
                <c:pt idx="44" formatCode="0.0000">
                  <c:v>2.7339778718804487E-2</c:v>
                </c:pt>
                <c:pt idx="45" formatCode="0.0000">
                  <c:v>2.7156348827029598E-2</c:v>
                </c:pt>
                <c:pt idx="46" formatCode="0.0000">
                  <c:v>2.7183882059335581E-2</c:v>
                </c:pt>
                <c:pt idx="47" formatCode="0.0000">
                  <c:v>2.7172416672157272E-2</c:v>
                </c:pt>
                <c:pt idx="48" formatCode="0.0000">
                  <c:v>2.7174536162346635E-2</c:v>
                </c:pt>
                <c:pt idx="49" formatCode="0.0000">
                  <c:v>2.7173797853794045E-2</c:v>
                </c:pt>
                <c:pt idx="50" formatCode="0.0000">
                  <c:v>2.7173953168943065E-2</c:v>
                </c:pt>
                <c:pt idx="51" formatCode="0.0000">
                  <c:v>2.7173904602437543E-2</c:v>
                </c:pt>
                <c:pt idx="52" formatCode="0.0000">
                  <c:v>2.7173915682962246E-2</c:v>
                </c:pt>
                <c:pt idx="53" formatCode="0.0000">
                  <c:v>2.7173912441275819E-2</c:v>
                </c:pt>
                <c:pt idx="54" formatCode="0.0000">
                  <c:v>2.717391321965686E-2</c:v>
                </c:pt>
                <c:pt idx="55" formatCode="0.0000">
                  <c:v>2.7173913001174933E-2</c:v>
                </c:pt>
                <c:pt idx="56" formatCode="0.0000">
                  <c:v>2.7173913055352265E-2</c:v>
                </c:pt>
                <c:pt idx="57" formatCode="0.0000">
                  <c:v>2.7173913040533827E-2</c:v>
                </c:pt>
                <c:pt idx="58" formatCode="0.0000">
                  <c:v>2.7173913044283595E-2</c:v>
                </c:pt>
                <c:pt idx="59" formatCode="0.0000">
                  <c:v>2.7173913043274454E-2</c:v>
                </c:pt>
                <c:pt idx="60" formatCode="0.0000">
                  <c:v>2.7173913043533091E-2</c:v>
                </c:pt>
                <c:pt idx="61" formatCode="0.0000">
                  <c:v>2.7173913043464192E-2</c:v>
                </c:pt>
                <c:pt idx="62" formatCode="0.0000">
                  <c:v>2.717391304348199E-2</c:v>
                </c:pt>
                <c:pt idx="63" formatCode="0.0000">
                  <c:v>2.7173913043477278E-2</c:v>
                </c:pt>
                <c:pt idx="64" formatCode="0.0000">
                  <c:v>2.7173913043478503E-2</c:v>
                </c:pt>
                <c:pt idx="65" formatCode="0.0000">
                  <c:v>2.717391304347818E-2</c:v>
                </c:pt>
                <c:pt idx="66" formatCode="0.0000">
                  <c:v>2.7173913043478264E-2</c:v>
                </c:pt>
                <c:pt idx="67" formatCode="0.0000">
                  <c:v>8.0434782608695632E-2</c:v>
                </c:pt>
                <c:pt idx="68" formatCode="0.0000">
                  <c:v>7.7540170132325129E-2</c:v>
                </c:pt>
                <c:pt idx="69" formatCode="0.0000">
                  <c:v>8.0592098504150556E-2</c:v>
                </c:pt>
                <c:pt idx="70" formatCode="0.0000">
                  <c:v>8.0268916936313814E-2</c:v>
                </c:pt>
                <c:pt idx="71" formatCode="0.0000">
                  <c:v>8.0452346824338924E-2</c:v>
                </c:pt>
                <c:pt idx="72" formatCode="0.0000">
                  <c:v>8.0424813593042085E-2</c:v>
                </c:pt>
                <c:pt idx="73" formatCode="0.0000">
                  <c:v>8.0436278979961764E-2</c:v>
                </c:pt>
                <c:pt idx="74" formatCode="0.0000">
                  <c:v>8.0434159489841298E-2</c:v>
                </c:pt>
                <c:pt idx="75" formatCode="0.0000">
                  <c:v>8.0434897798376093E-2</c:v>
                </c:pt>
                <c:pt idx="76" formatCode="0.0000">
                  <c:v>8.0434742483231778E-2</c:v>
                </c:pt>
                <c:pt idx="77" formatCode="0.0000">
                  <c:v>8.0434791049736082E-2</c:v>
                </c:pt>
                <c:pt idx="78" formatCode="0.0000">
                  <c:v>8.0434779969211695E-2</c:v>
                </c:pt>
                <c:pt idx="79" formatCode="0.0000">
                  <c:v>8.0434783210898031E-2</c:v>
                </c:pt>
                <c:pt idx="80" formatCode="0.0000">
                  <c:v>2.7173912867299616E-2</c:v>
                </c:pt>
                <c:pt idx="81" formatCode="0.0000">
                  <c:v>3.0068525562152046E-2</c:v>
                </c:pt>
                <c:pt idx="82" formatCode="0.0000">
                  <c:v>2.7016597136149283E-2</c:v>
                </c:pt>
                <c:pt idx="83" formatCode="0.0000">
                  <c:v>2.7339778718804459E-2</c:v>
                </c:pt>
                <c:pt idx="84" formatCode="0.0000">
                  <c:v>2.715634882702957E-2</c:v>
                </c:pt>
                <c:pt idx="85" formatCode="0.0000">
                  <c:v>2.7183882059335553E-2</c:v>
                </c:pt>
                <c:pt idx="86" formatCode="0.0000">
                  <c:v>2.7172416672157244E-2</c:v>
                </c:pt>
                <c:pt idx="87" formatCode="0.0000">
                  <c:v>2.7174536162346608E-2</c:v>
                </c:pt>
                <c:pt idx="88" formatCode="0.0000">
                  <c:v>2.7173797853794018E-2</c:v>
                </c:pt>
                <c:pt idx="89" formatCode="0.0000">
                  <c:v>2.7173953168943037E-2</c:v>
                </c:pt>
                <c:pt idx="90" formatCode="0.0000">
                  <c:v>2.7173904602437515E-2</c:v>
                </c:pt>
                <c:pt idx="91" formatCode="0.0000">
                  <c:v>2.7173915682962218E-2</c:v>
                </c:pt>
                <c:pt idx="92" formatCode="0.0000">
                  <c:v>2.7173912441275792E-2</c:v>
                </c:pt>
                <c:pt idx="93" formatCode="0.0000">
                  <c:v>2.7173913219656832E-2</c:v>
                </c:pt>
                <c:pt idx="94" formatCode="0.0000">
                  <c:v>2.7173913001174905E-2</c:v>
                </c:pt>
                <c:pt idx="95" formatCode="0.0000">
                  <c:v>2.7173913055352238E-2</c:v>
                </c:pt>
                <c:pt idx="96" formatCode="0.0000">
                  <c:v>2.7173913040533799E-2</c:v>
                </c:pt>
                <c:pt idx="97" formatCode="0.0000">
                  <c:v>2.7173913044283567E-2</c:v>
                </c:pt>
                <c:pt idx="98" formatCode="0.0000">
                  <c:v>2.7173913043274427E-2</c:v>
                </c:pt>
                <c:pt idx="99" formatCode="0.0000">
                  <c:v>2.7173913043533063E-2</c:v>
                </c:pt>
                <c:pt idx="100" formatCode="0.0000">
                  <c:v>2.7173913043464164E-2</c:v>
                </c:pt>
                <c:pt idx="101" formatCode="0.0000">
                  <c:v>2.7173913043481962E-2</c:v>
                </c:pt>
                <c:pt idx="102" formatCode="0.0000">
                  <c:v>2.7173913043477251E-2</c:v>
                </c:pt>
                <c:pt idx="103" formatCode="0.0000">
                  <c:v>2.7173913043478475E-2</c:v>
                </c:pt>
                <c:pt idx="104" formatCode="0.0000">
                  <c:v>2.7173913043478153E-2</c:v>
                </c:pt>
                <c:pt idx="105" formatCode="0.0000">
                  <c:v>2.7173913043478236E-2</c:v>
                </c:pt>
                <c:pt idx="106" formatCode="0.0000">
                  <c:v>8.0434782608695604E-2</c:v>
                </c:pt>
                <c:pt idx="107" formatCode="0.0000">
                  <c:v>7.7540170132325101E-2</c:v>
                </c:pt>
                <c:pt idx="108" formatCode="0.0000">
                  <c:v>8.0592098504150528E-2</c:v>
                </c:pt>
                <c:pt idx="109" formatCode="0.0000">
                  <c:v>8.0268916936313786E-2</c:v>
                </c:pt>
                <c:pt idx="110" formatCode="0.0000">
                  <c:v>8.0452346824338897E-2</c:v>
                </c:pt>
              </c:numCache>
            </c:numRef>
          </c:val>
          <c:smooth val="0"/>
        </c:ser>
        <c:dLbls>
          <c:showLegendKey val="0"/>
          <c:showVal val="0"/>
          <c:showCatName val="0"/>
          <c:showSerName val="0"/>
          <c:showPercent val="0"/>
          <c:showBubbleSize val="0"/>
        </c:dLbls>
        <c:marker val="1"/>
        <c:smooth val="0"/>
        <c:axId val="160210944"/>
        <c:axId val="160212480"/>
      </c:lineChart>
      <c:catAx>
        <c:axId val="160210944"/>
        <c:scaling>
          <c:orientation val="minMax"/>
        </c:scaling>
        <c:delete val="0"/>
        <c:axPos val="b"/>
        <c:majorTickMark val="out"/>
        <c:minorTickMark val="none"/>
        <c:tickLblPos val="nextTo"/>
        <c:crossAx val="160212480"/>
        <c:crosses val="autoZero"/>
        <c:auto val="1"/>
        <c:lblAlgn val="ctr"/>
        <c:lblOffset val="100"/>
        <c:noMultiLvlLbl val="0"/>
      </c:catAx>
      <c:valAx>
        <c:axId val="160212480"/>
        <c:scaling>
          <c:orientation val="minMax"/>
        </c:scaling>
        <c:delete val="0"/>
        <c:axPos val="l"/>
        <c:majorGridlines/>
        <c:numFmt formatCode="General" sourceLinked="1"/>
        <c:majorTickMark val="out"/>
        <c:minorTickMark val="none"/>
        <c:tickLblPos val="nextTo"/>
        <c:crossAx val="160210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Insipration drive</a:t>
            </a:r>
            <a:r>
              <a:rPr lang="en-US" baseline="0"/>
              <a:t> points</a:t>
            </a:r>
            <a:r>
              <a:rPr lang="en-US"/>
              <a:t> (Unscaled)</a:t>
            </a:r>
          </a:p>
        </c:rich>
      </c:tx>
      <c:layout/>
      <c:overlay val="0"/>
    </c:title>
    <c:autoTitleDeleted val="0"/>
    <c:plotArea>
      <c:layout>
        <c:manualLayout>
          <c:layoutTarget val="inner"/>
          <c:xMode val="edge"/>
          <c:yMode val="edge"/>
          <c:x val="8.607174103237096E-2"/>
          <c:y val="0.21795624017890555"/>
          <c:w val="0.86224781277340334"/>
          <c:h val="0.68290784475449562"/>
        </c:manualLayout>
      </c:layout>
      <c:scatterChart>
        <c:scatterStyle val="lineMarker"/>
        <c:varyColors val="0"/>
        <c:ser>
          <c:idx val="0"/>
          <c:order val="0"/>
          <c:tx>
            <c:strRef>
              <c:f>'Drive table generator'!$D$3</c:f>
              <c:strCache>
                <c:ptCount val="1"/>
                <c:pt idx="0">
                  <c:v>I</c:v>
                </c:pt>
              </c:strCache>
            </c:strRef>
          </c:tx>
          <c:spPr>
            <a:ln>
              <a:noFill/>
            </a:ln>
          </c:spPr>
          <c:marker>
            <c:symbol val="circle"/>
            <c:size val="10"/>
            <c:spPr>
              <a:solidFill>
                <a:srgbClr val="00B050"/>
              </a:solidFill>
              <a:ln>
                <a:solidFill>
                  <a:srgbClr val="00B050"/>
                </a:solidFill>
              </a:ln>
            </c:spPr>
          </c:marker>
          <c:xVal>
            <c:numRef>
              <c:f>'Drive table generator'!$C$4:$C$7</c:f>
              <c:numCache>
                <c:formatCode>General</c:formatCode>
                <c:ptCount val="4"/>
                <c:pt idx="0">
                  <c:v>0</c:v>
                </c:pt>
                <c:pt idx="1">
                  <c:v>40</c:v>
                </c:pt>
                <c:pt idx="2">
                  <c:v>80</c:v>
                </c:pt>
                <c:pt idx="3">
                  <c:v>100</c:v>
                </c:pt>
              </c:numCache>
            </c:numRef>
          </c:xVal>
          <c:yVal>
            <c:numRef>
              <c:f>'Drive table generator'!$D$4:$D$7</c:f>
              <c:numCache>
                <c:formatCode>General</c:formatCode>
                <c:ptCount val="4"/>
                <c:pt idx="0">
                  <c:v>0</c:v>
                </c:pt>
                <c:pt idx="1">
                  <c:v>150</c:v>
                </c:pt>
                <c:pt idx="2">
                  <c:v>350</c:v>
                </c:pt>
                <c:pt idx="3">
                  <c:v>300</c:v>
                </c:pt>
              </c:numCache>
            </c:numRef>
          </c:yVal>
          <c:smooth val="0"/>
        </c:ser>
        <c:ser>
          <c:idx val="1"/>
          <c:order val="1"/>
          <c:dPt>
            <c:idx val="0"/>
            <c:marker>
              <c:symbol val="circle"/>
              <c:size val="4"/>
              <c:spPr>
                <a:solidFill>
                  <a:srgbClr val="00B050"/>
                </a:solidFill>
              </c:spPr>
            </c:marker>
            <c:bubble3D val="0"/>
          </c:dPt>
          <c:xVal>
            <c:numRef>
              <c:f>'Drive table generator'!$H$15</c:f>
              <c:numCache>
                <c:formatCode>General</c:formatCode>
                <c:ptCount val="1"/>
              </c:numCache>
            </c:numRef>
          </c:xVal>
          <c:yVal>
            <c:numRef>
              <c:f>'Drive table generator'!$I$15</c:f>
              <c:numCache>
                <c:formatCode>General</c:formatCode>
                <c:ptCount val="1"/>
              </c:numCache>
            </c:numRef>
          </c:yVal>
          <c:smooth val="0"/>
        </c:ser>
        <c:dLbls>
          <c:showLegendKey val="0"/>
          <c:showVal val="0"/>
          <c:showCatName val="0"/>
          <c:showSerName val="0"/>
          <c:showPercent val="0"/>
          <c:showBubbleSize val="0"/>
        </c:dLbls>
        <c:axId val="166300672"/>
        <c:axId val="166302464"/>
      </c:scatterChart>
      <c:valAx>
        <c:axId val="166300672"/>
        <c:scaling>
          <c:orientation val="minMax"/>
          <c:max val="100"/>
        </c:scaling>
        <c:delete val="0"/>
        <c:axPos val="b"/>
        <c:numFmt formatCode="General" sourceLinked="1"/>
        <c:majorTickMark val="out"/>
        <c:minorTickMark val="none"/>
        <c:tickLblPos val="nextTo"/>
        <c:crossAx val="166302464"/>
        <c:crosses val="autoZero"/>
        <c:crossBetween val="midCat"/>
      </c:valAx>
      <c:valAx>
        <c:axId val="166302464"/>
        <c:scaling>
          <c:orientation val="minMax"/>
          <c:max val="500"/>
          <c:min val="0"/>
        </c:scaling>
        <c:delete val="0"/>
        <c:axPos val="l"/>
        <c:majorGridlines/>
        <c:numFmt formatCode="General" sourceLinked="1"/>
        <c:majorTickMark val="out"/>
        <c:minorTickMark val="none"/>
        <c:tickLblPos val="nextTo"/>
        <c:crossAx val="166300672"/>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sz="1600"/>
              <a:t>Inspiration drive table</a:t>
            </a:r>
            <a:br>
              <a:rPr lang="en-GB" sz="1600"/>
            </a:br>
            <a:r>
              <a:rPr lang="en-GB" sz="1600"/>
              <a:t>(interpollated - unscaled)</a:t>
            </a:r>
          </a:p>
        </c:rich>
      </c:tx>
      <c:layout/>
      <c:overlay val="0"/>
    </c:title>
    <c:autoTitleDeleted val="0"/>
    <c:plotArea>
      <c:layout/>
      <c:scatterChart>
        <c:scatterStyle val="lineMarker"/>
        <c:varyColors val="0"/>
        <c:ser>
          <c:idx val="0"/>
          <c:order val="0"/>
          <c:tx>
            <c:strRef>
              <c:f>'Drive table generator'!$D$3</c:f>
              <c:strCache>
                <c:ptCount val="1"/>
                <c:pt idx="0">
                  <c:v>I</c:v>
                </c:pt>
              </c:strCache>
            </c:strRef>
          </c:tx>
          <c:spPr>
            <a:ln>
              <a:noFill/>
            </a:ln>
          </c:spPr>
          <c:marker>
            <c:symbol val="circle"/>
            <c:size val="11"/>
            <c:spPr>
              <a:solidFill>
                <a:srgbClr val="00B050"/>
              </a:solidFill>
              <a:ln>
                <a:solidFill>
                  <a:srgbClr val="00B050"/>
                </a:solidFill>
              </a:ln>
            </c:spPr>
          </c:marker>
          <c:xVal>
            <c:numRef>
              <c:f>'Drive table generator'!$C$4:$C$7</c:f>
              <c:numCache>
                <c:formatCode>General</c:formatCode>
                <c:ptCount val="4"/>
                <c:pt idx="0">
                  <c:v>0</c:v>
                </c:pt>
                <c:pt idx="1">
                  <c:v>40</c:v>
                </c:pt>
                <c:pt idx="2">
                  <c:v>80</c:v>
                </c:pt>
                <c:pt idx="3">
                  <c:v>100</c:v>
                </c:pt>
              </c:numCache>
            </c:numRef>
          </c:xVal>
          <c:yVal>
            <c:numRef>
              <c:f>'Drive table generator'!$D$4:$D$7</c:f>
              <c:numCache>
                <c:formatCode>General</c:formatCode>
                <c:ptCount val="4"/>
                <c:pt idx="0">
                  <c:v>0</c:v>
                </c:pt>
                <c:pt idx="1">
                  <c:v>150</c:v>
                </c:pt>
                <c:pt idx="2">
                  <c:v>350</c:v>
                </c:pt>
                <c:pt idx="3">
                  <c:v>300</c:v>
                </c:pt>
              </c:numCache>
            </c:numRef>
          </c:yVal>
          <c:smooth val="0"/>
        </c:ser>
        <c:ser>
          <c:idx val="1"/>
          <c:order val="1"/>
          <c:spPr>
            <a:ln>
              <a:solidFill>
                <a:srgbClr val="FF0000"/>
              </a:solidFill>
            </a:ln>
          </c:spPr>
          <c:marker>
            <c:symbol val="none"/>
          </c:marker>
          <c:xVal>
            <c:numRef>
              <c:f>'Drive table generator'!$R$6:$R$106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'Drive table generator'!$S$6:$S$106</c:f>
              <c:numCache>
                <c:formatCode>0</c:formatCode>
                <c:ptCount val="101"/>
                <c:pt idx="0">
                  <c:v>0</c:v>
                </c:pt>
                <c:pt idx="1">
                  <c:v>3</c:v>
                </c:pt>
                <c:pt idx="2">
                  <c:v>7</c:v>
                </c:pt>
                <c:pt idx="3">
                  <c:v>11</c:v>
                </c:pt>
                <c:pt idx="4">
                  <c:v>15</c:v>
                </c:pt>
                <c:pt idx="5">
                  <c:v>18</c:v>
                </c:pt>
                <c:pt idx="6">
                  <c:v>22</c:v>
                </c:pt>
                <c:pt idx="7">
                  <c:v>26</c:v>
                </c:pt>
                <c:pt idx="8">
                  <c:v>30</c:v>
                </c:pt>
                <c:pt idx="9">
                  <c:v>33</c:v>
                </c:pt>
                <c:pt idx="10">
                  <c:v>37</c:v>
                </c:pt>
                <c:pt idx="11">
                  <c:v>41</c:v>
                </c:pt>
                <c:pt idx="12">
                  <c:v>45</c:v>
                </c:pt>
                <c:pt idx="13">
                  <c:v>48</c:v>
                </c:pt>
                <c:pt idx="14">
                  <c:v>52</c:v>
                </c:pt>
                <c:pt idx="15">
                  <c:v>56</c:v>
                </c:pt>
                <c:pt idx="16">
                  <c:v>60</c:v>
                </c:pt>
                <c:pt idx="17">
                  <c:v>63</c:v>
                </c:pt>
                <c:pt idx="18">
                  <c:v>67</c:v>
                </c:pt>
                <c:pt idx="19">
                  <c:v>71</c:v>
                </c:pt>
                <c:pt idx="20">
                  <c:v>75</c:v>
                </c:pt>
                <c:pt idx="21">
                  <c:v>78</c:v>
                </c:pt>
                <c:pt idx="22">
                  <c:v>82</c:v>
                </c:pt>
                <c:pt idx="23">
                  <c:v>86</c:v>
                </c:pt>
                <c:pt idx="24">
                  <c:v>90</c:v>
                </c:pt>
                <c:pt idx="25">
                  <c:v>93</c:v>
                </c:pt>
                <c:pt idx="26">
                  <c:v>97</c:v>
                </c:pt>
                <c:pt idx="27">
                  <c:v>101</c:v>
                </c:pt>
                <c:pt idx="28">
                  <c:v>105</c:v>
                </c:pt>
                <c:pt idx="29">
                  <c:v>108</c:v>
                </c:pt>
                <c:pt idx="30">
                  <c:v>112</c:v>
                </c:pt>
                <c:pt idx="31">
                  <c:v>116</c:v>
                </c:pt>
                <c:pt idx="32">
                  <c:v>120</c:v>
                </c:pt>
                <c:pt idx="33">
                  <c:v>123</c:v>
                </c:pt>
                <c:pt idx="34">
                  <c:v>127</c:v>
                </c:pt>
                <c:pt idx="35">
                  <c:v>131</c:v>
                </c:pt>
                <c:pt idx="36">
                  <c:v>135</c:v>
                </c:pt>
                <c:pt idx="37">
                  <c:v>138</c:v>
                </c:pt>
                <c:pt idx="38">
                  <c:v>142</c:v>
                </c:pt>
                <c:pt idx="39">
                  <c:v>146</c:v>
                </c:pt>
                <c:pt idx="40">
                  <c:v>150</c:v>
                </c:pt>
                <c:pt idx="41">
                  <c:v>155</c:v>
                </c:pt>
                <c:pt idx="42">
                  <c:v>160</c:v>
                </c:pt>
                <c:pt idx="43">
                  <c:v>165</c:v>
                </c:pt>
                <c:pt idx="44">
                  <c:v>170</c:v>
                </c:pt>
                <c:pt idx="45">
                  <c:v>175</c:v>
                </c:pt>
                <c:pt idx="46">
                  <c:v>180</c:v>
                </c:pt>
                <c:pt idx="47">
                  <c:v>185</c:v>
                </c:pt>
                <c:pt idx="48">
                  <c:v>190</c:v>
                </c:pt>
                <c:pt idx="49">
                  <c:v>195</c:v>
                </c:pt>
                <c:pt idx="50">
                  <c:v>200</c:v>
                </c:pt>
                <c:pt idx="51">
                  <c:v>205</c:v>
                </c:pt>
                <c:pt idx="52">
                  <c:v>210</c:v>
                </c:pt>
                <c:pt idx="53">
                  <c:v>215</c:v>
                </c:pt>
                <c:pt idx="54">
                  <c:v>220</c:v>
                </c:pt>
                <c:pt idx="55">
                  <c:v>225</c:v>
                </c:pt>
                <c:pt idx="56">
                  <c:v>230</c:v>
                </c:pt>
                <c:pt idx="57">
                  <c:v>235</c:v>
                </c:pt>
                <c:pt idx="58">
                  <c:v>240</c:v>
                </c:pt>
                <c:pt idx="59">
                  <c:v>245</c:v>
                </c:pt>
                <c:pt idx="60">
                  <c:v>250</c:v>
                </c:pt>
                <c:pt idx="61">
                  <c:v>255</c:v>
                </c:pt>
                <c:pt idx="62">
                  <c:v>260</c:v>
                </c:pt>
                <c:pt idx="63">
                  <c:v>265</c:v>
                </c:pt>
                <c:pt idx="64">
                  <c:v>270</c:v>
                </c:pt>
                <c:pt idx="65">
                  <c:v>275</c:v>
                </c:pt>
                <c:pt idx="66">
                  <c:v>280</c:v>
                </c:pt>
                <c:pt idx="67">
                  <c:v>285</c:v>
                </c:pt>
                <c:pt idx="68">
                  <c:v>290</c:v>
                </c:pt>
                <c:pt idx="69">
                  <c:v>295</c:v>
                </c:pt>
                <c:pt idx="70">
                  <c:v>300</c:v>
                </c:pt>
                <c:pt idx="71">
                  <c:v>305</c:v>
                </c:pt>
                <c:pt idx="72">
                  <c:v>310</c:v>
                </c:pt>
                <c:pt idx="73">
                  <c:v>315</c:v>
                </c:pt>
                <c:pt idx="74">
                  <c:v>320</c:v>
                </c:pt>
                <c:pt idx="75">
                  <c:v>325</c:v>
                </c:pt>
                <c:pt idx="76">
                  <c:v>330</c:v>
                </c:pt>
                <c:pt idx="77">
                  <c:v>335</c:v>
                </c:pt>
                <c:pt idx="78">
                  <c:v>340</c:v>
                </c:pt>
                <c:pt idx="79">
                  <c:v>345</c:v>
                </c:pt>
                <c:pt idx="80">
                  <c:v>350</c:v>
                </c:pt>
                <c:pt idx="81">
                  <c:v>347</c:v>
                </c:pt>
                <c:pt idx="82">
                  <c:v>345</c:v>
                </c:pt>
                <c:pt idx="83">
                  <c:v>342</c:v>
                </c:pt>
                <c:pt idx="84">
                  <c:v>340</c:v>
                </c:pt>
                <c:pt idx="85">
                  <c:v>337</c:v>
                </c:pt>
                <c:pt idx="86">
                  <c:v>335</c:v>
                </c:pt>
                <c:pt idx="87">
                  <c:v>332</c:v>
                </c:pt>
                <c:pt idx="88">
                  <c:v>330</c:v>
                </c:pt>
                <c:pt idx="89">
                  <c:v>327</c:v>
                </c:pt>
                <c:pt idx="90">
                  <c:v>325</c:v>
                </c:pt>
                <c:pt idx="91">
                  <c:v>322</c:v>
                </c:pt>
                <c:pt idx="92">
                  <c:v>320</c:v>
                </c:pt>
                <c:pt idx="93">
                  <c:v>317</c:v>
                </c:pt>
                <c:pt idx="94">
                  <c:v>315</c:v>
                </c:pt>
                <c:pt idx="95">
                  <c:v>312</c:v>
                </c:pt>
                <c:pt idx="96">
                  <c:v>310</c:v>
                </c:pt>
                <c:pt idx="97">
                  <c:v>307</c:v>
                </c:pt>
                <c:pt idx="98">
                  <c:v>305</c:v>
                </c:pt>
                <c:pt idx="99">
                  <c:v>302</c:v>
                </c:pt>
                <c:pt idx="100">
                  <c:v>300</c:v>
                </c:pt>
              </c:numCache>
            </c:numRef>
          </c:yVal>
          <c:smooth val="0"/>
        </c:ser>
        <c:dLbls>
          <c:showLegendKey val="0"/>
          <c:showVal val="0"/>
          <c:showCatName val="0"/>
          <c:showSerName val="0"/>
          <c:showPercent val="0"/>
          <c:showBubbleSize val="0"/>
        </c:dLbls>
        <c:axId val="166315520"/>
        <c:axId val="166317056"/>
      </c:scatterChart>
      <c:valAx>
        <c:axId val="166315520"/>
        <c:scaling>
          <c:orientation val="minMax"/>
          <c:max val="100"/>
        </c:scaling>
        <c:delete val="0"/>
        <c:axPos val="b"/>
        <c:numFmt formatCode="General" sourceLinked="1"/>
        <c:majorTickMark val="out"/>
        <c:minorTickMark val="none"/>
        <c:tickLblPos val="nextTo"/>
        <c:crossAx val="166317056"/>
        <c:crosses val="autoZero"/>
        <c:crossBetween val="midCat"/>
      </c:valAx>
      <c:valAx>
        <c:axId val="166317056"/>
        <c:scaling>
          <c:orientation val="minMax"/>
          <c:max val="500"/>
          <c:min val="0"/>
        </c:scaling>
        <c:delete val="0"/>
        <c:axPos val="l"/>
        <c:majorGridlines/>
        <c:numFmt formatCode="General" sourceLinked="1"/>
        <c:majorTickMark val="out"/>
        <c:minorTickMark val="none"/>
        <c:tickLblPos val="nextTo"/>
        <c:crossAx val="166315520"/>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Drive value (real</a:t>
            </a:r>
            <a:r>
              <a:rPr lang="en-US" baseline="0"/>
              <a:t> time)</a:t>
            </a:r>
            <a:endParaRPr lang="en-US"/>
          </a:p>
        </c:rich>
      </c:tx>
      <c:layout/>
      <c:overlay val="0"/>
    </c:title>
    <c:autoTitleDeleted val="0"/>
    <c:plotArea>
      <c:layout>
        <c:manualLayout>
          <c:layoutTarget val="inner"/>
          <c:xMode val="edge"/>
          <c:yMode val="edge"/>
          <c:x val="8.607174103237096E-2"/>
          <c:y val="0.21888750192841053"/>
          <c:w val="0.85520603674540685"/>
          <c:h val="0.60206963431703908"/>
        </c:manualLayout>
      </c:layout>
      <c:scatterChart>
        <c:scatterStyle val="lineMarker"/>
        <c:varyColors val="0"/>
        <c:ser>
          <c:idx val="0"/>
          <c:order val="0"/>
          <c:tx>
            <c:strRef>
              <c:f>'Drive table generator'!$Y$5</c:f>
              <c:strCache>
                <c:ptCount val="1"/>
                <c:pt idx="0">
                  <c:v>Drive value</c:v>
                </c:pt>
              </c:strCache>
            </c:strRef>
          </c:tx>
          <c:spPr>
            <a:ln w="28575">
              <a:solidFill>
                <a:srgbClr val="0070C0"/>
              </a:solidFill>
            </a:ln>
          </c:spPr>
          <c:marker>
            <c:symbol val="none"/>
          </c:marker>
          <c:xVal>
            <c:numRef>
              <c:f>'Drive table generator'!$X$6:$X$2009</c:f>
              <c:numCache>
                <c:formatCode>General</c:formatCode>
                <c:ptCount val="200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numCache>
            </c:numRef>
          </c:xVal>
          <c:yVal>
            <c:numRef>
              <c:f>'Drive table generator'!$Y$6:$Y$2009</c:f>
              <c:numCache>
                <c:formatCode>0</c:formatCode>
                <c:ptCount val="20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pt idx="55">
                  <c:v>7</c:v>
                </c:pt>
                <c:pt idx="56">
                  <c:v>7</c:v>
                </c:pt>
                <c:pt idx="57">
                  <c:v>7</c:v>
                </c:pt>
                <c:pt idx="58">
                  <c:v>7</c:v>
                </c:pt>
                <c:pt idx="59">
                  <c:v>11</c:v>
                </c:pt>
                <c:pt idx="60">
                  <c:v>11</c:v>
                </c:pt>
                <c:pt idx="61">
                  <c:v>11</c:v>
                </c:pt>
                <c:pt idx="62">
                  <c:v>11</c:v>
                </c:pt>
                <c:pt idx="63">
                  <c:v>11</c:v>
                </c:pt>
                <c:pt idx="64">
                  <c:v>11</c:v>
                </c:pt>
                <c:pt idx="65">
                  <c:v>11</c:v>
                </c:pt>
                <c:pt idx="66">
                  <c:v>11</c:v>
                </c:pt>
                <c:pt idx="67">
                  <c:v>11</c:v>
                </c:pt>
                <c:pt idx="68">
                  <c:v>11</c:v>
                </c:pt>
                <c:pt idx="69">
                  <c:v>11</c:v>
                </c:pt>
                <c:pt idx="70">
                  <c:v>11</c:v>
                </c:pt>
                <c:pt idx="71">
                  <c:v>11</c:v>
                </c:pt>
                <c:pt idx="72">
                  <c:v>11</c:v>
                </c:pt>
                <c:pt idx="73">
                  <c:v>11</c:v>
                </c:pt>
                <c:pt idx="74">
                  <c:v>11</c:v>
                </c:pt>
                <c:pt idx="75">
                  <c:v>11</c:v>
                </c:pt>
                <c:pt idx="76">
                  <c:v>11</c:v>
                </c:pt>
                <c:pt idx="77">
                  <c:v>11</c:v>
                </c:pt>
                <c:pt idx="78">
                  <c:v>11</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18</c:v>
                </c:pt>
                <c:pt idx="100">
                  <c:v>18</c:v>
                </c:pt>
                <c:pt idx="101">
                  <c:v>18</c:v>
                </c:pt>
                <c:pt idx="102">
                  <c:v>18</c:v>
                </c:pt>
                <c:pt idx="103">
                  <c:v>18</c:v>
                </c:pt>
                <c:pt idx="104">
                  <c:v>18</c:v>
                </c:pt>
                <c:pt idx="105">
                  <c:v>18</c:v>
                </c:pt>
                <c:pt idx="106">
                  <c:v>18</c:v>
                </c:pt>
                <c:pt idx="107">
                  <c:v>18</c:v>
                </c:pt>
                <c:pt idx="108">
                  <c:v>18</c:v>
                </c:pt>
                <c:pt idx="109">
                  <c:v>18</c:v>
                </c:pt>
                <c:pt idx="110">
                  <c:v>18</c:v>
                </c:pt>
                <c:pt idx="111">
                  <c:v>18</c:v>
                </c:pt>
                <c:pt idx="112">
                  <c:v>18</c:v>
                </c:pt>
                <c:pt idx="113">
                  <c:v>18</c:v>
                </c:pt>
                <c:pt idx="114">
                  <c:v>18</c:v>
                </c:pt>
                <c:pt idx="115">
                  <c:v>18</c:v>
                </c:pt>
                <c:pt idx="116">
                  <c:v>18</c:v>
                </c:pt>
                <c:pt idx="117">
                  <c:v>18</c:v>
                </c:pt>
                <c:pt idx="118">
                  <c:v>18</c:v>
                </c:pt>
                <c:pt idx="119">
                  <c:v>22</c:v>
                </c:pt>
                <c:pt idx="120">
                  <c:v>22</c:v>
                </c:pt>
                <c:pt idx="121">
                  <c:v>22</c:v>
                </c:pt>
                <c:pt idx="122">
                  <c:v>22</c:v>
                </c:pt>
                <c:pt idx="123">
                  <c:v>22</c:v>
                </c:pt>
                <c:pt idx="124">
                  <c:v>22</c:v>
                </c:pt>
                <c:pt idx="125">
                  <c:v>22</c:v>
                </c:pt>
                <c:pt idx="126">
                  <c:v>22</c:v>
                </c:pt>
                <c:pt idx="127">
                  <c:v>22</c:v>
                </c:pt>
                <c:pt idx="128">
                  <c:v>22</c:v>
                </c:pt>
                <c:pt idx="129">
                  <c:v>22</c:v>
                </c:pt>
                <c:pt idx="130">
                  <c:v>22</c:v>
                </c:pt>
                <c:pt idx="131">
                  <c:v>22</c:v>
                </c:pt>
                <c:pt idx="132">
                  <c:v>22</c:v>
                </c:pt>
                <c:pt idx="133">
                  <c:v>22</c:v>
                </c:pt>
                <c:pt idx="134">
                  <c:v>22</c:v>
                </c:pt>
                <c:pt idx="135">
                  <c:v>22</c:v>
                </c:pt>
                <c:pt idx="136">
                  <c:v>22</c:v>
                </c:pt>
                <c:pt idx="137">
                  <c:v>22</c:v>
                </c:pt>
                <c:pt idx="138">
                  <c:v>22</c:v>
                </c:pt>
                <c:pt idx="139">
                  <c:v>26</c:v>
                </c:pt>
                <c:pt idx="140">
                  <c:v>26</c:v>
                </c:pt>
                <c:pt idx="141">
                  <c:v>26</c:v>
                </c:pt>
                <c:pt idx="142">
                  <c:v>26</c:v>
                </c:pt>
                <c:pt idx="143">
                  <c:v>26</c:v>
                </c:pt>
                <c:pt idx="144">
                  <c:v>26</c:v>
                </c:pt>
                <c:pt idx="145">
                  <c:v>26</c:v>
                </c:pt>
                <c:pt idx="146">
                  <c:v>26</c:v>
                </c:pt>
                <c:pt idx="147">
                  <c:v>26</c:v>
                </c:pt>
                <c:pt idx="148">
                  <c:v>26</c:v>
                </c:pt>
                <c:pt idx="149">
                  <c:v>26</c:v>
                </c:pt>
                <c:pt idx="150">
                  <c:v>26</c:v>
                </c:pt>
                <c:pt idx="151">
                  <c:v>26</c:v>
                </c:pt>
                <c:pt idx="152">
                  <c:v>26</c:v>
                </c:pt>
                <c:pt idx="153">
                  <c:v>26</c:v>
                </c:pt>
                <c:pt idx="154">
                  <c:v>26</c:v>
                </c:pt>
                <c:pt idx="155">
                  <c:v>26</c:v>
                </c:pt>
                <c:pt idx="156">
                  <c:v>26</c:v>
                </c:pt>
                <c:pt idx="157">
                  <c:v>26</c:v>
                </c:pt>
                <c:pt idx="158">
                  <c:v>26</c:v>
                </c:pt>
                <c:pt idx="159">
                  <c:v>30</c:v>
                </c:pt>
                <c:pt idx="160">
                  <c:v>30</c:v>
                </c:pt>
                <c:pt idx="161">
                  <c:v>30</c:v>
                </c:pt>
                <c:pt idx="162">
                  <c:v>30</c:v>
                </c:pt>
                <c:pt idx="163">
                  <c:v>30</c:v>
                </c:pt>
                <c:pt idx="164">
                  <c:v>30</c:v>
                </c:pt>
                <c:pt idx="165">
                  <c:v>30</c:v>
                </c:pt>
                <c:pt idx="166">
                  <c:v>30</c:v>
                </c:pt>
                <c:pt idx="167">
                  <c:v>30</c:v>
                </c:pt>
                <c:pt idx="168">
                  <c:v>30</c:v>
                </c:pt>
                <c:pt idx="169">
                  <c:v>30</c:v>
                </c:pt>
                <c:pt idx="170">
                  <c:v>30</c:v>
                </c:pt>
                <c:pt idx="171">
                  <c:v>30</c:v>
                </c:pt>
                <c:pt idx="172">
                  <c:v>30</c:v>
                </c:pt>
                <c:pt idx="173">
                  <c:v>30</c:v>
                </c:pt>
                <c:pt idx="174">
                  <c:v>30</c:v>
                </c:pt>
                <c:pt idx="175">
                  <c:v>30</c:v>
                </c:pt>
                <c:pt idx="176">
                  <c:v>30</c:v>
                </c:pt>
                <c:pt idx="177">
                  <c:v>30</c:v>
                </c:pt>
                <c:pt idx="178">
                  <c:v>30</c:v>
                </c:pt>
                <c:pt idx="179">
                  <c:v>33</c:v>
                </c:pt>
                <c:pt idx="180">
                  <c:v>33</c:v>
                </c:pt>
                <c:pt idx="181">
                  <c:v>33</c:v>
                </c:pt>
                <c:pt idx="182">
                  <c:v>33</c:v>
                </c:pt>
                <c:pt idx="183">
                  <c:v>33</c:v>
                </c:pt>
                <c:pt idx="184">
                  <c:v>33</c:v>
                </c:pt>
                <c:pt idx="185">
                  <c:v>33</c:v>
                </c:pt>
                <c:pt idx="186">
                  <c:v>33</c:v>
                </c:pt>
                <c:pt idx="187">
                  <c:v>33</c:v>
                </c:pt>
                <c:pt idx="188">
                  <c:v>33</c:v>
                </c:pt>
                <c:pt idx="189">
                  <c:v>33</c:v>
                </c:pt>
                <c:pt idx="190">
                  <c:v>33</c:v>
                </c:pt>
                <c:pt idx="191">
                  <c:v>33</c:v>
                </c:pt>
                <c:pt idx="192">
                  <c:v>33</c:v>
                </c:pt>
                <c:pt idx="193">
                  <c:v>33</c:v>
                </c:pt>
                <c:pt idx="194">
                  <c:v>33</c:v>
                </c:pt>
                <c:pt idx="195">
                  <c:v>33</c:v>
                </c:pt>
                <c:pt idx="196">
                  <c:v>33</c:v>
                </c:pt>
                <c:pt idx="197">
                  <c:v>33</c:v>
                </c:pt>
                <c:pt idx="198">
                  <c:v>33</c:v>
                </c:pt>
                <c:pt idx="199">
                  <c:v>37</c:v>
                </c:pt>
                <c:pt idx="200">
                  <c:v>37</c:v>
                </c:pt>
                <c:pt idx="201">
                  <c:v>37</c:v>
                </c:pt>
                <c:pt idx="202">
                  <c:v>37</c:v>
                </c:pt>
                <c:pt idx="203">
                  <c:v>37</c:v>
                </c:pt>
                <c:pt idx="204">
                  <c:v>37</c:v>
                </c:pt>
                <c:pt idx="205">
                  <c:v>37</c:v>
                </c:pt>
                <c:pt idx="206">
                  <c:v>37</c:v>
                </c:pt>
                <c:pt idx="207">
                  <c:v>37</c:v>
                </c:pt>
                <c:pt idx="208">
                  <c:v>37</c:v>
                </c:pt>
                <c:pt idx="209">
                  <c:v>37</c:v>
                </c:pt>
                <c:pt idx="210">
                  <c:v>37</c:v>
                </c:pt>
                <c:pt idx="211">
                  <c:v>37</c:v>
                </c:pt>
                <c:pt idx="212">
                  <c:v>37</c:v>
                </c:pt>
                <c:pt idx="213">
                  <c:v>37</c:v>
                </c:pt>
                <c:pt idx="214">
                  <c:v>37</c:v>
                </c:pt>
                <c:pt idx="215">
                  <c:v>37</c:v>
                </c:pt>
                <c:pt idx="216">
                  <c:v>37</c:v>
                </c:pt>
                <c:pt idx="217">
                  <c:v>37</c:v>
                </c:pt>
                <c:pt idx="218">
                  <c:v>37</c:v>
                </c:pt>
                <c:pt idx="219">
                  <c:v>41</c:v>
                </c:pt>
                <c:pt idx="220">
                  <c:v>41</c:v>
                </c:pt>
                <c:pt idx="221">
                  <c:v>41</c:v>
                </c:pt>
                <c:pt idx="222">
                  <c:v>41</c:v>
                </c:pt>
                <c:pt idx="223">
                  <c:v>41</c:v>
                </c:pt>
                <c:pt idx="224">
                  <c:v>41</c:v>
                </c:pt>
                <c:pt idx="225">
                  <c:v>41</c:v>
                </c:pt>
                <c:pt idx="226">
                  <c:v>41</c:v>
                </c:pt>
                <c:pt idx="227">
                  <c:v>41</c:v>
                </c:pt>
                <c:pt idx="228">
                  <c:v>41</c:v>
                </c:pt>
                <c:pt idx="229">
                  <c:v>41</c:v>
                </c:pt>
                <c:pt idx="230">
                  <c:v>41</c:v>
                </c:pt>
                <c:pt idx="231">
                  <c:v>41</c:v>
                </c:pt>
                <c:pt idx="232">
                  <c:v>41</c:v>
                </c:pt>
                <c:pt idx="233">
                  <c:v>41</c:v>
                </c:pt>
                <c:pt idx="234">
                  <c:v>41</c:v>
                </c:pt>
                <c:pt idx="235">
                  <c:v>41</c:v>
                </c:pt>
                <c:pt idx="236">
                  <c:v>41</c:v>
                </c:pt>
                <c:pt idx="237">
                  <c:v>41</c:v>
                </c:pt>
                <c:pt idx="238">
                  <c:v>41</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48</c:v>
                </c:pt>
                <c:pt idx="260">
                  <c:v>48</c:v>
                </c:pt>
                <c:pt idx="261">
                  <c:v>48</c:v>
                </c:pt>
                <c:pt idx="262">
                  <c:v>48</c:v>
                </c:pt>
                <c:pt idx="263">
                  <c:v>48</c:v>
                </c:pt>
                <c:pt idx="264">
                  <c:v>48</c:v>
                </c:pt>
                <c:pt idx="265">
                  <c:v>48</c:v>
                </c:pt>
                <c:pt idx="266">
                  <c:v>48</c:v>
                </c:pt>
                <c:pt idx="267">
                  <c:v>48</c:v>
                </c:pt>
                <c:pt idx="268">
                  <c:v>48</c:v>
                </c:pt>
                <c:pt idx="269">
                  <c:v>48</c:v>
                </c:pt>
                <c:pt idx="270">
                  <c:v>48</c:v>
                </c:pt>
                <c:pt idx="271">
                  <c:v>48</c:v>
                </c:pt>
                <c:pt idx="272">
                  <c:v>48</c:v>
                </c:pt>
                <c:pt idx="273">
                  <c:v>48</c:v>
                </c:pt>
                <c:pt idx="274">
                  <c:v>48</c:v>
                </c:pt>
                <c:pt idx="275">
                  <c:v>48</c:v>
                </c:pt>
                <c:pt idx="276">
                  <c:v>48</c:v>
                </c:pt>
                <c:pt idx="277">
                  <c:v>48</c:v>
                </c:pt>
                <c:pt idx="278">
                  <c:v>48</c:v>
                </c:pt>
                <c:pt idx="279">
                  <c:v>52</c:v>
                </c:pt>
                <c:pt idx="280">
                  <c:v>52</c:v>
                </c:pt>
                <c:pt idx="281">
                  <c:v>52</c:v>
                </c:pt>
                <c:pt idx="282">
                  <c:v>52</c:v>
                </c:pt>
                <c:pt idx="283">
                  <c:v>52</c:v>
                </c:pt>
                <c:pt idx="284">
                  <c:v>52</c:v>
                </c:pt>
                <c:pt idx="285">
                  <c:v>52</c:v>
                </c:pt>
                <c:pt idx="286">
                  <c:v>52</c:v>
                </c:pt>
                <c:pt idx="287">
                  <c:v>52</c:v>
                </c:pt>
                <c:pt idx="288">
                  <c:v>52</c:v>
                </c:pt>
                <c:pt idx="289">
                  <c:v>52</c:v>
                </c:pt>
                <c:pt idx="290">
                  <c:v>52</c:v>
                </c:pt>
                <c:pt idx="291">
                  <c:v>52</c:v>
                </c:pt>
                <c:pt idx="292">
                  <c:v>52</c:v>
                </c:pt>
                <c:pt idx="293">
                  <c:v>52</c:v>
                </c:pt>
                <c:pt idx="294">
                  <c:v>52</c:v>
                </c:pt>
                <c:pt idx="295">
                  <c:v>52</c:v>
                </c:pt>
                <c:pt idx="296">
                  <c:v>52</c:v>
                </c:pt>
                <c:pt idx="297">
                  <c:v>52</c:v>
                </c:pt>
                <c:pt idx="298">
                  <c:v>52</c:v>
                </c:pt>
                <c:pt idx="299">
                  <c:v>56</c:v>
                </c:pt>
                <c:pt idx="300">
                  <c:v>56</c:v>
                </c:pt>
                <c:pt idx="301">
                  <c:v>56</c:v>
                </c:pt>
                <c:pt idx="302">
                  <c:v>56</c:v>
                </c:pt>
                <c:pt idx="303">
                  <c:v>56</c:v>
                </c:pt>
                <c:pt idx="304">
                  <c:v>56</c:v>
                </c:pt>
                <c:pt idx="305">
                  <c:v>56</c:v>
                </c:pt>
                <c:pt idx="306">
                  <c:v>56</c:v>
                </c:pt>
                <c:pt idx="307">
                  <c:v>56</c:v>
                </c:pt>
                <c:pt idx="308">
                  <c:v>56</c:v>
                </c:pt>
                <c:pt idx="309">
                  <c:v>56</c:v>
                </c:pt>
                <c:pt idx="310">
                  <c:v>56</c:v>
                </c:pt>
                <c:pt idx="311">
                  <c:v>56</c:v>
                </c:pt>
                <c:pt idx="312">
                  <c:v>56</c:v>
                </c:pt>
                <c:pt idx="313">
                  <c:v>56</c:v>
                </c:pt>
                <c:pt idx="314">
                  <c:v>56</c:v>
                </c:pt>
                <c:pt idx="315">
                  <c:v>56</c:v>
                </c:pt>
                <c:pt idx="316">
                  <c:v>56</c:v>
                </c:pt>
                <c:pt idx="317">
                  <c:v>56</c:v>
                </c:pt>
                <c:pt idx="318">
                  <c:v>56</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63</c:v>
                </c:pt>
                <c:pt idx="340">
                  <c:v>63</c:v>
                </c:pt>
                <c:pt idx="341">
                  <c:v>63</c:v>
                </c:pt>
                <c:pt idx="342">
                  <c:v>63</c:v>
                </c:pt>
                <c:pt idx="343">
                  <c:v>63</c:v>
                </c:pt>
                <c:pt idx="344">
                  <c:v>63</c:v>
                </c:pt>
                <c:pt idx="345">
                  <c:v>63</c:v>
                </c:pt>
                <c:pt idx="346">
                  <c:v>63</c:v>
                </c:pt>
                <c:pt idx="347">
                  <c:v>63</c:v>
                </c:pt>
                <c:pt idx="348">
                  <c:v>63</c:v>
                </c:pt>
                <c:pt idx="349">
                  <c:v>63</c:v>
                </c:pt>
                <c:pt idx="350">
                  <c:v>63</c:v>
                </c:pt>
                <c:pt idx="351">
                  <c:v>63</c:v>
                </c:pt>
                <c:pt idx="352">
                  <c:v>63</c:v>
                </c:pt>
                <c:pt idx="353">
                  <c:v>63</c:v>
                </c:pt>
                <c:pt idx="354">
                  <c:v>63</c:v>
                </c:pt>
                <c:pt idx="355">
                  <c:v>63</c:v>
                </c:pt>
                <c:pt idx="356">
                  <c:v>63</c:v>
                </c:pt>
                <c:pt idx="357">
                  <c:v>63</c:v>
                </c:pt>
                <c:pt idx="358">
                  <c:v>63</c:v>
                </c:pt>
                <c:pt idx="359">
                  <c:v>67</c:v>
                </c:pt>
                <c:pt idx="360">
                  <c:v>67</c:v>
                </c:pt>
                <c:pt idx="361">
                  <c:v>67</c:v>
                </c:pt>
                <c:pt idx="362">
                  <c:v>67</c:v>
                </c:pt>
                <c:pt idx="363">
                  <c:v>67</c:v>
                </c:pt>
                <c:pt idx="364">
                  <c:v>67</c:v>
                </c:pt>
                <c:pt idx="365">
                  <c:v>67</c:v>
                </c:pt>
                <c:pt idx="366">
                  <c:v>67</c:v>
                </c:pt>
                <c:pt idx="367">
                  <c:v>67</c:v>
                </c:pt>
                <c:pt idx="368">
                  <c:v>67</c:v>
                </c:pt>
                <c:pt idx="369">
                  <c:v>67</c:v>
                </c:pt>
                <c:pt idx="370">
                  <c:v>67</c:v>
                </c:pt>
                <c:pt idx="371">
                  <c:v>67</c:v>
                </c:pt>
                <c:pt idx="372">
                  <c:v>67</c:v>
                </c:pt>
                <c:pt idx="373">
                  <c:v>67</c:v>
                </c:pt>
                <c:pt idx="374">
                  <c:v>67</c:v>
                </c:pt>
                <c:pt idx="375">
                  <c:v>67</c:v>
                </c:pt>
                <c:pt idx="376">
                  <c:v>67</c:v>
                </c:pt>
                <c:pt idx="377">
                  <c:v>67</c:v>
                </c:pt>
                <c:pt idx="378">
                  <c:v>67</c:v>
                </c:pt>
                <c:pt idx="379">
                  <c:v>71</c:v>
                </c:pt>
                <c:pt idx="380">
                  <c:v>71</c:v>
                </c:pt>
                <c:pt idx="381">
                  <c:v>71</c:v>
                </c:pt>
                <c:pt idx="382">
                  <c:v>71</c:v>
                </c:pt>
                <c:pt idx="383">
                  <c:v>71</c:v>
                </c:pt>
                <c:pt idx="384">
                  <c:v>71</c:v>
                </c:pt>
                <c:pt idx="385">
                  <c:v>71</c:v>
                </c:pt>
                <c:pt idx="386">
                  <c:v>71</c:v>
                </c:pt>
                <c:pt idx="387">
                  <c:v>71</c:v>
                </c:pt>
                <c:pt idx="388">
                  <c:v>71</c:v>
                </c:pt>
                <c:pt idx="389">
                  <c:v>71</c:v>
                </c:pt>
                <c:pt idx="390">
                  <c:v>71</c:v>
                </c:pt>
                <c:pt idx="391">
                  <c:v>71</c:v>
                </c:pt>
                <c:pt idx="392">
                  <c:v>71</c:v>
                </c:pt>
                <c:pt idx="393">
                  <c:v>71</c:v>
                </c:pt>
                <c:pt idx="394">
                  <c:v>71</c:v>
                </c:pt>
                <c:pt idx="395">
                  <c:v>71</c:v>
                </c:pt>
                <c:pt idx="396">
                  <c:v>71</c:v>
                </c:pt>
                <c:pt idx="397">
                  <c:v>71</c:v>
                </c:pt>
                <c:pt idx="398">
                  <c:v>71</c:v>
                </c:pt>
                <c:pt idx="399">
                  <c:v>75</c:v>
                </c:pt>
                <c:pt idx="400">
                  <c:v>75</c:v>
                </c:pt>
                <c:pt idx="401">
                  <c:v>75</c:v>
                </c:pt>
                <c:pt idx="402">
                  <c:v>75</c:v>
                </c:pt>
                <c:pt idx="403">
                  <c:v>75</c:v>
                </c:pt>
                <c:pt idx="404">
                  <c:v>75</c:v>
                </c:pt>
                <c:pt idx="405">
                  <c:v>75</c:v>
                </c:pt>
                <c:pt idx="406">
                  <c:v>75</c:v>
                </c:pt>
                <c:pt idx="407">
                  <c:v>75</c:v>
                </c:pt>
                <c:pt idx="408">
                  <c:v>75</c:v>
                </c:pt>
                <c:pt idx="409">
                  <c:v>75</c:v>
                </c:pt>
                <c:pt idx="410">
                  <c:v>75</c:v>
                </c:pt>
                <c:pt idx="411">
                  <c:v>75</c:v>
                </c:pt>
                <c:pt idx="412">
                  <c:v>75</c:v>
                </c:pt>
                <c:pt idx="413">
                  <c:v>75</c:v>
                </c:pt>
                <c:pt idx="414">
                  <c:v>75</c:v>
                </c:pt>
                <c:pt idx="415">
                  <c:v>75</c:v>
                </c:pt>
                <c:pt idx="416">
                  <c:v>75</c:v>
                </c:pt>
                <c:pt idx="417">
                  <c:v>75</c:v>
                </c:pt>
                <c:pt idx="418">
                  <c:v>75</c:v>
                </c:pt>
                <c:pt idx="419">
                  <c:v>78</c:v>
                </c:pt>
                <c:pt idx="420">
                  <c:v>78</c:v>
                </c:pt>
                <c:pt idx="421">
                  <c:v>78</c:v>
                </c:pt>
                <c:pt idx="422">
                  <c:v>78</c:v>
                </c:pt>
                <c:pt idx="423">
                  <c:v>78</c:v>
                </c:pt>
                <c:pt idx="424">
                  <c:v>78</c:v>
                </c:pt>
                <c:pt idx="425">
                  <c:v>78</c:v>
                </c:pt>
                <c:pt idx="426">
                  <c:v>78</c:v>
                </c:pt>
                <c:pt idx="427">
                  <c:v>78</c:v>
                </c:pt>
                <c:pt idx="428">
                  <c:v>78</c:v>
                </c:pt>
                <c:pt idx="429">
                  <c:v>78</c:v>
                </c:pt>
                <c:pt idx="430">
                  <c:v>78</c:v>
                </c:pt>
                <c:pt idx="431">
                  <c:v>78</c:v>
                </c:pt>
                <c:pt idx="432">
                  <c:v>78</c:v>
                </c:pt>
                <c:pt idx="433">
                  <c:v>78</c:v>
                </c:pt>
                <c:pt idx="434">
                  <c:v>78</c:v>
                </c:pt>
                <c:pt idx="435">
                  <c:v>78</c:v>
                </c:pt>
                <c:pt idx="436">
                  <c:v>78</c:v>
                </c:pt>
                <c:pt idx="437">
                  <c:v>78</c:v>
                </c:pt>
                <c:pt idx="438">
                  <c:v>78</c:v>
                </c:pt>
                <c:pt idx="439">
                  <c:v>82</c:v>
                </c:pt>
                <c:pt idx="440">
                  <c:v>82</c:v>
                </c:pt>
                <c:pt idx="441">
                  <c:v>82</c:v>
                </c:pt>
                <c:pt idx="442">
                  <c:v>82</c:v>
                </c:pt>
                <c:pt idx="443">
                  <c:v>82</c:v>
                </c:pt>
                <c:pt idx="444">
                  <c:v>82</c:v>
                </c:pt>
                <c:pt idx="445">
                  <c:v>82</c:v>
                </c:pt>
                <c:pt idx="446">
                  <c:v>82</c:v>
                </c:pt>
                <c:pt idx="447">
                  <c:v>82</c:v>
                </c:pt>
                <c:pt idx="448">
                  <c:v>82</c:v>
                </c:pt>
                <c:pt idx="449">
                  <c:v>82</c:v>
                </c:pt>
                <c:pt idx="450">
                  <c:v>82</c:v>
                </c:pt>
                <c:pt idx="451">
                  <c:v>82</c:v>
                </c:pt>
                <c:pt idx="452">
                  <c:v>82</c:v>
                </c:pt>
                <c:pt idx="453">
                  <c:v>82</c:v>
                </c:pt>
                <c:pt idx="454">
                  <c:v>82</c:v>
                </c:pt>
                <c:pt idx="455">
                  <c:v>82</c:v>
                </c:pt>
                <c:pt idx="456">
                  <c:v>82</c:v>
                </c:pt>
                <c:pt idx="457">
                  <c:v>82</c:v>
                </c:pt>
                <c:pt idx="458">
                  <c:v>82</c:v>
                </c:pt>
                <c:pt idx="459">
                  <c:v>86</c:v>
                </c:pt>
                <c:pt idx="460">
                  <c:v>86</c:v>
                </c:pt>
                <c:pt idx="461">
                  <c:v>86</c:v>
                </c:pt>
                <c:pt idx="462">
                  <c:v>86</c:v>
                </c:pt>
                <c:pt idx="463">
                  <c:v>86</c:v>
                </c:pt>
                <c:pt idx="464">
                  <c:v>86</c:v>
                </c:pt>
                <c:pt idx="465">
                  <c:v>86</c:v>
                </c:pt>
                <c:pt idx="466">
                  <c:v>86</c:v>
                </c:pt>
                <c:pt idx="467">
                  <c:v>86</c:v>
                </c:pt>
                <c:pt idx="468">
                  <c:v>86</c:v>
                </c:pt>
                <c:pt idx="469">
                  <c:v>86</c:v>
                </c:pt>
                <c:pt idx="470">
                  <c:v>86</c:v>
                </c:pt>
                <c:pt idx="471">
                  <c:v>86</c:v>
                </c:pt>
                <c:pt idx="472">
                  <c:v>86</c:v>
                </c:pt>
                <c:pt idx="473">
                  <c:v>86</c:v>
                </c:pt>
                <c:pt idx="474">
                  <c:v>86</c:v>
                </c:pt>
                <c:pt idx="475">
                  <c:v>86</c:v>
                </c:pt>
                <c:pt idx="476">
                  <c:v>86</c:v>
                </c:pt>
                <c:pt idx="477">
                  <c:v>86</c:v>
                </c:pt>
                <c:pt idx="478">
                  <c:v>86</c:v>
                </c:pt>
                <c:pt idx="479">
                  <c:v>90</c:v>
                </c:pt>
                <c:pt idx="480">
                  <c:v>90</c:v>
                </c:pt>
                <c:pt idx="481">
                  <c:v>90</c:v>
                </c:pt>
                <c:pt idx="482">
                  <c:v>90</c:v>
                </c:pt>
                <c:pt idx="483">
                  <c:v>90</c:v>
                </c:pt>
                <c:pt idx="484">
                  <c:v>90</c:v>
                </c:pt>
                <c:pt idx="485">
                  <c:v>90</c:v>
                </c:pt>
                <c:pt idx="486">
                  <c:v>90</c:v>
                </c:pt>
                <c:pt idx="487">
                  <c:v>90</c:v>
                </c:pt>
                <c:pt idx="488">
                  <c:v>90</c:v>
                </c:pt>
                <c:pt idx="489">
                  <c:v>90</c:v>
                </c:pt>
                <c:pt idx="490">
                  <c:v>90</c:v>
                </c:pt>
                <c:pt idx="491">
                  <c:v>90</c:v>
                </c:pt>
                <c:pt idx="492">
                  <c:v>90</c:v>
                </c:pt>
                <c:pt idx="493">
                  <c:v>90</c:v>
                </c:pt>
                <c:pt idx="494">
                  <c:v>90</c:v>
                </c:pt>
                <c:pt idx="495">
                  <c:v>90</c:v>
                </c:pt>
                <c:pt idx="496">
                  <c:v>90</c:v>
                </c:pt>
                <c:pt idx="497">
                  <c:v>90</c:v>
                </c:pt>
                <c:pt idx="498">
                  <c:v>90</c:v>
                </c:pt>
                <c:pt idx="499">
                  <c:v>93</c:v>
                </c:pt>
                <c:pt idx="500">
                  <c:v>93</c:v>
                </c:pt>
                <c:pt idx="501">
                  <c:v>93</c:v>
                </c:pt>
                <c:pt idx="502">
                  <c:v>93</c:v>
                </c:pt>
                <c:pt idx="503">
                  <c:v>93</c:v>
                </c:pt>
                <c:pt idx="504">
                  <c:v>93</c:v>
                </c:pt>
                <c:pt idx="505">
                  <c:v>93</c:v>
                </c:pt>
                <c:pt idx="506">
                  <c:v>93</c:v>
                </c:pt>
                <c:pt idx="507">
                  <c:v>93</c:v>
                </c:pt>
                <c:pt idx="508">
                  <c:v>93</c:v>
                </c:pt>
                <c:pt idx="509">
                  <c:v>93</c:v>
                </c:pt>
                <c:pt idx="510">
                  <c:v>93</c:v>
                </c:pt>
                <c:pt idx="511">
                  <c:v>93</c:v>
                </c:pt>
                <c:pt idx="512">
                  <c:v>93</c:v>
                </c:pt>
                <c:pt idx="513">
                  <c:v>93</c:v>
                </c:pt>
                <c:pt idx="514">
                  <c:v>93</c:v>
                </c:pt>
                <c:pt idx="515">
                  <c:v>93</c:v>
                </c:pt>
                <c:pt idx="516">
                  <c:v>93</c:v>
                </c:pt>
                <c:pt idx="517">
                  <c:v>93</c:v>
                </c:pt>
                <c:pt idx="518">
                  <c:v>93</c:v>
                </c:pt>
                <c:pt idx="519">
                  <c:v>97</c:v>
                </c:pt>
                <c:pt idx="520">
                  <c:v>97</c:v>
                </c:pt>
                <c:pt idx="521">
                  <c:v>97</c:v>
                </c:pt>
                <c:pt idx="522">
                  <c:v>97</c:v>
                </c:pt>
                <c:pt idx="523">
                  <c:v>97</c:v>
                </c:pt>
                <c:pt idx="524">
                  <c:v>97</c:v>
                </c:pt>
                <c:pt idx="525">
                  <c:v>97</c:v>
                </c:pt>
                <c:pt idx="526">
                  <c:v>97</c:v>
                </c:pt>
                <c:pt idx="527">
                  <c:v>97</c:v>
                </c:pt>
                <c:pt idx="528">
                  <c:v>97</c:v>
                </c:pt>
                <c:pt idx="529">
                  <c:v>97</c:v>
                </c:pt>
                <c:pt idx="530">
                  <c:v>97</c:v>
                </c:pt>
                <c:pt idx="531">
                  <c:v>97</c:v>
                </c:pt>
                <c:pt idx="532">
                  <c:v>97</c:v>
                </c:pt>
                <c:pt idx="533">
                  <c:v>97</c:v>
                </c:pt>
                <c:pt idx="534">
                  <c:v>97</c:v>
                </c:pt>
                <c:pt idx="535">
                  <c:v>97</c:v>
                </c:pt>
                <c:pt idx="536">
                  <c:v>97</c:v>
                </c:pt>
                <c:pt idx="537">
                  <c:v>97</c:v>
                </c:pt>
                <c:pt idx="538">
                  <c:v>97</c:v>
                </c:pt>
                <c:pt idx="539">
                  <c:v>101</c:v>
                </c:pt>
                <c:pt idx="540">
                  <c:v>101</c:v>
                </c:pt>
                <c:pt idx="541">
                  <c:v>101</c:v>
                </c:pt>
                <c:pt idx="542">
                  <c:v>101</c:v>
                </c:pt>
                <c:pt idx="543">
                  <c:v>101</c:v>
                </c:pt>
                <c:pt idx="544">
                  <c:v>101</c:v>
                </c:pt>
                <c:pt idx="545">
                  <c:v>101</c:v>
                </c:pt>
                <c:pt idx="546">
                  <c:v>101</c:v>
                </c:pt>
                <c:pt idx="547">
                  <c:v>101</c:v>
                </c:pt>
                <c:pt idx="548">
                  <c:v>101</c:v>
                </c:pt>
                <c:pt idx="549">
                  <c:v>101</c:v>
                </c:pt>
                <c:pt idx="550">
                  <c:v>101</c:v>
                </c:pt>
                <c:pt idx="551">
                  <c:v>101</c:v>
                </c:pt>
                <c:pt idx="552">
                  <c:v>101</c:v>
                </c:pt>
                <c:pt idx="553">
                  <c:v>101</c:v>
                </c:pt>
                <c:pt idx="554">
                  <c:v>101</c:v>
                </c:pt>
                <c:pt idx="555">
                  <c:v>101</c:v>
                </c:pt>
                <c:pt idx="556">
                  <c:v>101</c:v>
                </c:pt>
                <c:pt idx="557">
                  <c:v>101</c:v>
                </c:pt>
                <c:pt idx="558">
                  <c:v>101</c:v>
                </c:pt>
                <c:pt idx="559">
                  <c:v>105</c:v>
                </c:pt>
                <c:pt idx="560">
                  <c:v>105</c:v>
                </c:pt>
                <c:pt idx="561">
                  <c:v>105</c:v>
                </c:pt>
                <c:pt idx="562">
                  <c:v>105</c:v>
                </c:pt>
                <c:pt idx="563">
                  <c:v>105</c:v>
                </c:pt>
                <c:pt idx="564">
                  <c:v>105</c:v>
                </c:pt>
                <c:pt idx="565">
                  <c:v>105</c:v>
                </c:pt>
                <c:pt idx="566">
                  <c:v>105</c:v>
                </c:pt>
                <c:pt idx="567">
                  <c:v>105</c:v>
                </c:pt>
                <c:pt idx="568">
                  <c:v>105</c:v>
                </c:pt>
                <c:pt idx="569">
                  <c:v>105</c:v>
                </c:pt>
                <c:pt idx="570">
                  <c:v>105</c:v>
                </c:pt>
                <c:pt idx="571">
                  <c:v>105</c:v>
                </c:pt>
                <c:pt idx="572">
                  <c:v>105</c:v>
                </c:pt>
                <c:pt idx="573">
                  <c:v>105</c:v>
                </c:pt>
                <c:pt idx="574">
                  <c:v>105</c:v>
                </c:pt>
                <c:pt idx="575">
                  <c:v>105</c:v>
                </c:pt>
                <c:pt idx="576">
                  <c:v>105</c:v>
                </c:pt>
                <c:pt idx="577">
                  <c:v>105</c:v>
                </c:pt>
                <c:pt idx="578">
                  <c:v>105</c:v>
                </c:pt>
                <c:pt idx="579">
                  <c:v>108</c:v>
                </c:pt>
                <c:pt idx="580">
                  <c:v>108</c:v>
                </c:pt>
                <c:pt idx="581">
                  <c:v>108</c:v>
                </c:pt>
                <c:pt idx="582">
                  <c:v>108</c:v>
                </c:pt>
                <c:pt idx="583">
                  <c:v>108</c:v>
                </c:pt>
                <c:pt idx="584">
                  <c:v>108</c:v>
                </c:pt>
                <c:pt idx="585">
                  <c:v>108</c:v>
                </c:pt>
                <c:pt idx="586">
                  <c:v>108</c:v>
                </c:pt>
                <c:pt idx="587">
                  <c:v>108</c:v>
                </c:pt>
                <c:pt idx="588">
                  <c:v>108</c:v>
                </c:pt>
                <c:pt idx="589">
                  <c:v>108</c:v>
                </c:pt>
                <c:pt idx="590">
                  <c:v>108</c:v>
                </c:pt>
                <c:pt idx="591">
                  <c:v>108</c:v>
                </c:pt>
                <c:pt idx="592">
                  <c:v>108</c:v>
                </c:pt>
                <c:pt idx="593">
                  <c:v>108</c:v>
                </c:pt>
                <c:pt idx="594">
                  <c:v>108</c:v>
                </c:pt>
                <c:pt idx="595">
                  <c:v>108</c:v>
                </c:pt>
                <c:pt idx="596">
                  <c:v>108</c:v>
                </c:pt>
                <c:pt idx="597">
                  <c:v>108</c:v>
                </c:pt>
                <c:pt idx="598">
                  <c:v>108</c:v>
                </c:pt>
                <c:pt idx="599">
                  <c:v>112</c:v>
                </c:pt>
                <c:pt idx="600">
                  <c:v>112</c:v>
                </c:pt>
                <c:pt idx="601">
                  <c:v>112</c:v>
                </c:pt>
                <c:pt idx="602">
                  <c:v>112</c:v>
                </c:pt>
                <c:pt idx="603">
                  <c:v>112</c:v>
                </c:pt>
                <c:pt idx="604">
                  <c:v>112</c:v>
                </c:pt>
                <c:pt idx="605">
                  <c:v>112</c:v>
                </c:pt>
                <c:pt idx="606">
                  <c:v>112</c:v>
                </c:pt>
                <c:pt idx="607">
                  <c:v>112</c:v>
                </c:pt>
                <c:pt idx="608">
                  <c:v>112</c:v>
                </c:pt>
                <c:pt idx="609">
                  <c:v>112</c:v>
                </c:pt>
                <c:pt idx="610">
                  <c:v>112</c:v>
                </c:pt>
                <c:pt idx="611">
                  <c:v>112</c:v>
                </c:pt>
                <c:pt idx="612">
                  <c:v>112</c:v>
                </c:pt>
                <c:pt idx="613">
                  <c:v>112</c:v>
                </c:pt>
                <c:pt idx="614">
                  <c:v>112</c:v>
                </c:pt>
                <c:pt idx="615">
                  <c:v>112</c:v>
                </c:pt>
                <c:pt idx="616">
                  <c:v>112</c:v>
                </c:pt>
                <c:pt idx="617">
                  <c:v>112</c:v>
                </c:pt>
                <c:pt idx="618">
                  <c:v>112</c:v>
                </c:pt>
                <c:pt idx="619">
                  <c:v>116</c:v>
                </c:pt>
                <c:pt idx="620">
                  <c:v>116</c:v>
                </c:pt>
                <c:pt idx="621">
                  <c:v>116</c:v>
                </c:pt>
                <c:pt idx="622">
                  <c:v>116</c:v>
                </c:pt>
                <c:pt idx="623">
                  <c:v>116</c:v>
                </c:pt>
                <c:pt idx="624">
                  <c:v>116</c:v>
                </c:pt>
                <c:pt idx="625">
                  <c:v>116</c:v>
                </c:pt>
                <c:pt idx="626">
                  <c:v>116</c:v>
                </c:pt>
                <c:pt idx="627">
                  <c:v>116</c:v>
                </c:pt>
                <c:pt idx="628">
                  <c:v>116</c:v>
                </c:pt>
                <c:pt idx="629">
                  <c:v>116</c:v>
                </c:pt>
                <c:pt idx="630">
                  <c:v>116</c:v>
                </c:pt>
                <c:pt idx="631">
                  <c:v>116</c:v>
                </c:pt>
                <c:pt idx="632">
                  <c:v>116</c:v>
                </c:pt>
                <c:pt idx="633">
                  <c:v>116</c:v>
                </c:pt>
                <c:pt idx="634">
                  <c:v>116</c:v>
                </c:pt>
                <c:pt idx="635">
                  <c:v>116</c:v>
                </c:pt>
                <c:pt idx="636">
                  <c:v>116</c:v>
                </c:pt>
                <c:pt idx="637">
                  <c:v>116</c:v>
                </c:pt>
                <c:pt idx="638">
                  <c:v>116</c:v>
                </c:pt>
                <c:pt idx="639">
                  <c:v>120</c:v>
                </c:pt>
                <c:pt idx="640">
                  <c:v>120</c:v>
                </c:pt>
                <c:pt idx="641">
                  <c:v>120</c:v>
                </c:pt>
                <c:pt idx="642">
                  <c:v>120</c:v>
                </c:pt>
                <c:pt idx="643">
                  <c:v>120</c:v>
                </c:pt>
                <c:pt idx="644">
                  <c:v>120</c:v>
                </c:pt>
                <c:pt idx="645">
                  <c:v>120</c:v>
                </c:pt>
                <c:pt idx="646">
                  <c:v>120</c:v>
                </c:pt>
                <c:pt idx="647">
                  <c:v>120</c:v>
                </c:pt>
                <c:pt idx="648">
                  <c:v>120</c:v>
                </c:pt>
                <c:pt idx="649">
                  <c:v>120</c:v>
                </c:pt>
                <c:pt idx="650">
                  <c:v>120</c:v>
                </c:pt>
                <c:pt idx="651">
                  <c:v>120</c:v>
                </c:pt>
                <c:pt idx="652">
                  <c:v>120</c:v>
                </c:pt>
                <c:pt idx="653">
                  <c:v>120</c:v>
                </c:pt>
                <c:pt idx="654">
                  <c:v>120</c:v>
                </c:pt>
                <c:pt idx="655">
                  <c:v>120</c:v>
                </c:pt>
                <c:pt idx="656">
                  <c:v>120</c:v>
                </c:pt>
                <c:pt idx="657">
                  <c:v>120</c:v>
                </c:pt>
                <c:pt idx="658">
                  <c:v>120</c:v>
                </c:pt>
                <c:pt idx="659">
                  <c:v>123</c:v>
                </c:pt>
                <c:pt idx="660">
                  <c:v>123</c:v>
                </c:pt>
                <c:pt idx="661">
                  <c:v>123</c:v>
                </c:pt>
                <c:pt idx="662">
                  <c:v>123</c:v>
                </c:pt>
                <c:pt idx="663">
                  <c:v>123</c:v>
                </c:pt>
                <c:pt idx="664">
                  <c:v>123</c:v>
                </c:pt>
                <c:pt idx="665">
                  <c:v>123</c:v>
                </c:pt>
                <c:pt idx="666">
                  <c:v>123</c:v>
                </c:pt>
                <c:pt idx="667">
                  <c:v>123</c:v>
                </c:pt>
                <c:pt idx="668">
                  <c:v>123</c:v>
                </c:pt>
                <c:pt idx="669">
                  <c:v>123</c:v>
                </c:pt>
                <c:pt idx="670">
                  <c:v>123</c:v>
                </c:pt>
                <c:pt idx="671">
                  <c:v>123</c:v>
                </c:pt>
                <c:pt idx="672">
                  <c:v>123</c:v>
                </c:pt>
                <c:pt idx="673">
                  <c:v>123</c:v>
                </c:pt>
                <c:pt idx="674">
                  <c:v>123</c:v>
                </c:pt>
                <c:pt idx="675">
                  <c:v>123</c:v>
                </c:pt>
                <c:pt idx="676">
                  <c:v>123</c:v>
                </c:pt>
                <c:pt idx="677">
                  <c:v>123</c:v>
                </c:pt>
                <c:pt idx="678">
                  <c:v>123</c:v>
                </c:pt>
                <c:pt idx="679">
                  <c:v>127</c:v>
                </c:pt>
                <c:pt idx="680">
                  <c:v>127</c:v>
                </c:pt>
                <c:pt idx="681">
                  <c:v>127</c:v>
                </c:pt>
                <c:pt idx="682">
                  <c:v>127</c:v>
                </c:pt>
                <c:pt idx="683">
                  <c:v>127</c:v>
                </c:pt>
                <c:pt idx="684">
                  <c:v>127</c:v>
                </c:pt>
                <c:pt idx="685">
                  <c:v>127</c:v>
                </c:pt>
                <c:pt idx="686">
                  <c:v>127</c:v>
                </c:pt>
                <c:pt idx="687">
                  <c:v>127</c:v>
                </c:pt>
                <c:pt idx="688">
                  <c:v>127</c:v>
                </c:pt>
                <c:pt idx="689">
                  <c:v>127</c:v>
                </c:pt>
                <c:pt idx="690">
                  <c:v>127</c:v>
                </c:pt>
                <c:pt idx="691">
                  <c:v>127</c:v>
                </c:pt>
                <c:pt idx="692">
                  <c:v>127</c:v>
                </c:pt>
                <c:pt idx="693">
                  <c:v>127</c:v>
                </c:pt>
                <c:pt idx="694">
                  <c:v>127</c:v>
                </c:pt>
                <c:pt idx="695">
                  <c:v>127</c:v>
                </c:pt>
                <c:pt idx="696">
                  <c:v>127</c:v>
                </c:pt>
                <c:pt idx="697">
                  <c:v>127</c:v>
                </c:pt>
                <c:pt idx="698">
                  <c:v>127</c:v>
                </c:pt>
                <c:pt idx="699">
                  <c:v>131</c:v>
                </c:pt>
                <c:pt idx="700">
                  <c:v>131</c:v>
                </c:pt>
                <c:pt idx="701">
                  <c:v>131</c:v>
                </c:pt>
                <c:pt idx="702">
                  <c:v>131</c:v>
                </c:pt>
                <c:pt idx="703">
                  <c:v>131</c:v>
                </c:pt>
                <c:pt idx="704">
                  <c:v>131</c:v>
                </c:pt>
                <c:pt idx="705">
                  <c:v>131</c:v>
                </c:pt>
                <c:pt idx="706">
                  <c:v>131</c:v>
                </c:pt>
                <c:pt idx="707">
                  <c:v>131</c:v>
                </c:pt>
                <c:pt idx="708">
                  <c:v>131</c:v>
                </c:pt>
                <c:pt idx="709">
                  <c:v>131</c:v>
                </c:pt>
                <c:pt idx="710">
                  <c:v>131</c:v>
                </c:pt>
                <c:pt idx="711">
                  <c:v>131</c:v>
                </c:pt>
                <c:pt idx="712">
                  <c:v>131</c:v>
                </c:pt>
                <c:pt idx="713">
                  <c:v>131</c:v>
                </c:pt>
                <c:pt idx="714">
                  <c:v>131</c:v>
                </c:pt>
                <c:pt idx="715">
                  <c:v>131</c:v>
                </c:pt>
                <c:pt idx="716">
                  <c:v>131</c:v>
                </c:pt>
                <c:pt idx="717">
                  <c:v>131</c:v>
                </c:pt>
                <c:pt idx="718">
                  <c:v>131</c:v>
                </c:pt>
                <c:pt idx="719">
                  <c:v>135</c:v>
                </c:pt>
                <c:pt idx="720">
                  <c:v>135</c:v>
                </c:pt>
                <c:pt idx="721">
                  <c:v>135</c:v>
                </c:pt>
                <c:pt idx="722">
                  <c:v>135</c:v>
                </c:pt>
                <c:pt idx="723">
                  <c:v>135</c:v>
                </c:pt>
                <c:pt idx="724">
                  <c:v>135</c:v>
                </c:pt>
                <c:pt idx="725">
                  <c:v>135</c:v>
                </c:pt>
                <c:pt idx="726">
                  <c:v>135</c:v>
                </c:pt>
                <c:pt idx="727">
                  <c:v>135</c:v>
                </c:pt>
                <c:pt idx="728">
                  <c:v>135</c:v>
                </c:pt>
                <c:pt idx="729">
                  <c:v>135</c:v>
                </c:pt>
                <c:pt idx="730">
                  <c:v>135</c:v>
                </c:pt>
                <c:pt idx="731">
                  <c:v>135</c:v>
                </c:pt>
                <c:pt idx="732">
                  <c:v>135</c:v>
                </c:pt>
                <c:pt idx="733">
                  <c:v>135</c:v>
                </c:pt>
                <c:pt idx="734">
                  <c:v>135</c:v>
                </c:pt>
                <c:pt idx="735">
                  <c:v>135</c:v>
                </c:pt>
                <c:pt idx="736">
                  <c:v>135</c:v>
                </c:pt>
                <c:pt idx="737">
                  <c:v>135</c:v>
                </c:pt>
                <c:pt idx="738">
                  <c:v>135</c:v>
                </c:pt>
                <c:pt idx="739">
                  <c:v>138</c:v>
                </c:pt>
                <c:pt idx="740">
                  <c:v>138</c:v>
                </c:pt>
                <c:pt idx="741">
                  <c:v>138</c:v>
                </c:pt>
                <c:pt idx="742">
                  <c:v>138</c:v>
                </c:pt>
                <c:pt idx="743">
                  <c:v>138</c:v>
                </c:pt>
                <c:pt idx="744">
                  <c:v>138</c:v>
                </c:pt>
                <c:pt idx="745">
                  <c:v>138</c:v>
                </c:pt>
                <c:pt idx="746">
                  <c:v>138</c:v>
                </c:pt>
                <c:pt idx="747">
                  <c:v>138</c:v>
                </c:pt>
                <c:pt idx="748">
                  <c:v>138</c:v>
                </c:pt>
                <c:pt idx="749">
                  <c:v>138</c:v>
                </c:pt>
                <c:pt idx="750">
                  <c:v>138</c:v>
                </c:pt>
                <c:pt idx="751">
                  <c:v>138</c:v>
                </c:pt>
                <c:pt idx="752">
                  <c:v>138</c:v>
                </c:pt>
                <c:pt idx="753">
                  <c:v>138</c:v>
                </c:pt>
                <c:pt idx="754">
                  <c:v>138</c:v>
                </c:pt>
                <c:pt idx="755">
                  <c:v>138</c:v>
                </c:pt>
                <c:pt idx="756">
                  <c:v>138</c:v>
                </c:pt>
                <c:pt idx="757">
                  <c:v>138</c:v>
                </c:pt>
                <c:pt idx="758">
                  <c:v>138</c:v>
                </c:pt>
                <c:pt idx="759">
                  <c:v>142</c:v>
                </c:pt>
                <c:pt idx="760">
                  <c:v>142</c:v>
                </c:pt>
                <c:pt idx="761">
                  <c:v>142</c:v>
                </c:pt>
                <c:pt idx="762">
                  <c:v>142</c:v>
                </c:pt>
                <c:pt idx="763">
                  <c:v>142</c:v>
                </c:pt>
                <c:pt idx="764">
                  <c:v>142</c:v>
                </c:pt>
                <c:pt idx="765">
                  <c:v>142</c:v>
                </c:pt>
                <c:pt idx="766">
                  <c:v>142</c:v>
                </c:pt>
                <c:pt idx="767">
                  <c:v>142</c:v>
                </c:pt>
                <c:pt idx="768">
                  <c:v>142</c:v>
                </c:pt>
                <c:pt idx="769">
                  <c:v>142</c:v>
                </c:pt>
                <c:pt idx="770">
                  <c:v>142</c:v>
                </c:pt>
                <c:pt idx="771">
                  <c:v>142</c:v>
                </c:pt>
                <c:pt idx="772">
                  <c:v>142</c:v>
                </c:pt>
                <c:pt idx="773">
                  <c:v>142</c:v>
                </c:pt>
                <c:pt idx="774">
                  <c:v>142</c:v>
                </c:pt>
                <c:pt idx="775">
                  <c:v>142</c:v>
                </c:pt>
                <c:pt idx="776">
                  <c:v>142</c:v>
                </c:pt>
                <c:pt idx="777">
                  <c:v>142</c:v>
                </c:pt>
                <c:pt idx="778">
                  <c:v>142</c:v>
                </c:pt>
                <c:pt idx="779">
                  <c:v>146</c:v>
                </c:pt>
                <c:pt idx="780">
                  <c:v>146</c:v>
                </c:pt>
                <c:pt idx="781">
                  <c:v>146</c:v>
                </c:pt>
                <c:pt idx="782">
                  <c:v>146</c:v>
                </c:pt>
                <c:pt idx="783">
                  <c:v>146</c:v>
                </c:pt>
                <c:pt idx="784">
                  <c:v>146</c:v>
                </c:pt>
                <c:pt idx="785">
                  <c:v>146</c:v>
                </c:pt>
                <c:pt idx="786">
                  <c:v>146</c:v>
                </c:pt>
                <c:pt idx="787">
                  <c:v>146</c:v>
                </c:pt>
                <c:pt idx="788">
                  <c:v>146</c:v>
                </c:pt>
                <c:pt idx="789">
                  <c:v>146</c:v>
                </c:pt>
                <c:pt idx="790">
                  <c:v>146</c:v>
                </c:pt>
                <c:pt idx="791">
                  <c:v>146</c:v>
                </c:pt>
                <c:pt idx="792">
                  <c:v>146</c:v>
                </c:pt>
                <c:pt idx="793">
                  <c:v>146</c:v>
                </c:pt>
                <c:pt idx="794">
                  <c:v>146</c:v>
                </c:pt>
                <c:pt idx="795">
                  <c:v>146</c:v>
                </c:pt>
                <c:pt idx="796">
                  <c:v>146</c:v>
                </c:pt>
                <c:pt idx="797">
                  <c:v>146</c:v>
                </c:pt>
                <c:pt idx="798">
                  <c:v>146</c:v>
                </c:pt>
                <c:pt idx="799">
                  <c:v>150</c:v>
                </c:pt>
                <c:pt idx="800">
                  <c:v>150</c:v>
                </c:pt>
                <c:pt idx="801">
                  <c:v>150</c:v>
                </c:pt>
                <c:pt idx="802">
                  <c:v>150</c:v>
                </c:pt>
                <c:pt idx="803">
                  <c:v>150</c:v>
                </c:pt>
                <c:pt idx="804">
                  <c:v>150</c:v>
                </c:pt>
                <c:pt idx="805">
                  <c:v>150</c:v>
                </c:pt>
                <c:pt idx="806">
                  <c:v>150</c:v>
                </c:pt>
                <c:pt idx="807">
                  <c:v>150</c:v>
                </c:pt>
                <c:pt idx="808">
                  <c:v>150</c:v>
                </c:pt>
                <c:pt idx="809">
                  <c:v>150</c:v>
                </c:pt>
                <c:pt idx="810">
                  <c:v>150</c:v>
                </c:pt>
                <c:pt idx="811">
                  <c:v>150</c:v>
                </c:pt>
                <c:pt idx="812">
                  <c:v>150</c:v>
                </c:pt>
                <c:pt idx="813">
                  <c:v>150</c:v>
                </c:pt>
                <c:pt idx="814">
                  <c:v>150</c:v>
                </c:pt>
                <c:pt idx="815">
                  <c:v>150</c:v>
                </c:pt>
                <c:pt idx="816">
                  <c:v>150</c:v>
                </c:pt>
                <c:pt idx="817">
                  <c:v>150</c:v>
                </c:pt>
                <c:pt idx="818">
                  <c:v>150</c:v>
                </c:pt>
                <c:pt idx="819">
                  <c:v>155</c:v>
                </c:pt>
                <c:pt idx="820">
                  <c:v>155</c:v>
                </c:pt>
                <c:pt idx="821">
                  <c:v>155</c:v>
                </c:pt>
                <c:pt idx="822">
                  <c:v>155</c:v>
                </c:pt>
                <c:pt idx="823">
                  <c:v>155</c:v>
                </c:pt>
                <c:pt idx="824">
                  <c:v>155</c:v>
                </c:pt>
                <c:pt idx="825">
                  <c:v>155</c:v>
                </c:pt>
                <c:pt idx="826">
                  <c:v>155</c:v>
                </c:pt>
                <c:pt idx="827">
                  <c:v>155</c:v>
                </c:pt>
                <c:pt idx="828">
                  <c:v>155</c:v>
                </c:pt>
                <c:pt idx="829">
                  <c:v>155</c:v>
                </c:pt>
                <c:pt idx="830">
                  <c:v>155</c:v>
                </c:pt>
                <c:pt idx="831">
                  <c:v>155</c:v>
                </c:pt>
                <c:pt idx="832">
                  <c:v>155</c:v>
                </c:pt>
                <c:pt idx="833">
                  <c:v>155</c:v>
                </c:pt>
                <c:pt idx="834">
                  <c:v>155</c:v>
                </c:pt>
                <c:pt idx="835">
                  <c:v>155</c:v>
                </c:pt>
                <c:pt idx="836">
                  <c:v>155</c:v>
                </c:pt>
                <c:pt idx="837">
                  <c:v>155</c:v>
                </c:pt>
                <c:pt idx="838">
                  <c:v>155</c:v>
                </c:pt>
                <c:pt idx="839">
                  <c:v>160</c:v>
                </c:pt>
                <c:pt idx="840">
                  <c:v>160</c:v>
                </c:pt>
                <c:pt idx="841">
                  <c:v>160</c:v>
                </c:pt>
                <c:pt idx="842">
                  <c:v>160</c:v>
                </c:pt>
                <c:pt idx="843">
                  <c:v>160</c:v>
                </c:pt>
                <c:pt idx="844">
                  <c:v>160</c:v>
                </c:pt>
                <c:pt idx="845">
                  <c:v>160</c:v>
                </c:pt>
                <c:pt idx="846">
                  <c:v>160</c:v>
                </c:pt>
                <c:pt idx="847">
                  <c:v>160</c:v>
                </c:pt>
                <c:pt idx="848">
                  <c:v>160</c:v>
                </c:pt>
                <c:pt idx="849">
                  <c:v>160</c:v>
                </c:pt>
                <c:pt idx="850">
                  <c:v>160</c:v>
                </c:pt>
                <c:pt idx="851">
                  <c:v>160</c:v>
                </c:pt>
                <c:pt idx="852">
                  <c:v>160</c:v>
                </c:pt>
                <c:pt idx="853">
                  <c:v>160</c:v>
                </c:pt>
                <c:pt idx="854">
                  <c:v>160</c:v>
                </c:pt>
                <c:pt idx="855">
                  <c:v>160</c:v>
                </c:pt>
                <c:pt idx="856">
                  <c:v>160</c:v>
                </c:pt>
                <c:pt idx="857">
                  <c:v>160</c:v>
                </c:pt>
                <c:pt idx="858">
                  <c:v>160</c:v>
                </c:pt>
                <c:pt idx="859">
                  <c:v>165</c:v>
                </c:pt>
                <c:pt idx="860">
                  <c:v>165</c:v>
                </c:pt>
                <c:pt idx="861">
                  <c:v>165</c:v>
                </c:pt>
                <c:pt idx="862">
                  <c:v>165</c:v>
                </c:pt>
                <c:pt idx="863">
                  <c:v>165</c:v>
                </c:pt>
                <c:pt idx="864">
                  <c:v>165</c:v>
                </c:pt>
                <c:pt idx="865">
                  <c:v>165</c:v>
                </c:pt>
                <c:pt idx="866">
                  <c:v>165</c:v>
                </c:pt>
                <c:pt idx="867">
                  <c:v>165</c:v>
                </c:pt>
                <c:pt idx="868">
                  <c:v>165</c:v>
                </c:pt>
                <c:pt idx="869">
                  <c:v>165</c:v>
                </c:pt>
                <c:pt idx="870">
                  <c:v>165</c:v>
                </c:pt>
                <c:pt idx="871">
                  <c:v>165</c:v>
                </c:pt>
                <c:pt idx="872">
                  <c:v>165</c:v>
                </c:pt>
                <c:pt idx="873">
                  <c:v>165</c:v>
                </c:pt>
                <c:pt idx="874">
                  <c:v>165</c:v>
                </c:pt>
                <c:pt idx="875">
                  <c:v>165</c:v>
                </c:pt>
                <c:pt idx="876">
                  <c:v>165</c:v>
                </c:pt>
                <c:pt idx="877">
                  <c:v>165</c:v>
                </c:pt>
                <c:pt idx="878">
                  <c:v>165</c:v>
                </c:pt>
                <c:pt idx="879">
                  <c:v>170</c:v>
                </c:pt>
                <c:pt idx="880">
                  <c:v>170</c:v>
                </c:pt>
                <c:pt idx="881">
                  <c:v>170</c:v>
                </c:pt>
                <c:pt idx="882">
                  <c:v>170</c:v>
                </c:pt>
                <c:pt idx="883">
                  <c:v>170</c:v>
                </c:pt>
                <c:pt idx="884">
                  <c:v>170</c:v>
                </c:pt>
                <c:pt idx="885">
                  <c:v>170</c:v>
                </c:pt>
                <c:pt idx="886">
                  <c:v>170</c:v>
                </c:pt>
                <c:pt idx="887">
                  <c:v>170</c:v>
                </c:pt>
                <c:pt idx="888">
                  <c:v>170</c:v>
                </c:pt>
                <c:pt idx="889">
                  <c:v>170</c:v>
                </c:pt>
                <c:pt idx="890">
                  <c:v>170</c:v>
                </c:pt>
                <c:pt idx="891">
                  <c:v>170</c:v>
                </c:pt>
                <c:pt idx="892">
                  <c:v>170</c:v>
                </c:pt>
                <c:pt idx="893">
                  <c:v>170</c:v>
                </c:pt>
                <c:pt idx="894">
                  <c:v>170</c:v>
                </c:pt>
                <c:pt idx="895">
                  <c:v>170</c:v>
                </c:pt>
                <c:pt idx="896">
                  <c:v>170</c:v>
                </c:pt>
                <c:pt idx="897">
                  <c:v>170</c:v>
                </c:pt>
                <c:pt idx="898">
                  <c:v>170</c:v>
                </c:pt>
                <c:pt idx="899">
                  <c:v>175</c:v>
                </c:pt>
                <c:pt idx="900">
                  <c:v>175</c:v>
                </c:pt>
                <c:pt idx="901">
                  <c:v>175</c:v>
                </c:pt>
                <c:pt idx="902">
                  <c:v>175</c:v>
                </c:pt>
                <c:pt idx="903">
                  <c:v>175</c:v>
                </c:pt>
                <c:pt idx="904">
                  <c:v>175</c:v>
                </c:pt>
                <c:pt idx="905">
                  <c:v>175</c:v>
                </c:pt>
                <c:pt idx="906">
                  <c:v>175</c:v>
                </c:pt>
                <c:pt idx="907">
                  <c:v>175</c:v>
                </c:pt>
                <c:pt idx="908">
                  <c:v>175</c:v>
                </c:pt>
                <c:pt idx="909">
                  <c:v>175</c:v>
                </c:pt>
                <c:pt idx="910">
                  <c:v>175</c:v>
                </c:pt>
                <c:pt idx="911">
                  <c:v>175</c:v>
                </c:pt>
                <c:pt idx="912">
                  <c:v>175</c:v>
                </c:pt>
                <c:pt idx="913">
                  <c:v>175</c:v>
                </c:pt>
                <c:pt idx="914">
                  <c:v>175</c:v>
                </c:pt>
                <c:pt idx="915">
                  <c:v>175</c:v>
                </c:pt>
                <c:pt idx="916">
                  <c:v>175</c:v>
                </c:pt>
                <c:pt idx="917">
                  <c:v>175</c:v>
                </c:pt>
                <c:pt idx="918">
                  <c:v>175</c:v>
                </c:pt>
                <c:pt idx="919">
                  <c:v>180</c:v>
                </c:pt>
                <c:pt idx="920">
                  <c:v>180</c:v>
                </c:pt>
                <c:pt idx="921">
                  <c:v>180</c:v>
                </c:pt>
                <c:pt idx="922">
                  <c:v>180</c:v>
                </c:pt>
                <c:pt idx="923">
                  <c:v>180</c:v>
                </c:pt>
                <c:pt idx="924">
                  <c:v>180</c:v>
                </c:pt>
                <c:pt idx="925">
                  <c:v>180</c:v>
                </c:pt>
                <c:pt idx="926">
                  <c:v>180</c:v>
                </c:pt>
                <c:pt idx="927">
                  <c:v>180</c:v>
                </c:pt>
                <c:pt idx="928">
                  <c:v>180</c:v>
                </c:pt>
                <c:pt idx="929">
                  <c:v>180</c:v>
                </c:pt>
                <c:pt idx="930">
                  <c:v>180</c:v>
                </c:pt>
                <c:pt idx="931">
                  <c:v>180</c:v>
                </c:pt>
                <c:pt idx="932">
                  <c:v>180</c:v>
                </c:pt>
                <c:pt idx="933">
                  <c:v>180</c:v>
                </c:pt>
                <c:pt idx="934">
                  <c:v>180</c:v>
                </c:pt>
                <c:pt idx="935">
                  <c:v>180</c:v>
                </c:pt>
                <c:pt idx="936">
                  <c:v>180</c:v>
                </c:pt>
                <c:pt idx="937">
                  <c:v>180</c:v>
                </c:pt>
                <c:pt idx="938">
                  <c:v>180</c:v>
                </c:pt>
                <c:pt idx="939">
                  <c:v>185</c:v>
                </c:pt>
                <c:pt idx="940">
                  <c:v>185</c:v>
                </c:pt>
                <c:pt idx="941">
                  <c:v>185</c:v>
                </c:pt>
                <c:pt idx="942">
                  <c:v>185</c:v>
                </c:pt>
                <c:pt idx="943">
                  <c:v>185</c:v>
                </c:pt>
                <c:pt idx="944">
                  <c:v>185</c:v>
                </c:pt>
                <c:pt idx="945">
                  <c:v>185</c:v>
                </c:pt>
                <c:pt idx="946">
                  <c:v>185</c:v>
                </c:pt>
                <c:pt idx="947">
                  <c:v>185</c:v>
                </c:pt>
                <c:pt idx="948">
                  <c:v>185</c:v>
                </c:pt>
                <c:pt idx="949">
                  <c:v>185</c:v>
                </c:pt>
                <c:pt idx="950">
                  <c:v>185</c:v>
                </c:pt>
                <c:pt idx="951">
                  <c:v>185</c:v>
                </c:pt>
                <c:pt idx="952">
                  <c:v>185</c:v>
                </c:pt>
                <c:pt idx="953">
                  <c:v>185</c:v>
                </c:pt>
                <c:pt idx="954">
                  <c:v>185</c:v>
                </c:pt>
                <c:pt idx="955">
                  <c:v>185</c:v>
                </c:pt>
                <c:pt idx="956">
                  <c:v>185</c:v>
                </c:pt>
                <c:pt idx="957">
                  <c:v>185</c:v>
                </c:pt>
                <c:pt idx="958">
                  <c:v>185</c:v>
                </c:pt>
                <c:pt idx="959">
                  <c:v>190</c:v>
                </c:pt>
                <c:pt idx="960">
                  <c:v>190</c:v>
                </c:pt>
                <c:pt idx="961">
                  <c:v>190</c:v>
                </c:pt>
                <c:pt idx="962">
                  <c:v>190</c:v>
                </c:pt>
                <c:pt idx="963">
                  <c:v>190</c:v>
                </c:pt>
                <c:pt idx="964">
                  <c:v>190</c:v>
                </c:pt>
                <c:pt idx="965">
                  <c:v>190</c:v>
                </c:pt>
                <c:pt idx="966">
                  <c:v>190</c:v>
                </c:pt>
                <c:pt idx="967">
                  <c:v>190</c:v>
                </c:pt>
                <c:pt idx="968">
                  <c:v>190</c:v>
                </c:pt>
                <c:pt idx="969">
                  <c:v>190</c:v>
                </c:pt>
                <c:pt idx="970">
                  <c:v>190</c:v>
                </c:pt>
                <c:pt idx="971">
                  <c:v>190</c:v>
                </c:pt>
                <c:pt idx="972">
                  <c:v>190</c:v>
                </c:pt>
                <c:pt idx="973">
                  <c:v>190</c:v>
                </c:pt>
                <c:pt idx="974">
                  <c:v>190</c:v>
                </c:pt>
                <c:pt idx="975">
                  <c:v>190</c:v>
                </c:pt>
                <c:pt idx="976">
                  <c:v>190</c:v>
                </c:pt>
                <c:pt idx="977">
                  <c:v>190</c:v>
                </c:pt>
                <c:pt idx="978">
                  <c:v>190</c:v>
                </c:pt>
                <c:pt idx="979">
                  <c:v>195</c:v>
                </c:pt>
                <c:pt idx="980">
                  <c:v>195</c:v>
                </c:pt>
                <c:pt idx="981">
                  <c:v>195</c:v>
                </c:pt>
                <c:pt idx="982">
                  <c:v>195</c:v>
                </c:pt>
                <c:pt idx="983">
                  <c:v>195</c:v>
                </c:pt>
                <c:pt idx="984">
                  <c:v>195</c:v>
                </c:pt>
                <c:pt idx="985">
                  <c:v>195</c:v>
                </c:pt>
                <c:pt idx="986">
                  <c:v>195</c:v>
                </c:pt>
                <c:pt idx="987">
                  <c:v>195</c:v>
                </c:pt>
                <c:pt idx="988">
                  <c:v>195</c:v>
                </c:pt>
                <c:pt idx="989">
                  <c:v>195</c:v>
                </c:pt>
                <c:pt idx="990">
                  <c:v>195</c:v>
                </c:pt>
                <c:pt idx="991">
                  <c:v>195</c:v>
                </c:pt>
                <c:pt idx="992">
                  <c:v>195</c:v>
                </c:pt>
                <c:pt idx="993">
                  <c:v>195</c:v>
                </c:pt>
                <c:pt idx="994">
                  <c:v>195</c:v>
                </c:pt>
                <c:pt idx="995">
                  <c:v>195</c:v>
                </c:pt>
                <c:pt idx="996">
                  <c:v>195</c:v>
                </c:pt>
                <c:pt idx="997">
                  <c:v>195</c:v>
                </c:pt>
                <c:pt idx="998">
                  <c:v>195</c:v>
                </c:pt>
                <c:pt idx="999">
                  <c:v>200</c:v>
                </c:pt>
                <c:pt idx="1000">
                  <c:v>200</c:v>
                </c:pt>
                <c:pt idx="1001">
                  <c:v>200</c:v>
                </c:pt>
                <c:pt idx="1002">
                  <c:v>200</c:v>
                </c:pt>
                <c:pt idx="1003">
                  <c:v>200</c:v>
                </c:pt>
                <c:pt idx="1004">
                  <c:v>200</c:v>
                </c:pt>
                <c:pt idx="1005">
                  <c:v>200</c:v>
                </c:pt>
                <c:pt idx="1006">
                  <c:v>200</c:v>
                </c:pt>
                <c:pt idx="1007">
                  <c:v>200</c:v>
                </c:pt>
                <c:pt idx="1008">
                  <c:v>200</c:v>
                </c:pt>
                <c:pt idx="1009">
                  <c:v>200</c:v>
                </c:pt>
                <c:pt idx="1010">
                  <c:v>200</c:v>
                </c:pt>
                <c:pt idx="1011">
                  <c:v>200</c:v>
                </c:pt>
                <c:pt idx="1012">
                  <c:v>200</c:v>
                </c:pt>
                <c:pt idx="1013">
                  <c:v>200</c:v>
                </c:pt>
                <c:pt idx="1014">
                  <c:v>200</c:v>
                </c:pt>
                <c:pt idx="1015">
                  <c:v>200</c:v>
                </c:pt>
                <c:pt idx="1016">
                  <c:v>200</c:v>
                </c:pt>
                <c:pt idx="1017">
                  <c:v>200</c:v>
                </c:pt>
                <c:pt idx="1018">
                  <c:v>200</c:v>
                </c:pt>
                <c:pt idx="1019">
                  <c:v>205</c:v>
                </c:pt>
                <c:pt idx="1020">
                  <c:v>205</c:v>
                </c:pt>
                <c:pt idx="1021">
                  <c:v>205</c:v>
                </c:pt>
                <c:pt idx="1022">
                  <c:v>205</c:v>
                </c:pt>
                <c:pt idx="1023">
                  <c:v>205</c:v>
                </c:pt>
                <c:pt idx="1024">
                  <c:v>205</c:v>
                </c:pt>
                <c:pt idx="1025">
                  <c:v>205</c:v>
                </c:pt>
                <c:pt idx="1026">
                  <c:v>205</c:v>
                </c:pt>
                <c:pt idx="1027">
                  <c:v>205</c:v>
                </c:pt>
                <c:pt idx="1028">
                  <c:v>205</c:v>
                </c:pt>
                <c:pt idx="1029">
                  <c:v>205</c:v>
                </c:pt>
                <c:pt idx="1030">
                  <c:v>205</c:v>
                </c:pt>
                <c:pt idx="1031">
                  <c:v>205</c:v>
                </c:pt>
                <c:pt idx="1032">
                  <c:v>205</c:v>
                </c:pt>
                <c:pt idx="1033">
                  <c:v>205</c:v>
                </c:pt>
                <c:pt idx="1034">
                  <c:v>205</c:v>
                </c:pt>
                <c:pt idx="1035">
                  <c:v>205</c:v>
                </c:pt>
                <c:pt idx="1036">
                  <c:v>205</c:v>
                </c:pt>
                <c:pt idx="1037">
                  <c:v>205</c:v>
                </c:pt>
                <c:pt idx="1038">
                  <c:v>205</c:v>
                </c:pt>
                <c:pt idx="1039">
                  <c:v>210</c:v>
                </c:pt>
                <c:pt idx="1040">
                  <c:v>210</c:v>
                </c:pt>
                <c:pt idx="1041">
                  <c:v>210</c:v>
                </c:pt>
                <c:pt idx="1042">
                  <c:v>210</c:v>
                </c:pt>
                <c:pt idx="1043">
                  <c:v>210</c:v>
                </c:pt>
                <c:pt idx="1044">
                  <c:v>210</c:v>
                </c:pt>
                <c:pt idx="1045">
                  <c:v>210</c:v>
                </c:pt>
                <c:pt idx="1046">
                  <c:v>210</c:v>
                </c:pt>
                <c:pt idx="1047">
                  <c:v>210</c:v>
                </c:pt>
                <c:pt idx="1048">
                  <c:v>210</c:v>
                </c:pt>
                <c:pt idx="1049">
                  <c:v>210</c:v>
                </c:pt>
                <c:pt idx="1050">
                  <c:v>210</c:v>
                </c:pt>
                <c:pt idx="1051">
                  <c:v>210</c:v>
                </c:pt>
                <c:pt idx="1052">
                  <c:v>210</c:v>
                </c:pt>
                <c:pt idx="1053">
                  <c:v>210</c:v>
                </c:pt>
                <c:pt idx="1054">
                  <c:v>210</c:v>
                </c:pt>
                <c:pt idx="1055">
                  <c:v>210</c:v>
                </c:pt>
                <c:pt idx="1056">
                  <c:v>210</c:v>
                </c:pt>
                <c:pt idx="1057">
                  <c:v>210</c:v>
                </c:pt>
                <c:pt idx="1058">
                  <c:v>210</c:v>
                </c:pt>
                <c:pt idx="1059">
                  <c:v>215</c:v>
                </c:pt>
                <c:pt idx="1060">
                  <c:v>215</c:v>
                </c:pt>
                <c:pt idx="1061">
                  <c:v>215</c:v>
                </c:pt>
                <c:pt idx="1062">
                  <c:v>215</c:v>
                </c:pt>
                <c:pt idx="1063">
                  <c:v>215</c:v>
                </c:pt>
                <c:pt idx="1064">
                  <c:v>215</c:v>
                </c:pt>
                <c:pt idx="1065">
                  <c:v>215</c:v>
                </c:pt>
                <c:pt idx="1066">
                  <c:v>215</c:v>
                </c:pt>
                <c:pt idx="1067">
                  <c:v>215</c:v>
                </c:pt>
                <c:pt idx="1068">
                  <c:v>215</c:v>
                </c:pt>
                <c:pt idx="1069">
                  <c:v>215</c:v>
                </c:pt>
                <c:pt idx="1070">
                  <c:v>215</c:v>
                </c:pt>
                <c:pt idx="1071">
                  <c:v>215</c:v>
                </c:pt>
                <c:pt idx="1072">
                  <c:v>215</c:v>
                </c:pt>
                <c:pt idx="1073">
                  <c:v>215</c:v>
                </c:pt>
                <c:pt idx="1074">
                  <c:v>215</c:v>
                </c:pt>
                <c:pt idx="1075">
                  <c:v>215</c:v>
                </c:pt>
                <c:pt idx="1076">
                  <c:v>215</c:v>
                </c:pt>
                <c:pt idx="1077">
                  <c:v>215</c:v>
                </c:pt>
                <c:pt idx="1078">
                  <c:v>215</c:v>
                </c:pt>
                <c:pt idx="1079">
                  <c:v>220</c:v>
                </c:pt>
                <c:pt idx="1080">
                  <c:v>220</c:v>
                </c:pt>
                <c:pt idx="1081">
                  <c:v>220</c:v>
                </c:pt>
                <c:pt idx="1082">
                  <c:v>220</c:v>
                </c:pt>
                <c:pt idx="1083">
                  <c:v>220</c:v>
                </c:pt>
                <c:pt idx="1084">
                  <c:v>220</c:v>
                </c:pt>
                <c:pt idx="1085">
                  <c:v>220</c:v>
                </c:pt>
                <c:pt idx="1086">
                  <c:v>220</c:v>
                </c:pt>
                <c:pt idx="1087">
                  <c:v>220</c:v>
                </c:pt>
                <c:pt idx="1088">
                  <c:v>220</c:v>
                </c:pt>
                <c:pt idx="1089">
                  <c:v>220</c:v>
                </c:pt>
                <c:pt idx="1090">
                  <c:v>220</c:v>
                </c:pt>
                <c:pt idx="1091">
                  <c:v>220</c:v>
                </c:pt>
                <c:pt idx="1092">
                  <c:v>220</c:v>
                </c:pt>
                <c:pt idx="1093">
                  <c:v>220</c:v>
                </c:pt>
                <c:pt idx="1094">
                  <c:v>220</c:v>
                </c:pt>
                <c:pt idx="1095">
                  <c:v>220</c:v>
                </c:pt>
                <c:pt idx="1096">
                  <c:v>220</c:v>
                </c:pt>
                <c:pt idx="1097">
                  <c:v>220</c:v>
                </c:pt>
                <c:pt idx="1098">
                  <c:v>220</c:v>
                </c:pt>
                <c:pt idx="1099">
                  <c:v>225</c:v>
                </c:pt>
                <c:pt idx="1100">
                  <c:v>225</c:v>
                </c:pt>
                <c:pt idx="1101">
                  <c:v>225</c:v>
                </c:pt>
                <c:pt idx="1102">
                  <c:v>225</c:v>
                </c:pt>
                <c:pt idx="1103">
                  <c:v>225</c:v>
                </c:pt>
                <c:pt idx="1104">
                  <c:v>225</c:v>
                </c:pt>
                <c:pt idx="1105">
                  <c:v>225</c:v>
                </c:pt>
                <c:pt idx="1106">
                  <c:v>225</c:v>
                </c:pt>
                <c:pt idx="1107">
                  <c:v>225</c:v>
                </c:pt>
                <c:pt idx="1108">
                  <c:v>225</c:v>
                </c:pt>
                <c:pt idx="1109">
                  <c:v>225</c:v>
                </c:pt>
                <c:pt idx="1110">
                  <c:v>225</c:v>
                </c:pt>
                <c:pt idx="1111">
                  <c:v>225</c:v>
                </c:pt>
                <c:pt idx="1112">
                  <c:v>225</c:v>
                </c:pt>
                <c:pt idx="1113">
                  <c:v>225</c:v>
                </c:pt>
                <c:pt idx="1114">
                  <c:v>225</c:v>
                </c:pt>
                <c:pt idx="1115">
                  <c:v>225</c:v>
                </c:pt>
                <c:pt idx="1116">
                  <c:v>225</c:v>
                </c:pt>
                <c:pt idx="1117">
                  <c:v>225</c:v>
                </c:pt>
                <c:pt idx="1118">
                  <c:v>225</c:v>
                </c:pt>
                <c:pt idx="1119">
                  <c:v>230</c:v>
                </c:pt>
                <c:pt idx="1120">
                  <c:v>230</c:v>
                </c:pt>
                <c:pt idx="1121">
                  <c:v>230</c:v>
                </c:pt>
                <c:pt idx="1122">
                  <c:v>230</c:v>
                </c:pt>
                <c:pt idx="1123">
                  <c:v>230</c:v>
                </c:pt>
                <c:pt idx="1124">
                  <c:v>230</c:v>
                </c:pt>
                <c:pt idx="1125">
                  <c:v>230</c:v>
                </c:pt>
                <c:pt idx="1126">
                  <c:v>230</c:v>
                </c:pt>
                <c:pt idx="1127">
                  <c:v>230</c:v>
                </c:pt>
                <c:pt idx="1128">
                  <c:v>230</c:v>
                </c:pt>
                <c:pt idx="1129">
                  <c:v>230</c:v>
                </c:pt>
                <c:pt idx="1130">
                  <c:v>230</c:v>
                </c:pt>
                <c:pt idx="1131">
                  <c:v>230</c:v>
                </c:pt>
                <c:pt idx="1132">
                  <c:v>230</c:v>
                </c:pt>
                <c:pt idx="1133">
                  <c:v>230</c:v>
                </c:pt>
                <c:pt idx="1134">
                  <c:v>230</c:v>
                </c:pt>
                <c:pt idx="1135">
                  <c:v>230</c:v>
                </c:pt>
                <c:pt idx="1136">
                  <c:v>230</c:v>
                </c:pt>
                <c:pt idx="1137">
                  <c:v>230</c:v>
                </c:pt>
                <c:pt idx="1138">
                  <c:v>230</c:v>
                </c:pt>
                <c:pt idx="1139">
                  <c:v>235</c:v>
                </c:pt>
                <c:pt idx="1140">
                  <c:v>235</c:v>
                </c:pt>
                <c:pt idx="1141">
                  <c:v>235</c:v>
                </c:pt>
                <c:pt idx="1142">
                  <c:v>235</c:v>
                </c:pt>
                <c:pt idx="1143">
                  <c:v>235</c:v>
                </c:pt>
                <c:pt idx="1144">
                  <c:v>235</c:v>
                </c:pt>
                <c:pt idx="1145">
                  <c:v>235</c:v>
                </c:pt>
                <c:pt idx="1146">
                  <c:v>235</c:v>
                </c:pt>
                <c:pt idx="1147">
                  <c:v>235</c:v>
                </c:pt>
                <c:pt idx="1148">
                  <c:v>235</c:v>
                </c:pt>
                <c:pt idx="1149">
                  <c:v>235</c:v>
                </c:pt>
                <c:pt idx="1150">
                  <c:v>235</c:v>
                </c:pt>
                <c:pt idx="1151">
                  <c:v>235</c:v>
                </c:pt>
                <c:pt idx="1152">
                  <c:v>235</c:v>
                </c:pt>
                <c:pt idx="1153">
                  <c:v>235</c:v>
                </c:pt>
                <c:pt idx="1154">
                  <c:v>235</c:v>
                </c:pt>
                <c:pt idx="1155">
                  <c:v>235</c:v>
                </c:pt>
                <c:pt idx="1156">
                  <c:v>235</c:v>
                </c:pt>
                <c:pt idx="1157">
                  <c:v>235</c:v>
                </c:pt>
                <c:pt idx="1158">
                  <c:v>235</c:v>
                </c:pt>
                <c:pt idx="1159">
                  <c:v>240</c:v>
                </c:pt>
                <c:pt idx="1160">
                  <c:v>240</c:v>
                </c:pt>
                <c:pt idx="1161">
                  <c:v>240</c:v>
                </c:pt>
                <c:pt idx="1162">
                  <c:v>240</c:v>
                </c:pt>
                <c:pt idx="1163">
                  <c:v>240</c:v>
                </c:pt>
                <c:pt idx="1164">
                  <c:v>240</c:v>
                </c:pt>
                <c:pt idx="1165">
                  <c:v>240</c:v>
                </c:pt>
                <c:pt idx="1166">
                  <c:v>240</c:v>
                </c:pt>
                <c:pt idx="1167">
                  <c:v>240</c:v>
                </c:pt>
                <c:pt idx="1168">
                  <c:v>240</c:v>
                </c:pt>
                <c:pt idx="1169">
                  <c:v>240</c:v>
                </c:pt>
                <c:pt idx="1170">
                  <c:v>240</c:v>
                </c:pt>
                <c:pt idx="1171">
                  <c:v>240</c:v>
                </c:pt>
                <c:pt idx="1172">
                  <c:v>240</c:v>
                </c:pt>
                <c:pt idx="1173">
                  <c:v>240</c:v>
                </c:pt>
                <c:pt idx="1174">
                  <c:v>240</c:v>
                </c:pt>
                <c:pt idx="1175">
                  <c:v>240</c:v>
                </c:pt>
                <c:pt idx="1176">
                  <c:v>240</c:v>
                </c:pt>
                <c:pt idx="1177">
                  <c:v>240</c:v>
                </c:pt>
                <c:pt idx="1178">
                  <c:v>240</c:v>
                </c:pt>
                <c:pt idx="1179">
                  <c:v>245</c:v>
                </c:pt>
                <c:pt idx="1180">
                  <c:v>245</c:v>
                </c:pt>
                <c:pt idx="1181">
                  <c:v>245</c:v>
                </c:pt>
                <c:pt idx="1182">
                  <c:v>245</c:v>
                </c:pt>
                <c:pt idx="1183">
                  <c:v>245</c:v>
                </c:pt>
                <c:pt idx="1184">
                  <c:v>245</c:v>
                </c:pt>
                <c:pt idx="1185">
                  <c:v>245</c:v>
                </c:pt>
                <c:pt idx="1186">
                  <c:v>245</c:v>
                </c:pt>
                <c:pt idx="1187">
                  <c:v>245</c:v>
                </c:pt>
                <c:pt idx="1188">
                  <c:v>245</c:v>
                </c:pt>
                <c:pt idx="1189">
                  <c:v>245</c:v>
                </c:pt>
                <c:pt idx="1190">
                  <c:v>245</c:v>
                </c:pt>
                <c:pt idx="1191">
                  <c:v>245</c:v>
                </c:pt>
                <c:pt idx="1192">
                  <c:v>245</c:v>
                </c:pt>
                <c:pt idx="1193">
                  <c:v>245</c:v>
                </c:pt>
                <c:pt idx="1194">
                  <c:v>245</c:v>
                </c:pt>
                <c:pt idx="1195">
                  <c:v>245</c:v>
                </c:pt>
                <c:pt idx="1196">
                  <c:v>245</c:v>
                </c:pt>
                <c:pt idx="1197">
                  <c:v>245</c:v>
                </c:pt>
                <c:pt idx="1198">
                  <c:v>245</c:v>
                </c:pt>
                <c:pt idx="1199">
                  <c:v>250</c:v>
                </c:pt>
                <c:pt idx="1200">
                  <c:v>250</c:v>
                </c:pt>
                <c:pt idx="1201">
                  <c:v>250</c:v>
                </c:pt>
                <c:pt idx="1202">
                  <c:v>250</c:v>
                </c:pt>
                <c:pt idx="1203">
                  <c:v>250</c:v>
                </c:pt>
                <c:pt idx="1204">
                  <c:v>250</c:v>
                </c:pt>
                <c:pt idx="1205">
                  <c:v>250</c:v>
                </c:pt>
                <c:pt idx="1206">
                  <c:v>250</c:v>
                </c:pt>
                <c:pt idx="1207">
                  <c:v>250</c:v>
                </c:pt>
                <c:pt idx="1208">
                  <c:v>250</c:v>
                </c:pt>
                <c:pt idx="1209">
                  <c:v>250</c:v>
                </c:pt>
                <c:pt idx="1210">
                  <c:v>250</c:v>
                </c:pt>
                <c:pt idx="1211">
                  <c:v>250</c:v>
                </c:pt>
                <c:pt idx="1212">
                  <c:v>250</c:v>
                </c:pt>
                <c:pt idx="1213">
                  <c:v>250</c:v>
                </c:pt>
                <c:pt idx="1214">
                  <c:v>250</c:v>
                </c:pt>
                <c:pt idx="1215">
                  <c:v>250</c:v>
                </c:pt>
                <c:pt idx="1216">
                  <c:v>250</c:v>
                </c:pt>
                <c:pt idx="1217">
                  <c:v>250</c:v>
                </c:pt>
                <c:pt idx="1218">
                  <c:v>250</c:v>
                </c:pt>
                <c:pt idx="1219">
                  <c:v>255</c:v>
                </c:pt>
                <c:pt idx="1220">
                  <c:v>255</c:v>
                </c:pt>
                <c:pt idx="1221">
                  <c:v>255</c:v>
                </c:pt>
                <c:pt idx="1222">
                  <c:v>255</c:v>
                </c:pt>
                <c:pt idx="1223">
                  <c:v>255</c:v>
                </c:pt>
                <c:pt idx="1224">
                  <c:v>255</c:v>
                </c:pt>
                <c:pt idx="1225">
                  <c:v>255</c:v>
                </c:pt>
                <c:pt idx="1226">
                  <c:v>255</c:v>
                </c:pt>
                <c:pt idx="1227">
                  <c:v>255</c:v>
                </c:pt>
                <c:pt idx="1228">
                  <c:v>255</c:v>
                </c:pt>
                <c:pt idx="1229">
                  <c:v>255</c:v>
                </c:pt>
                <c:pt idx="1230">
                  <c:v>255</c:v>
                </c:pt>
                <c:pt idx="1231">
                  <c:v>255</c:v>
                </c:pt>
                <c:pt idx="1232">
                  <c:v>255</c:v>
                </c:pt>
                <c:pt idx="1233">
                  <c:v>255</c:v>
                </c:pt>
                <c:pt idx="1234">
                  <c:v>255</c:v>
                </c:pt>
                <c:pt idx="1235">
                  <c:v>255</c:v>
                </c:pt>
                <c:pt idx="1236">
                  <c:v>255</c:v>
                </c:pt>
                <c:pt idx="1237">
                  <c:v>255</c:v>
                </c:pt>
                <c:pt idx="1238">
                  <c:v>255</c:v>
                </c:pt>
                <c:pt idx="1239">
                  <c:v>260</c:v>
                </c:pt>
                <c:pt idx="1240">
                  <c:v>260</c:v>
                </c:pt>
                <c:pt idx="1241">
                  <c:v>260</c:v>
                </c:pt>
                <c:pt idx="1242">
                  <c:v>260</c:v>
                </c:pt>
                <c:pt idx="1243">
                  <c:v>260</c:v>
                </c:pt>
                <c:pt idx="1244">
                  <c:v>260</c:v>
                </c:pt>
                <c:pt idx="1245">
                  <c:v>260</c:v>
                </c:pt>
                <c:pt idx="1246">
                  <c:v>260</c:v>
                </c:pt>
                <c:pt idx="1247">
                  <c:v>260</c:v>
                </c:pt>
                <c:pt idx="1248">
                  <c:v>260</c:v>
                </c:pt>
                <c:pt idx="1249">
                  <c:v>260</c:v>
                </c:pt>
                <c:pt idx="1250">
                  <c:v>260</c:v>
                </c:pt>
                <c:pt idx="1251">
                  <c:v>260</c:v>
                </c:pt>
                <c:pt idx="1252">
                  <c:v>260</c:v>
                </c:pt>
                <c:pt idx="1253">
                  <c:v>260</c:v>
                </c:pt>
                <c:pt idx="1254">
                  <c:v>260</c:v>
                </c:pt>
                <c:pt idx="1255">
                  <c:v>260</c:v>
                </c:pt>
                <c:pt idx="1256">
                  <c:v>260</c:v>
                </c:pt>
                <c:pt idx="1257">
                  <c:v>260</c:v>
                </c:pt>
                <c:pt idx="1258">
                  <c:v>260</c:v>
                </c:pt>
                <c:pt idx="1259">
                  <c:v>265</c:v>
                </c:pt>
                <c:pt idx="1260">
                  <c:v>265</c:v>
                </c:pt>
                <c:pt idx="1261">
                  <c:v>265</c:v>
                </c:pt>
                <c:pt idx="1262">
                  <c:v>265</c:v>
                </c:pt>
                <c:pt idx="1263">
                  <c:v>265</c:v>
                </c:pt>
                <c:pt idx="1264">
                  <c:v>265</c:v>
                </c:pt>
                <c:pt idx="1265">
                  <c:v>265</c:v>
                </c:pt>
                <c:pt idx="1266">
                  <c:v>265</c:v>
                </c:pt>
                <c:pt idx="1267">
                  <c:v>265</c:v>
                </c:pt>
                <c:pt idx="1268">
                  <c:v>265</c:v>
                </c:pt>
                <c:pt idx="1269">
                  <c:v>265</c:v>
                </c:pt>
                <c:pt idx="1270">
                  <c:v>265</c:v>
                </c:pt>
                <c:pt idx="1271">
                  <c:v>265</c:v>
                </c:pt>
                <c:pt idx="1272">
                  <c:v>265</c:v>
                </c:pt>
                <c:pt idx="1273">
                  <c:v>265</c:v>
                </c:pt>
                <c:pt idx="1274">
                  <c:v>265</c:v>
                </c:pt>
                <c:pt idx="1275">
                  <c:v>265</c:v>
                </c:pt>
                <c:pt idx="1276">
                  <c:v>265</c:v>
                </c:pt>
                <c:pt idx="1277">
                  <c:v>265</c:v>
                </c:pt>
                <c:pt idx="1278">
                  <c:v>265</c:v>
                </c:pt>
                <c:pt idx="1279">
                  <c:v>270</c:v>
                </c:pt>
                <c:pt idx="1280">
                  <c:v>270</c:v>
                </c:pt>
                <c:pt idx="1281">
                  <c:v>270</c:v>
                </c:pt>
                <c:pt idx="1282">
                  <c:v>270</c:v>
                </c:pt>
                <c:pt idx="1283">
                  <c:v>270</c:v>
                </c:pt>
                <c:pt idx="1284">
                  <c:v>270</c:v>
                </c:pt>
                <c:pt idx="1285">
                  <c:v>270</c:v>
                </c:pt>
                <c:pt idx="1286">
                  <c:v>270</c:v>
                </c:pt>
                <c:pt idx="1287">
                  <c:v>270</c:v>
                </c:pt>
                <c:pt idx="1288">
                  <c:v>270</c:v>
                </c:pt>
                <c:pt idx="1289">
                  <c:v>270</c:v>
                </c:pt>
                <c:pt idx="1290">
                  <c:v>270</c:v>
                </c:pt>
                <c:pt idx="1291">
                  <c:v>270</c:v>
                </c:pt>
                <c:pt idx="1292">
                  <c:v>270</c:v>
                </c:pt>
                <c:pt idx="1293">
                  <c:v>270</c:v>
                </c:pt>
                <c:pt idx="1294">
                  <c:v>270</c:v>
                </c:pt>
                <c:pt idx="1295">
                  <c:v>270</c:v>
                </c:pt>
                <c:pt idx="1296">
                  <c:v>270</c:v>
                </c:pt>
                <c:pt idx="1297">
                  <c:v>270</c:v>
                </c:pt>
                <c:pt idx="1298">
                  <c:v>270</c:v>
                </c:pt>
                <c:pt idx="1299">
                  <c:v>275</c:v>
                </c:pt>
                <c:pt idx="1300">
                  <c:v>275</c:v>
                </c:pt>
                <c:pt idx="1301">
                  <c:v>275</c:v>
                </c:pt>
                <c:pt idx="1302">
                  <c:v>275</c:v>
                </c:pt>
                <c:pt idx="1303">
                  <c:v>275</c:v>
                </c:pt>
                <c:pt idx="1304">
                  <c:v>275</c:v>
                </c:pt>
                <c:pt idx="1305">
                  <c:v>275</c:v>
                </c:pt>
                <c:pt idx="1306">
                  <c:v>275</c:v>
                </c:pt>
                <c:pt idx="1307">
                  <c:v>275</c:v>
                </c:pt>
                <c:pt idx="1308">
                  <c:v>275</c:v>
                </c:pt>
                <c:pt idx="1309">
                  <c:v>275</c:v>
                </c:pt>
                <c:pt idx="1310">
                  <c:v>275</c:v>
                </c:pt>
                <c:pt idx="1311">
                  <c:v>275</c:v>
                </c:pt>
                <c:pt idx="1312">
                  <c:v>275</c:v>
                </c:pt>
                <c:pt idx="1313">
                  <c:v>275</c:v>
                </c:pt>
                <c:pt idx="1314">
                  <c:v>275</c:v>
                </c:pt>
                <c:pt idx="1315">
                  <c:v>275</c:v>
                </c:pt>
                <c:pt idx="1316">
                  <c:v>275</c:v>
                </c:pt>
                <c:pt idx="1317">
                  <c:v>275</c:v>
                </c:pt>
                <c:pt idx="1318">
                  <c:v>275</c:v>
                </c:pt>
                <c:pt idx="1319">
                  <c:v>280</c:v>
                </c:pt>
                <c:pt idx="1320">
                  <c:v>280</c:v>
                </c:pt>
                <c:pt idx="1321">
                  <c:v>280</c:v>
                </c:pt>
                <c:pt idx="1322">
                  <c:v>280</c:v>
                </c:pt>
                <c:pt idx="1323">
                  <c:v>280</c:v>
                </c:pt>
                <c:pt idx="1324">
                  <c:v>280</c:v>
                </c:pt>
                <c:pt idx="1325">
                  <c:v>280</c:v>
                </c:pt>
                <c:pt idx="1326">
                  <c:v>280</c:v>
                </c:pt>
                <c:pt idx="1327">
                  <c:v>280</c:v>
                </c:pt>
                <c:pt idx="1328">
                  <c:v>280</c:v>
                </c:pt>
                <c:pt idx="1329">
                  <c:v>280</c:v>
                </c:pt>
                <c:pt idx="1330">
                  <c:v>280</c:v>
                </c:pt>
                <c:pt idx="1331">
                  <c:v>280</c:v>
                </c:pt>
                <c:pt idx="1332">
                  <c:v>280</c:v>
                </c:pt>
                <c:pt idx="1333">
                  <c:v>280</c:v>
                </c:pt>
                <c:pt idx="1334">
                  <c:v>280</c:v>
                </c:pt>
                <c:pt idx="1335">
                  <c:v>280</c:v>
                </c:pt>
                <c:pt idx="1336">
                  <c:v>280</c:v>
                </c:pt>
                <c:pt idx="1337">
                  <c:v>280</c:v>
                </c:pt>
                <c:pt idx="1338">
                  <c:v>280</c:v>
                </c:pt>
                <c:pt idx="1339">
                  <c:v>285</c:v>
                </c:pt>
                <c:pt idx="1340">
                  <c:v>285</c:v>
                </c:pt>
                <c:pt idx="1341">
                  <c:v>285</c:v>
                </c:pt>
                <c:pt idx="1342">
                  <c:v>285</c:v>
                </c:pt>
                <c:pt idx="1343">
                  <c:v>285</c:v>
                </c:pt>
                <c:pt idx="1344">
                  <c:v>285</c:v>
                </c:pt>
                <c:pt idx="1345">
                  <c:v>285</c:v>
                </c:pt>
                <c:pt idx="1346">
                  <c:v>285</c:v>
                </c:pt>
                <c:pt idx="1347">
                  <c:v>285</c:v>
                </c:pt>
                <c:pt idx="1348">
                  <c:v>285</c:v>
                </c:pt>
                <c:pt idx="1349">
                  <c:v>285</c:v>
                </c:pt>
                <c:pt idx="1350">
                  <c:v>285</c:v>
                </c:pt>
                <c:pt idx="1351">
                  <c:v>285</c:v>
                </c:pt>
                <c:pt idx="1352">
                  <c:v>285</c:v>
                </c:pt>
                <c:pt idx="1353">
                  <c:v>285</c:v>
                </c:pt>
                <c:pt idx="1354">
                  <c:v>285</c:v>
                </c:pt>
                <c:pt idx="1355">
                  <c:v>285</c:v>
                </c:pt>
                <c:pt idx="1356">
                  <c:v>285</c:v>
                </c:pt>
                <c:pt idx="1357">
                  <c:v>285</c:v>
                </c:pt>
                <c:pt idx="1358">
                  <c:v>285</c:v>
                </c:pt>
                <c:pt idx="1359">
                  <c:v>290</c:v>
                </c:pt>
                <c:pt idx="1360">
                  <c:v>290</c:v>
                </c:pt>
                <c:pt idx="1361">
                  <c:v>290</c:v>
                </c:pt>
                <c:pt idx="1362">
                  <c:v>290</c:v>
                </c:pt>
                <c:pt idx="1363">
                  <c:v>290</c:v>
                </c:pt>
                <c:pt idx="1364">
                  <c:v>290</c:v>
                </c:pt>
                <c:pt idx="1365">
                  <c:v>290</c:v>
                </c:pt>
                <c:pt idx="1366">
                  <c:v>290</c:v>
                </c:pt>
                <c:pt idx="1367">
                  <c:v>290</c:v>
                </c:pt>
                <c:pt idx="1368">
                  <c:v>290</c:v>
                </c:pt>
                <c:pt idx="1369">
                  <c:v>290</c:v>
                </c:pt>
                <c:pt idx="1370">
                  <c:v>290</c:v>
                </c:pt>
                <c:pt idx="1371">
                  <c:v>290</c:v>
                </c:pt>
                <c:pt idx="1372">
                  <c:v>290</c:v>
                </c:pt>
                <c:pt idx="1373">
                  <c:v>290</c:v>
                </c:pt>
                <c:pt idx="1374">
                  <c:v>290</c:v>
                </c:pt>
                <c:pt idx="1375">
                  <c:v>290</c:v>
                </c:pt>
                <c:pt idx="1376">
                  <c:v>290</c:v>
                </c:pt>
                <c:pt idx="1377">
                  <c:v>290</c:v>
                </c:pt>
                <c:pt idx="1378">
                  <c:v>290</c:v>
                </c:pt>
                <c:pt idx="1379">
                  <c:v>295</c:v>
                </c:pt>
                <c:pt idx="1380">
                  <c:v>295</c:v>
                </c:pt>
                <c:pt idx="1381">
                  <c:v>295</c:v>
                </c:pt>
                <c:pt idx="1382">
                  <c:v>295</c:v>
                </c:pt>
                <c:pt idx="1383">
                  <c:v>295</c:v>
                </c:pt>
                <c:pt idx="1384">
                  <c:v>295</c:v>
                </c:pt>
                <c:pt idx="1385">
                  <c:v>295</c:v>
                </c:pt>
                <c:pt idx="1386">
                  <c:v>295</c:v>
                </c:pt>
                <c:pt idx="1387">
                  <c:v>295</c:v>
                </c:pt>
                <c:pt idx="1388">
                  <c:v>295</c:v>
                </c:pt>
                <c:pt idx="1389">
                  <c:v>295</c:v>
                </c:pt>
                <c:pt idx="1390">
                  <c:v>295</c:v>
                </c:pt>
                <c:pt idx="1391">
                  <c:v>295</c:v>
                </c:pt>
                <c:pt idx="1392">
                  <c:v>295</c:v>
                </c:pt>
                <c:pt idx="1393">
                  <c:v>295</c:v>
                </c:pt>
                <c:pt idx="1394">
                  <c:v>295</c:v>
                </c:pt>
                <c:pt idx="1395">
                  <c:v>295</c:v>
                </c:pt>
                <c:pt idx="1396">
                  <c:v>295</c:v>
                </c:pt>
                <c:pt idx="1397">
                  <c:v>295</c:v>
                </c:pt>
                <c:pt idx="1398">
                  <c:v>295</c:v>
                </c:pt>
                <c:pt idx="1399">
                  <c:v>300</c:v>
                </c:pt>
                <c:pt idx="1400">
                  <c:v>300</c:v>
                </c:pt>
                <c:pt idx="1401">
                  <c:v>300</c:v>
                </c:pt>
                <c:pt idx="1402">
                  <c:v>300</c:v>
                </c:pt>
                <c:pt idx="1403">
                  <c:v>300</c:v>
                </c:pt>
                <c:pt idx="1404">
                  <c:v>300</c:v>
                </c:pt>
                <c:pt idx="1405">
                  <c:v>300</c:v>
                </c:pt>
                <c:pt idx="1406">
                  <c:v>300</c:v>
                </c:pt>
                <c:pt idx="1407">
                  <c:v>300</c:v>
                </c:pt>
                <c:pt idx="1408">
                  <c:v>300</c:v>
                </c:pt>
                <c:pt idx="1409">
                  <c:v>300</c:v>
                </c:pt>
                <c:pt idx="1410">
                  <c:v>300</c:v>
                </c:pt>
                <c:pt idx="1411">
                  <c:v>300</c:v>
                </c:pt>
                <c:pt idx="1412">
                  <c:v>300</c:v>
                </c:pt>
                <c:pt idx="1413">
                  <c:v>300</c:v>
                </c:pt>
                <c:pt idx="1414">
                  <c:v>300</c:v>
                </c:pt>
                <c:pt idx="1415">
                  <c:v>300</c:v>
                </c:pt>
                <c:pt idx="1416">
                  <c:v>300</c:v>
                </c:pt>
                <c:pt idx="1417">
                  <c:v>300</c:v>
                </c:pt>
                <c:pt idx="1418">
                  <c:v>300</c:v>
                </c:pt>
                <c:pt idx="1419">
                  <c:v>305</c:v>
                </c:pt>
                <c:pt idx="1420">
                  <c:v>305</c:v>
                </c:pt>
                <c:pt idx="1421">
                  <c:v>305</c:v>
                </c:pt>
                <c:pt idx="1422">
                  <c:v>305</c:v>
                </c:pt>
                <c:pt idx="1423">
                  <c:v>305</c:v>
                </c:pt>
                <c:pt idx="1424">
                  <c:v>305</c:v>
                </c:pt>
                <c:pt idx="1425">
                  <c:v>305</c:v>
                </c:pt>
                <c:pt idx="1426">
                  <c:v>305</c:v>
                </c:pt>
                <c:pt idx="1427">
                  <c:v>305</c:v>
                </c:pt>
                <c:pt idx="1428">
                  <c:v>305</c:v>
                </c:pt>
                <c:pt idx="1429">
                  <c:v>305</c:v>
                </c:pt>
                <c:pt idx="1430">
                  <c:v>305</c:v>
                </c:pt>
                <c:pt idx="1431">
                  <c:v>305</c:v>
                </c:pt>
                <c:pt idx="1432">
                  <c:v>305</c:v>
                </c:pt>
                <c:pt idx="1433">
                  <c:v>305</c:v>
                </c:pt>
                <c:pt idx="1434">
                  <c:v>305</c:v>
                </c:pt>
                <c:pt idx="1435">
                  <c:v>305</c:v>
                </c:pt>
                <c:pt idx="1436">
                  <c:v>305</c:v>
                </c:pt>
                <c:pt idx="1437">
                  <c:v>305</c:v>
                </c:pt>
                <c:pt idx="1438">
                  <c:v>305</c:v>
                </c:pt>
                <c:pt idx="1439">
                  <c:v>310</c:v>
                </c:pt>
                <c:pt idx="1440">
                  <c:v>310</c:v>
                </c:pt>
                <c:pt idx="1441">
                  <c:v>310</c:v>
                </c:pt>
                <c:pt idx="1442">
                  <c:v>310</c:v>
                </c:pt>
                <c:pt idx="1443">
                  <c:v>310</c:v>
                </c:pt>
                <c:pt idx="1444">
                  <c:v>310</c:v>
                </c:pt>
                <c:pt idx="1445">
                  <c:v>310</c:v>
                </c:pt>
                <c:pt idx="1446">
                  <c:v>310</c:v>
                </c:pt>
                <c:pt idx="1447">
                  <c:v>310</c:v>
                </c:pt>
                <c:pt idx="1448">
                  <c:v>310</c:v>
                </c:pt>
                <c:pt idx="1449">
                  <c:v>310</c:v>
                </c:pt>
                <c:pt idx="1450">
                  <c:v>310</c:v>
                </c:pt>
                <c:pt idx="1451">
                  <c:v>310</c:v>
                </c:pt>
                <c:pt idx="1452">
                  <c:v>310</c:v>
                </c:pt>
                <c:pt idx="1453">
                  <c:v>310</c:v>
                </c:pt>
                <c:pt idx="1454">
                  <c:v>310</c:v>
                </c:pt>
                <c:pt idx="1455">
                  <c:v>310</c:v>
                </c:pt>
                <c:pt idx="1456">
                  <c:v>310</c:v>
                </c:pt>
                <c:pt idx="1457">
                  <c:v>310</c:v>
                </c:pt>
                <c:pt idx="1458">
                  <c:v>310</c:v>
                </c:pt>
                <c:pt idx="1459">
                  <c:v>315</c:v>
                </c:pt>
                <c:pt idx="1460">
                  <c:v>315</c:v>
                </c:pt>
                <c:pt idx="1461">
                  <c:v>315</c:v>
                </c:pt>
                <c:pt idx="1462">
                  <c:v>315</c:v>
                </c:pt>
                <c:pt idx="1463">
                  <c:v>315</c:v>
                </c:pt>
                <c:pt idx="1464">
                  <c:v>315</c:v>
                </c:pt>
                <c:pt idx="1465">
                  <c:v>315</c:v>
                </c:pt>
                <c:pt idx="1466">
                  <c:v>315</c:v>
                </c:pt>
                <c:pt idx="1467">
                  <c:v>315</c:v>
                </c:pt>
                <c:pt idx="1468">
                  <c:v>315</c:v>
                </c:pt>
                <c:pt idx="1469">
                  <c:v>315</c:v>
                </c:pt>
                <c:pt idx="1470">
                  <c:v>315</c:v>
                </c:pt>
                <c:pt idx="1471">
                  <c:v>315</c:v>
                </c:pt>
                <c:pt idx="1472">
                  <c:v>315</c:v>
                </c:pt>
                <c:pt idx="1473">
                  <c:v>315</c:v>
                </c:pt>
                <c:pt idx="1474">
                  <c:v>315</c:v>
                </c:pt>
                <c:pt idx="1475">
                  <c:v>315</c:v>
                </c:pt>
                <c:pt idx="1476">
                  <c:v>315</c:v>
                </c:pt>
                <c:pt idx="1477">
                  <c:v>315</c:v>
                </c:pt>
                <c:pt idx="1478">
                  <c:v>315</c:v>
                </c:pt>
                <c:pt idx="1479">
                  <c:v>320</c:v>
                </c:pt>
                <c:pt idx="1480">
                  <c:v>320</c:v>
                </c:pt>
                <c:pt idx="1481">
                  <c:v>320</c:v>
                </c:pt>
                <c:pt idx="1482">
                  <c:v>320</c:v>
                </c:pt>
                <c:pt idx="1483">
                  <c:v>320</c:v>
                </c:pt>
                <c:pt idx="1484">
                  <c:v>320</c:v>
                </c:pt>
                <c:pt idx="1485">
                  <c:v>320</c:v>
                </c:pt>
                <c:pt idx="1486">
                  <c:v>320</c:v>
                </c:pt>
                <c:pt idx="1487">
                  <c:v>320</c:v>
                </c:pt>
                <c:pt idx="1488">
                  <c:v>320</c:v>
                </c:pt>
                <c:pt idx="1489">
                  <c:v>320</c:v>
                </c:pt>
                <c:pt idx="1490">
                  <c:v>320</c:v>
                </c:pt>
                <c:pt idx="1491">
                  <c:v>320</c:v>
                </c:pt>
                <c:pt idx="1492">
                  <c:v>320</c:v>
                </c:pt>
                <c:pt idx="1493">
                  <c:v>320</c:v>
                </c:pt>
                <c:pt idx="1494">
                  <c:v>320</c:v>
                </c:pt>
                <c:pt idx="1495">
                  <c:v>320</c:v>
                </c:pt>
                <c:pt idx="1496">
                  <c:v>320</c:v>
                </c:pt>
                <c:pt idx="1497">
                  <c:v>320</c:v>
                </c:pt>
                <c:pt idx="1498">
                  <c:v>320</c:v>
                </c:pt>
                <c:pt idx="1499">
                  <c:v>325</c:v>
                </c:pt>
                <c:pt idx="1500">
                  <c:v>325</c:v>
                </c:pt>
                <c:pt idx="1501">
                  <c:v>325</c:v>
                </c:pt>
                <c:pt idx="1502">
                  <c:v>325</c:v>
                </c:pt>
                <c:pt idx="1503">
                  <c:v>325</c:v>
                </c:pt>
                <c:pt idx="1504">
                  <c:v>325</c:v>
                </c:pt>
                <c:pt idx="1505">
                  <c:v>325</c:v>
                </c:pt>
                <c:pt idx="1506">
                  <c:v>325</c:v>
                </c:pt>
                <c:pt idx="1507">
                  <c:v>325</c:v>
                </c:pt>
                <c:pt idx="1508">
                  <c:v>325</c:v>
                </c:pt>
                <c:pt idx="1509">
                  <c:v>325</c:v>
                </c:pt>
                <c:pt idx="1510">
                  <c:v>325</c:v>
                </c:pt>
                <c:pt idx="1511">
                  <c:v>325</c:v>
                </c:pt>
                <c:pt idx="1512">
                  <c:v>325</c:v>
                </c:pt>
                <c:pt idx="1513">
                  <c:v>325</c:v>
                </c:pt>
                <c:pt idx="1514">
                  <c:v>325</c:v>
                </c:pt>
                <c:pt idx="1515">
                  <c:v>325</c:v>
                </c:pt>
                <c:pt idx="1516">
                  <c:v>325</c:v>
                </c:pt>
                <c:pt idx="1517">
                  <c:v>325</c:v>
                </c:pt>
                <c:pt idx="1518">
                  <c:v>325</c:v>
                </c:pt>
                <c:pt idx="1519">
                  <c:v>330</c:v>
                </c:pt>
                <c:pt idx="1520">
                  <c:v>330</c:v>
                </c:pt>
                <c:pt idx="1521">
                  <c:v>330</c:v>
                </c:pt>
                <c:pt idx="1522">
                  <c:v>330</c:v>
                </c:pt>
                <c:pt idx="1523">
                  <c:v>330</c:v>
                </c:pt>
                <c:pt idx="1524">
                  <c:v>330</c:v>
                </c:pt>
                <c:pt idx="1525">
                  <c:v>330</c:v>
                </c:pt>
                <c:pt idx="1526">
                  <c:v>330</c:v>
                </c:pt>
                <c:pt idx="1527">
                  <c:v>330</c:v>
                </c:pt>
                <c:pt idx="1528">
                  <c:v>330</c:v>
                </c:pt>
                <c:pt idx="1529">
                  <c:v>330</c:v>
                </c:pt>
                <c:pt idx="1530">
                  <c:v>330</c:v>
                </c:pt>
                <c:pt idx="1531">
                  <c:v>330</c:v>
                </c:pt>
                <c:pt idx="1532">
                  <c:v>330</c:v>
                </c:pt>
                <c:pt idx="1533">
                  <c:v>330</c:v>
                </c:pt>
                <c:pt idx="1534">
                  <c:v>330</c:v>
                </c:pt>
                <c:pt idx="1535">
                  <c:v>330</c:v>
                </c:pt>
                <c:pt idx="1536">
                  <c:v>330</c:v>
                </c:pt>
                <c:pt idx="1537">
                  <c:v>330</c:v>
                </c:pt>
                <c:pt idx="1538">
                  <c:v>330</c:v>
                </c:pt>
                <c:pt idx="1539">
                  <c:v>335</c:v>
                </c:pt>
                <c:pt idx="1540">
                  <c:v>335</c:v>
                </c:pt>
                <c:pt idx="1541">
                  <c:v>335</c:v>
                </c:pt>
                <c:pt idx="1542">
                  <c:v>335</c:v>
                </c:pt>
                <c:pt idx="1543">
                  <c:v>335</c:v>
                </c:pt>
                <c:pt idx="1544">
                  <c:v>335</c:v>
                </c:pt>
                <c:pt idx="1545">
                  <c:v>335</c:v>
                </c:pt>
                <c:pt idx="1546">
                  <c:v>335</c:v>
                </c:pt>
                <c:pt idx="1547">
                  <c:v>335</c:v>
                </c:pt>
                <c:pt idx="1548">
                  <c:v>335</c:v>
                </c:pt>
                <c:pt idx="1549">
                  <c:v>335</c:v>
                </c:pt>
                <c:pt idx="1550">
                  <c:v>335</c:v>
                </c:pt>
                <c:pt idx="1551">
                  <c:v>335</c:v>
                </c:pt>
                <c:pt idx="1552">
                  <c:v>335</c:v>
                </c:pt>
                <c:pt idx="1553">
                  <c:v>335</c:v>
                </c:pt>
                <c:pt idx="1554">
                  <c:v>335</c:v>
                </c:pt>
                <c:pt idx="1555">
                  <c:v>335</c:v>
                </c:pt>
                <c:pt idx="1556">
                  <c:v>335</c:v>
                </c:pt>
                <c:pt idx="1557">
                  <c:v>335</c:v>
                </c:pt>
                <c:pt idx="1558">
                  <c:v>335</c:v>
                </c:pt>
                <c:pt idx="1559">
                  <c:v>340</c:v>
                </c:pt>
                <c:pt idx="1560">
                  <c:v>340</c:v>
                </c:pt>
                <c:pt idx="1561">
                  <c:v>340</c:v>
                </c:pt>
                <c:pt idx="1562">
                  <c:v>340</c:v>
                </c:pt>
                <c:pt idx="1563">
                  <c:v>340</c:v>
                </c:pt>
                <c:pt idx="1564">
                  <c:v>340</c:v>
                </c:pt>
                <c:pt idx="1565">
                  <c:v>340</c:v>
                </c:pt>
                <c:pt idx="1566">
                  <c:v>340</c:v>
                </c:pt>
                <c:pt idx="1567">
                  <c:v>340</c:v>
                </c:pt>
                <c:pt idx="1568">
                  <c:v>340</c:v>
                </c:pt>
                <c:pt idx="1569">
                  <c:v>340</c:v>
                </c:pt>
                <c:pt idx="1570">
                  <c:v>340</c:v>
                </c:pt>
                <c:pt idx="1571">
                  <c:v>340</c:v>
                </c:pt>
                <c:pt idx="1572">
                  <c:v>340</c:v>
                </c:pt>
                <c:pt idx="1573">
                  <c:v>340</c:v>
                </c:pt>
                <c:pt idx="1574">
                  <c:v>340</c:v>
                </c:pt>
                <c:pt idx="1575">
                  <c:v>340</c:v>
                </c:pt>
                <c:pt idx="1576">
                  <c:v>340</c:v>
                </c:pt>
                <c:pt idx="1577">
                  <c:v>340</c:v>
                </c:pt>
                <c:pt idx="1578">
                  <c:v>340</c:v>
                </c:pt>
                <c:pt idx="1579">
                  <c:v>345</c:v>
                </c:pt>
                <c:pt idx="1580">
                  <c:v>345</c:v>
                </c:pt>
                <c:pt idx="1581">
                  <c:v>345</c:v>
                </c:pt>
                <c:pt idx="1582">
                  <c:v>345</c:v>
                </c:pt>
                <c:pt idx="1583">
                  <c:v>345</c:v>
                </c:pt>
                <c:pt idx="1584">
                  <c:v>345</c:v>
                </c:pt>
                <c:pt idx="1585">
                  <c:v>345</c:v>
                </c:pt>
                <c:pt idx="1586">
                  <c:v>345</c:v>
                </c:pt>
                <c:pt idx="1587">
                  <c:v>345</c:v>
                </c:pt>
                <c:pt idx="1588">
                  <c:v>345</c:v>
                </c:pt>
                <c:pt idx="1589">
                  <c:v>345</c:v>
                </c:pt>
                <c:pt idx="1590">
                  <c:v>345</c:v>
                </c:pt>
                <c:pt idx="1591">
                  <c:v>345</c:v>
                </c:pt>
                <c:pt idx="1592">
                  <c:v>345</c:v>
                </c:pt>
                <c:pt idx="1593">
                  <c:v>345</c:v>
                </c:pt>
                <c:pt idx="1594">
                  <c:v>345</c:v>
                </c:pt>
                <c:pt idx="1595">
                  <c:v>345</c:v>
                </c:pt>
                <c:pt idx="1596">
                  <c:v>345</c:v>
                </c:pt>
                <c:pt idx="1597">
                  <c:v>345</c:v>
                </c:pt>
                <c:pt idx="1598">
                  <c:v>345</c:v>
                </c:pt>
                <c:pt idx="1599">
                  <c:v>350</c:v>
                </c:pt>
                <c:pt idx="1600">
                  <c:v>350</c:v>
                </c:pt>
                <c:pt idx="1601">
                  <c:v>350</c:v>
                </c:pt>
                <c:pt idx="1602">
                  <c:v>350</c:v>
                </c:pt>
                <c:pt idx="1603">
                  <c:v>350</c:v>
                </c:pt>
                <c:pt idx="1604">
                  <c:v>350</c:v>
                </c:pt>
                <c:pt idx="1605">
                  <c:v>350</c:v>
                </c:pt>
                <c:pt idx="1606">
                  <c:v>350</c:v>
                </c:pt>
                <c:pt idx="1607">
                  <c:v>350</c:v>
                </c:pt>
                <c:pt idx="1608">
                  <c:v>350</c:v>
                </c:pt>
                <c:pt idx="1609">
                  <c:v>350</c:v>
                </c:pt>
                <c:pt idx="1610">
                  <c:v>350</c:v>
                </c:pt>
                <c:pt idx="1611">
                  <c:v>350</c:v>
                </c:pt>
                <c:pt idx="1612">
                  <c:v>350</c:v>
                </c:pt>
                <c:pt idx="1613">
                  <c:v>350</c:v>
                </c:pt>
                <c:pt idx="1614">
                  <c:v>350</c:v>
                </c:pt>
                <c:pt idx="1615">
                  <c:v>350</c:v>
                </c:pt>
                <c:pt idx="1616">
                  <c:v>350</c:v>
                </c:pt>
                <c:pt idx="1617">
                  <c:v>350</c:v>
                </c:pt>
                <c:pt idx="1618">
                  <c:v>350</c:v>
                </c:pt>
                <c:pt idx="1619">
                  <c:v>347</c:v>
                </c:pt>
                <c:pt idx="1620">
                  <c:v>347</c:v>
                </c:pt>
                <c:pt idx="1621">
                  <c:v>347</c:v>
                </c:pt>
                <c:pt idx="1622">
                  <c:v>347</c:v>
                </c:pt>
                <c:pt idx="1623">
                  <c:v>347</c:v>
                </c:pt>
                <c:pt idx="1624">
                  <c:v>347</c:v>
                </c:pt>
                <c:pt idx="1625">
                  <c:v>347</c:v>
                </c:pt>
                <c:pt idx="1626">
                  <c:v>347</c:v>
                </c:pt>
                <c:pt idx="1627">
                  <c:v>347</c:v>
                </c:pt>
                <c:pt idx="1628">
                  <c:v>347</c:v>
                </c:pt>
                <c:pt idx="1629">
                  <c:v>347</c:v>
                </c:pt>
                <c:pt idx="1630">
                  <c:v>347</c:v>
                </c:pt>
                <c:pt idx="1631">
                  <c:v>347</c:v>
                </c:pt>
                <c:pt idx="1632">
                  <c:v>347</c:v>
                </c:pt>
                <c:pt idx="1633">
                  <c:v>347</c:v>
                </c:pt>
                <c:pt idx="1634">
                  <c:v>347</c:v>
                </c:pt>
                <c:pt idx="1635">
                  <c:v>347</c:v>
                </c:pt>
                <c:pt idx="1636">
                  <c:v>347</c:v>
                </c:pt>
                <c:pt idx="1637">
                  <c:v>347</c:v>
                </c:pt>
                <c:pt idx="1638">
                  <c:v>347</c:v>
                </c:pt>
                <c:pt idx="1639">
                  <c:v>345</c:v>
                </c:pt>
                <c:pt idx="1640">
                  <c:v>345</c:v>
                </c:pt>
                <c:pt idx="1641">
                  <c:v>345</c:v>
                </c:pt>
                <c:pt idx="1642">
                  <c:v>345</c:v>
                </c:pt>
                <c:pt idx="1643">
                  <c:v>345</c:v>
                </c:pt>
                <c:pt idx="1644">
                  <c:v>345</c:v>
                </c:pt>
                <c:pt idx="1645">
                  <c:v>345</c:v>
                </c:pt>
                <c:pt idx="1646">
                  <c:v>345</c:v>
                </c:pt>
                <c:pt idx="1647">
                  <c:v>345</c:v>
                </c:pt>
                <c:pt idx="1648">
                  <c:v>345</c:v>
                </c:pt>
                <c:pt idx="1649">
                  <c:v>345</c:v>
                </c:pt>
                <c:pt idx="1650">
                  <c:v>345</c:v>
                </c:pt>
                <c:pt idx="1651">
                  <c:v>345</c:v>
                </c:pt>
                <c:pt idx="1652">
                  <c:v>345</c:v>
                </c:pt>
                <c:pt idx="1653">
                  <c:v>345</c:v>
                </c:pt>
                <c:pt idx="1654">
                  <c:v>345</c:v>
                </c:pt>
                <c:pt idx="1655">
                  <c:v>345</c:v>
                </c:pt>
                <c:pt idx="1656">
                  <c:v>345</c:v>
                </c:pt>
                <c:pt idx="1657">
                  <c:v>345</c:v>
                </c:pt>
                <c:pt idx="1658">
                  <c:v>345</c:v>
                </c:pt>
                <c:pt idx="1659">
                  <c:v>342</c:v>
                </c:pt>
                <c:pt idx="1660">
                  <c:v>342</c:v>
                </c:pt>
                <c:pt idx="1661">
                  <c:v>342</c:v>
                </c:pt>
                <c:pt idx="1662">
                  <c:v>342</c:v>
                </c:pt>
                <c:pt idx="1663">
                  <c:v>342</c:v>
                </c:pt>
                <c:pt idx="1664">
                  <c:v>342</c:v>
                </c:pt>
                <c:pt idx="1665">
                  <c:v>342</c:v>
                </c:pt>
                <c:pt idx="1666">
                  <c:v>342</c:v>
                </c:pt>
                <c:pt idx="1667">
                  <c:v>342</c:v>
                </c:pt>
                <c:pt idx="1668">
                  <c:v>342</c:v>
                </c:pt>
                <c:pt idx="1669">
                  <c:v>342</c:v>
                </c:pt>
                <c:pt idx="1670">
                  <c:v>342</c:v>
                </c:pt>
                <c:pt idx="1671">
                  <c:v>342</c:v>
                </c:pt>
                <c:pt idx="1672">
                  <c:v>342</c:v>
                </c:pt>
                <c:pt idx="1673">
                  <c:v>342</c:v>
                </c:pt>
                <c:pt idx="1674">
                  <c:v>342</c:v>
                </c:pt>
                <c:pt idx="1675">
                  <c:v>342</c:v>
                </c:pt>
                <c:pt idx="1676">
                  <c:v>342</c:v>
                </c:pt>
                <c:pt idx="1677">
                  <c:v>342</c:v>
                </c:pt>
                <c:pt idx="1678">
                  <c:v>342</c:v>
                </c:pt>
                <c:pt idx="1679">
                  <c:v>340</c:v>
                </c:pt>
                <c:pt idx="1680">
                  <c:v>340</c:v>
                </c:pt>
                <c:pt idx="1681">
                  <c:v>340</c:v>
                </c:pt>
                <c:pt idx="1682">
                  <c:v>340</c:v>
                </c:pt>
                <c:pt idx="1683">
                  <c:v>340</c:v>
                </c:pt>
                <c:pt idx="1684">
                  <c:v>340</c:v>
                </c:pt>
                <c:pt idx="1685">
                  <c:v>340</c:v>
                </c:pt>
                <c:pt idx="1686">
                  <c:v>340</c:v>
                </c:pt>
                <c:pt idx="1687">
                  <c:v>340</c:v>
                </c:pt>
                <c:pt idx="1688">
                  <c:v>340</c:v>
                </c:pt>
                <c:pt idx="1689">
                  <c:v>340</c:v>
                </c:pt>
                <c:pt idx="1690">
                  <c:v>340</c:v>
                </c:pt>
                <c:pt idx="1691">
                  <c:v>340</c:v>
                </c:pt>
                <c:pt idx="1692">
                  <c:v>340</c:v>
                </c:pt>
                <c:pt idx="1693">
                  <c:v>340</c:v>
                </c:pt>
                <c:pt idx="1694">
                  <c:v>340</c:v>
                </c:pt>
                <c:pt idx="1695">
                  <c:v>340</c:v>
                </c:pt>
                <c:pt idx="1696">
                  <c:v>340</c:v>
                </c:pt>
                <c:pt idx="1697">
                  <c:v>340</c:v>
                </c:pt>
                <c:pt idx="1698">
                  <c:v>340</c:v>
                </c:pt>
                <c:pt idx="1699">
                  <c:v>337</c:v>
                </c:pt>
                <c:pt idx="1700">
                  <c:v>337</c:v>
                </c:pt>
                <c:pt idx="1701">
                  <c:v>337</c:v>
                </c:pt>
                <c:pt idx="1702">
                  <c:v>337</c:v>
                </c:pt>
                <c:pt idx="1703">
                  <c:v>337</c:v>
                </c:pt>
                <c:pt idx="1704">
                  <c:v>337</c:v>
                </c:pt>
                <c:pt idx="1705">
                  <c:v>337</c:v>
                </c:pt>
                <c:pt idx="1706">
                  <c:v>337</c:v>
                </c:pt>
                <c:pt idx="1707">
                  <c:v>337</c:v>
                </c:pt>
                <c:pt idx="1708">
                  <c:v>337</c:v>
                </c:pt>
                <c:pt idx="1709">
                  <c:v>337</c:v>
                </c:pt>
                <c:pt idx="1710">
                  <c:v>337</c:v>
                </c:pt>
                <c:pt idx="1711">
                  <c:v>337</c:v>
                </c:pt>
                <c:pt idx="1712">
                  <c:v>337</c:v>
                </c:pt>
                <c:pt idx="1713">
                  <c:v>337</c:v>
                </c:pt>
                <c:pt idx="1714">
                  <c:v>337</c:v>
                </c:pt>
                <c:pt idx="1715">
                  <c:v>337</c:v>
                </c:pt>
                <c:pt idx="1716">
                  <c:v>337</c:v>
                </c:pt>
                <c:pt idx="1717">
                  <c:v>337</c:v>
                </c:pt>
                <c:pt idx="1718">
                  <c:v>337</c:v>
                </c:pt>
                <c:pt idx="1719">
                  <c:v>335</c:v>
                </c:pt>
                <c:pt idx="1720">
                  <c:v>335</c:v>
                </c:pt>
                <c:pt idx="1721">
                  <c:v>335</c:v>
                </c:pt>
                <c:pt idx="1722">
                  <c:v>335</c:v>
                </c:pt>
                <c:pt idx="1723">
                  <c:v>335</c:v>
                </c:pt>
                <c:pt idx="1724">
                  <c:v>335</c:v>
                </c:pt>
                <c:pt idx="1725">
                  <c:v>335</c:v>
                </c:pt>
                <c:pt idx="1726">
                  <c:v>335</c:v>
                </c:pt>
                <c:pt idx="1727">
                  <c:v>335</c:v>
                </c:pt>
                <c:pt idx="1728">
                  <c:v>335</c:v>
                </c:pt>
                <c:pt idx="1729">
                  <c:v>335</c:v>
                </c:pt>
                <c:pt idx="1730">
                  <c:v>335</c:v>
                </c:pt>
                <c:pt idx="1731">
                  <c:v>335</c:v>
                </c:pt>
                <c:pt idx="1732">
                  <c:v>335</c:v>
                </c:pt>
                <c:pt idx="1733">
                  <c:v>335</c:v>
                </c:pt>
                <c:pt idx="1734">
                  <c:v>335</c:v>
                </c:pt>
                <c:pt idx="1735">
                  <c:v>335</c:v>
                </c:pt>
                <c:pt idx="1736">
                  <c:v>335</c:v>
                </c:pt>
                <c:pt idx="1737">
                  <c:v>335</c:v>
                </c:pt>
                <c:pt idx="1738">
                  <c:v>335</c:v>
                </c:pt>
                <c:pt idx="1739">
                  <c:v>332</c:v>
                </c:pt>
                <c:pt idx="1740">
                  <c:v>332</c:v>
                </c:pt>
                <c:pt idx="1741">
                  <c:v>332</c:v>
                </c:pt>
                <c:pt idx="1742">
                  <c:v>332</c:v>
                </c:pt>
                <c:pt idx="1743">
                  <c:v>332</c:v>
                </c:pt>
                <c:pt idx="1744">
                  <c:v>332</c:v>
                </c:pt>
                <c:pt idx="1745">
                  <c:v>332</c:v>
                </c:pt>
                <c:pt idx="1746">
                  <c:v>332</c:v>
                </c:pt>
                <c:pt idx="1747">
                  <c:v>332</c:v>
                </c:pt>
                <c:pt idx="1748">
                  <c:v>332</c:v>
                </c:pt>
                <c:pt idx="1749">
                  <c:v>332</c:v>
                </c:pt>
                <c:pt idx="1750">
                  <c:v>332</c:v>
                </c:pt>
                <c:pt idx="1751">
                  <c:v>332</c:v>
                </c:pt>
                <c:pt idx="1752">
                  <c:v>332</c:v>
                </c:pt>
                <c:pt idx="1753">
                  <c:v>332</c:v>
                </c:pt>
                <c:pt idx="1754">
                  <c:v>332</c:v>
                </c:pt>
                <c:pt idx="1755">
                  <c:v>332</c:v>
                </c:pt>
                <c:pt idx="1756">
                  <c:v>332</c:v>
                </c:pt>
                <c:pt idx="1757">
                  <c:v>332</c:v>
                </c:pt>
                <c:pt idx="1758">
                  <c:v>332</c:v>
                </c:pt>
                <c:pt idx="1759">
                  <c:v>330</c:v>
                </c:pt>
                <c:pt idx="1760">
                  <c:v>330</c:v>
                </c:pt>
                <c:pt idx="1761">
                  <c:v>330</c:v>
                </c:pt>
                <c:pt idx="1762">
                  <c:v>330</c:v>
                </c:pt>
                <c:pt idx="1763">
                  <c:v>330</c:v>
                </c:pt>
                <c:pt idx="1764">
                  <c:v>330</c:v>
                </c:pt>
                <c:pt idx="1765">
                  <c:v>330</c:v>
                </c:pt>
                <c:pt idx="1766">
                  <c:v>330</c:v>
                </c:pt>
                <c:pt idx="1767">
                  <c:v>330</c:v>
                </c:pt>
                <c:pt idx="1768">
                  <c:v>330</c:v>
                </c:pt>
                <c:pt idx="1769">
                  <c:v>330</c:v>
                </c:pt>
                <c:pt idx="1770">
                  <c:v>330</c:v>
                </c:pt>
                <c:pt idx="1771">
                  <c:v>330</c:v>
                </c:pt>
                <c:pt idx="1772">
                  <c:v>330</c:v>
                </c:pt>
                <c:pt idx="1773">
                  <c:v>330</c:v>
                </c:pt>
                <c:pt idx="1774">
                  <c:v>330</c:v>
                </c:pt>
                <c:pt idx="1775">
                  <c:v>330</c:v>
                </c:pt>
                <c:pt idx="1776">
                  <c:v>330</c:v>
                </c:pt>
                <c:pt idx="1777">
                  <c:v>330</c:v>
                </c:pt>
                <c:pt idx="1778">
                  <c:v>330</c:v>
                </c:pt>
                <c:pt idx="1779">
                  <c:v>327</c:v>
                </c:pt>
                <c:pt idx="1780">
                  <c:v>327</c:v>
                </c:pt>
                <c:pt idx="1781">
                  <c:v>327</c:v>
                </c:pt>
                <c:pt idx="1782">
                  <c:v>327</c:v>
                </c:pt>
                <c:pt idx="1783">
                  <c:v>327</c:v>
                </c:pt>
                <c:pt idx="1784">
                  <c:v>327</c:v>
                </c:pt>
                <c:pt idx="1785">
                  <c:v>327</c:v>
                </c:pt>
                <c:pt idx="1786">
                  <c:v>327</c:v>
                </c:pt>
                <c:pt idx="1787">
                  <c:v>327</c:v>
                </c:pt>
                <c:pt idx="1788">
                  <c:v>327</c:v>
                </c:pt>
                <c:pt idx="1789">
                  <c:v>327</c:v>
                </c:pt>
                <c:pt idx="1790">
                  <c:v>327</c:v>
                </c:pt>
                <c:pt idx="1791">
                  <c:v>327</c:v>
                </c:pt>
                <c:pt idx="1792">
                  <c:v>327</c:v>
                </c:pt>
                <c:pt idx="1793">
                  <c:v>327</c:v>
                </c:pt>
                <c:pt idx="1794">
                  <c:v>327</c:v>
                </c:pt>
                <c:pt idx="1795">
                  <c:v>327</c:v>
                </c:pt>
                <c:pt idx="1796">
                  <c:v>327</c:v>
                </c:pt>
                <c:pt idx="1797">
                  <c:v>327</c:v>
                </c:pt>
                <c:pt idx="1798">
                  <c:v>327</c:v>
                </c:pt>
                <c:pt idx="1799">
                  <c:v>325</c:v>
                </c:pt>
                <c:pt idx="1800">
                  <c:v>325</c:v>
                </c:pt>
                <c:pt idx="1801">
                  <c:v>325</c:v>
                </c:pt>
                <c:pt idx="1802">
                  <c:v>325</c:v>
                </c:pt>
                <c:pt idx="1803">
                  <c:v>325</c:v>
                </c:pt>
                <c:pt idx="1804">
                  <c:v>325</c:v>
                </c:pt>
                <c:pt idx="1805">
                  <c:v>325</c:v>
                </c:pt>
                <c:pt idx="1806">
                  <c:v>325</c:v>
                </c:pt>
                <c:pt idx="1807">
                  <c:v>325</c:v>
                </c:pt>
                <c:pt idx="1808">
                  <c:v>325</c:v>
                </c:pt>
                <c:pt idx="1809">
                  <c:v>325</c:v>
                </c:pt>
                <c:pt idx="1810">
                  <c:v>325</c:v>
                </c:pt>
                <c:pt idx="1811">
                  <c:v>325</c:v>
                </c:pt>
                <c:pt idx="1812">
                  <c:v>325</c:v>
                </c:pt>
                <c:pt idx="1813">
                  <c:v>325</c:v>
                </c:pt>
                <c:pt idx="1814">
                  <c:v>325</c:v>
                </c:pt>
                <c:pt idx="1815">
                  <c:v>325</c:v>
                </c:pt>
                <c:pt idx="1816">
                  <c:v>325</c:v>
                </c:pt>
                <c:pt idx="1817">
                  <c:v>325</c:v>
                </c:pt>
                <c:pt idx="1818">
                  <c:v>325</c:v>
                </c:pt>
                <c:pt idx="1819">
                  <c:v>322</c:v>
                </c:pt>
                <c:pt idx="1820">
                  <c:v>322</c:v>
                </c:pt>
                <c:pt idx="1821">
                  <c:v>322</c:v>
                </c:pt>
                <c:pt idx="1822">
                  <c:v>322</c:v>
                </c:pt>
                <c:pt idx="1823">
                  <c:v>322</c:v>
                </c:pt>
                <c:pt idx="1824">
                  <c:v>322</c:v>
                </c:pt>
                <c:pt idx="1825">
                  <c:v>322</c:v>
                </c:pt>
                <c:pt idx="1826">
                  <c:v>322</c:v>
                </c:pt>
                <c:pt idx="1827">
                  <c:v>322</c:v>
                </c:pt>
                <c:pt idx="1828">
                  <c:v>322</c:v>
                </c:pt>
                <c:pt idx="1829">
                  <c:v>322</c:v>
                </c:pt>
                <c:pt idx="1830">
                  <c:v>322</c:v>
                </c:pt>
                <c:pt idx="1831">
                  <c:v>322</c:v>
                </c:pt>
                <c:pt idx="1832">
                  <c:v>322</c:v>
                </c:pt>
                <c:pt idx="1833">
                  <c:v>322</c:v>
                </c:pt>
                <c:pt idx="1834">
                  <c:v>322</c:v>
                </c:pt>
                <c:pt idx="1835">
                  <c:v>322</c:v>
                </c:pt>
                <c:pt idx="1836">
                  <c:v>322</c:v>
                </c:pt>
                <c:pt idx="1837">
                  <c:v>322</c:v>
                </c:pt>
                <c:pt idx="1838">
                  <c:v>322</c:v>
                </c:pt>
                <c:pt idx="1839">
                  <c:v>320</c:v>
                </c:pt>
                <c:pt idx="1840">
                  <c:v>320</c:v>
                </c:pt>
                <c:pt idx="1841">
                  <c:v>320</c:v>
                </c:pt>
                <c:pt idx="1842">
                  <c:v>320</c:v>
                </c:pt>
                <c:pt idx="1843">
                  <c:v>320</c:v>
                </c:pt>
                <c:pt idx="1844">
                  <c:v>320</c:v>
                </c:pt>
                <c:pt idx="1845">
                  <c:v>320</c:v>
                </c:pt>
                <c:pt idx="1846">
                  <c:v>320</c:v>
                </c:pt>
                <c:pt idx="1847">
                  <c:v>320</c:v>
                </c:pt>
                <c:pt idx="1848">
                  <c:v>320</c:v>
                </c:pt>
                <c:pt idx="1849">
                  <c:v>320</c:v>
                </c:pt>
                <c:pt idx="1850">
                  <c:v>320</c:v>
                </c:pt>
                <c:pt idx="1851">
                  <c:v>320</c:v>
                </c:pt>
                <c:pt idx="1852">
                  <c:v>320</c:v>
                </c:pt>
                <c:pt idx="1853">
                  <c:v>320</c:v>
                </c:pt>
                <c:pt idx="1854">
                  <c:v>320</c:v>
                </c:pt>
                <c:pt idx="1855">
                  <c:v>320</c:v>
                </c:pt>
                <c:pt idx="1856">
                  <c:v>320</c:v>
                </c:pt>
                <c:pt idx="1857">
                  <c:v>320</c:v>
                </c:pt>
                <c:pt idx="1858">
                  <c:v>320</c:v>
                </c:pt>
                <c:pt idx="1859">
                  <c:v>317</c:v>
                </c:pt>
                <c:pt idx="1860">
                  <c:v>317</c:v>
                </c:pt>
                <c:pt idx="1861">
                  <c:v>317</c:v>
                </c:pt>
                <c:pt idx="1862">
                  <c:v>317</c:v>
                </c:pt>
                <c:pt idx="1863">
                  <c:v>317</c:v>
                </c:pt>
                <c:pt idx="1864">
                  <c:v>317</c:v>
                </c:pt>
                <c:pt idx="1865">
                  <c:v>317</c:v>
                </c:pt>
                <c:pt idx="1866">
                  <c:v>317</c:v>
                </c:pt>
                <c:pt idx="1867">
                  <c:v>317</c:v>
                </c:pt>
                <c:pt idx="1868">
                  <c:v>317</c:v>
                </c:pt>
                <c:pt idx="1869">
                  <c:v>317</c:v>
                </c:pt>
                <c:pt idx="1870">
                  <c:v>317</c:v>
                </c:pt>
                <c:pt idx="1871">
                  <c:v>317</c:v>
                </c:pt>
                <c:pt idx="1872">
                  <c:v>317</c:v>
                </c:pt>
                <c:pt idx="1873">
                  <c:v>317</c:v>
                </c:pt>
                <c:pt idx="1874">
                  <c:v>317</c:v>
                </c:pt>
                <c:pt idx="1875">
                  <c:v>317</c:v>
                </c:pt>
                <c:pt idx="1876">
                  <c:v>317</c:v>
                </c:pt>
                <c:pt idx="1877">
                  <c:v>317</c:v>
                </c:pt>
                <c:pt idx="1878">
                  <c:v>317</c:v>
                </c:pt>
                <c:pt idx="1879">
                  <c:v>315</c:v>
                </c:pt>
                <c:pt idx="1880">
                  <c:v>315</c:v>
                </c:pt>
                <c:pt idx="1881">
                  <c:v>315</c:v>
                </c:pt>
                <c:pt idx="1882">
                  <c:v>315</c:v>
                </c:pt>
                <c:pt idx="1883">
                  <c:v>315</c:v>
                </c:pt>
                <c:pt idx="1884">
                  <c:v>315</c:v>
                </c:pt>
                <c:pt idx="1885">
                  <c:v>315</c:v>
                </c:pt>
                <c:pt idx="1886">
                  <c:v>315</c:v>
                </c:pt>
                <c:pt idx="1887">
                  <c:v>315</c:v>
                </c:pt>
                <c:pt idx="1888">
                  <c:v>315</c:v>
                </c:pt>
                <c:pt idx="1889">
                  <c:v>315</c:v>
                </c:pt>
                <c:pt idx="1890">
                  <c:v>315</c:v>
                </c:pt>
                <c:pt idx="1891">
                  <c:v>315</c:v>
                </c:pt>
                <c:pt idx="1892">
                  <c:v>315</c:v>
                </c:pt>
                <c:pt idx="1893">
                  <c:v>315</c:v>
                </c:pt>
                <c:pt idx="1894">
                  <c:v>315</c:v>
                </c:pt>
                <c:pt idx="1895">
                  <c:v>315</c:v>
                </c:pt>
                <c:pt idx="1896">
                  <c:v>315</c:v>
                </c:pt>
                <c:pt idx="1897">
                  <c:v>315</c:v>
                </c:pt>
                <c:pt idx="1898">
                  <c:v>315</c:v>
                </c:pt>
                <c:pt idx="1899">
                  <c:v>312</c:v>
                </c:pt>
                <c:pt idx="1900">
                  <c:v>312</c:v>
                </c:pt>
                <c:pt idx="1901">
                  <c:v>312</c:v>
                </c:pt>
                <c:pt idx="1902">
                  <c:v>312</c:v>
                </c:pt>
                <c:pt idx="1903">
                  <c:v>312</c:v>
                </c:pt>
                <c:pt idx="1904">
                  <c:v>312</c:v>
                </c:pt>
                <c:pt idx="1905">
                  <c:v>312</c:v>
                </c:pt>
                <c:pt idx="1906">
                  <c:v>312</c:v>
                </c:pt>
                <c:pt idx="1907">
                  <c:v>312</c:v>
                </c:pt>
                <c:pt idx="1908">
                  <c:v>312</c:v>
                </c:pt>
                <c:pt idx="1909">
                  <c:v>312</c:v>
                </c:pt>
                <c:pt idx="1910">
                  <c:v>312</c:v>
                </c:pt>
                <c:pt idx="1911">
                  <c:v>312</c:v>
                </c:pt>
                <c:pt idx="1912">
                  <c:v>312</c:v>
                </c:pt>
                <c:pt idx="1913">
                  <c:v>312</c:v>
                </c:pt>
                <c:pt idx="1914">
                  <c:v>312</c:v>
                </c:pt>
                <c:pt idx="1915">
                  <c:v>312</c:v>
                </c:pt>
                <c:pt idx="1916">
                  <c:v>312</c:v>
                </c:pt>
                <c:pt idx="1917">
                  <c:v>312</c:v>
                </c:pt>
                <c:pt idx="1918">
                  <c:v>312</c:v>
                </c:pt>
                <c:pt idx="1919">
                  <c:v>310</c:v>
                </c:pt>
                <c:pt idx="1920">
                  <c:v>310</c:v>
                </c:pt>
                <c:pt idx="1921">
                  <c:v>310</c:v>
                </c:pt>
                <c:pt idx="1922">
                  <c:v>310</c:v>
                </c:pt>
                <c:pt idx="1923">
                  <c:v>310</c:v>
                </c:pt>
                <c:pt idx="1924">
                  <c:v>310</c:v>
                </c:pt>
                <c:pt idx="1925">
                  <c:v>310</c:v>
                </c:pt>
                <c:pt idx="1926">
                  <c:v>310</c:v>
                </c:pt>
                <c:pt idx="1927">
                  <c:v>310</c:v>
                </c:pt>
                <c:pt idx="1928">
                  <c:v>310</c:v>
                </c:pt>
                <c:pt idx="1929">
                  <c:v>310</c:v>
                </c:pt>
                <c:pt idx="1930">
                  <c:v>310</c:v>
                </c:pt>
                <c:pt idx="1931">
                  <c:v>310</c:v>
                </c:pt>
                <c:pt idx="1932">
                  <c:v>310</c:v>
                </c:pt>
                <c:pt idx="1933">
                  <c:v>310</c:v>
                </c:pt>
                <c:pt idx="1934">
                  <c:v>310</c:v>
                </c:pt>
                <c:pt idx="1935">
                  <c:v>310</c:v>
                </c:pt>
                <c:pt idx="1936">
                  <c:v>310</c:v>
                </c:pt>
                <c:pt idx="1937">
                  <c:v>310</c:v>
                </c:pt>
                <c:pt idx="1938">
                  <c:v>310</c:v>
                </c:pt>
                <c:pt idx="1939">
                  <c:v>307</c:v>
                </c:pt>
                <c:pt idx="1940">
                  <c:v>307</c:v>
                </c:pt>
                <c:pt idx="1941">
                  <c:v>307</c:v>
                </c:pt>
                <c:pt idx="1942">
                  <c:v>307</c:v>
                </c:pt>
                <c:pt idx="1943">
                  <c:v>307</c:v>
                </c:pt>
                <c:pt idx="1944">
                  <c:v>307</c:v>
                </c:pt>
                <c:pt idx="1945">
                  <c:v>307</c:v>
                </c:pt>
                <c:pt idx="1946">
                  <c:v>307</c:v>
                </c:pt>
                <c:pt idx="1947">
                  <c:v>307</c:v>
                </c:pt>
                <c:pt idx="1948">
                  <c:v>307</c:v>
                </c:pt>
                <c:pt idx="1949">
                  <c:v>307</c:v>
                </c:pt>
                <c:pt idx="1950">
                  <c:v>307</c:v>
                </c:pt>
                <c:pt idx="1951">
                  <c:v>307</c:v>
                </c:pt>
                <c:pt idx="1952">
                  <c:v>307</c:v>
                </c:pt>
                <c:pt idx="1953">
                  <c:v>307</c:v>
                </c:pt>
                <c:pt idx="1954">
                  <c:v>307</c:v>
                </c:pt>
                <c:pt idx="1955">
                  <c:v>307</c:v>
                </c:pt>
                <c:pt idx="1956">
                  <c:v>307</c:v>
                </c:pt>
                <c:pt idx="1957">
                  <c:v>307</c:v>
                </c:pt>
                <c:pt idx="1958">
                  <c:v>307</c:v>
                </c:pt>
                <c:pt idx="1959">
                  <c:v>305</c:v>
                </c:pt>
                <c:pt idx="1960">
                  <c:v>305</c:v>
                </c:pt>
                <c:pt idx="1961">
                  <c:v>305</c:v>
                </c:pt>
                <c:pt idx="1962">
                  <c:v>305</c:v>
                </c:pt>
                <c:pt idx="1963">
                  <c:v>305</c:v>
                </c:pt>
                <c:pt idx="1964">
                  <c:v>305</c:v>
                </c:pt>
                <c:pt idx="1965">
                  <c:v>305</c:v>
                </c:pt>
                <c:pt idx="1966">
                  <c:v>305</c:v>
                </c:pt>
                <c:pt idx="1967">
                  <c:v>305</c:v>
                </c:pt>
                <c:pt idx="1968">
                  <c:v>305</c:v>
                </c:pt>
                <c:pt idx="1969">
                  <c:v>305</c:v>
                </c:pt>
                <c:pt idx="1970">
                  <c:v>305</c:v>
                </c:pt>
                <c:pt idx="1971">
                  <c:v>305</c:v>
                </c:pt>
                <c:pt idx="1972">
                  <c:v>305</c:v>
                </c:pt>
                <c:pt idx="1973">
                  <c:v>305</c:v>
                </c:pt>
                <c:pt idx="1974">
                  <c:v>305</c:v>
                </c:pt>
                <c:pt idx="1975">
                  <c:v>305</c:v>
                </c:pt>
                <c:pt idx="1976">
                  <c:v>305</c:v>
                </c:pt>
                <c:pt idx="1977">
                  <c:v>305</c:v>
                </c:pt>
                <c:pt idx="1978">
                  <c:v>305</c:v>
                </c:pt>
                <c:pt idx="1979">
                  <c:v>302</c:v>
                </c:pt>
                <c:pt idx="1980">
                  <c:v>302</c:v>
                </c:pt>
                <c:pt idx="1981">
                  <c:v>302</c:v>
                </c:pt>
                <c:pt idx="1982">
                  <c:v>302</c:v>
                </c:pt>
                <c:pt idx="1983">
                  <c:v>302</c:v>
                </c:pt>
                <c:pt idx="1984">
                  <c:v>302</c:v>
                </c:pt>
                <c:pt idx="1985">
                  <c:v>302</c:v>
                </c:pt>
                <c:pt idx="1986">
                  <c:v>302</c:v>
                </c:pt>
                <c:pt idx="1987">
                  <c:v>302</c:v>
                </c:pt>
                <c:pt idx="1988">
                  <c:v>302</c:v>
                </c:pt>
                <c:pt idx="1989">
                  <c:v>302</c:v>
                </c:pt>
                <c:pt idx="1990">
                  <c:v>302</c:v>
                </c:pt>
                <c:pt idx="1991">
                  <c:v>302</c:v>
                </c:pt>
                <c:pt idx="1992">
                  <c:v>302</c:v>
                </c:pt>
                <c:pt idx="1993">
                  <c:v>302</c:v>
                </c:pt>
                <c:pt idx="1994">
                  <c:v>302</c:v>
                </c:pt>
                <c:pt idx="1995">
                  <c:v>302</c:v>
                </c:pt>
                <c:pt idx="1996">
                  <c:v>302</c:v>
                </c:pt>
                <c:pt idx="1997">
                  <c:v>302</c:v>
                </c:pt>
                <c:pt idx="1998">
                  <c:v>302</c:v>
                </c:pt>
                <c:pt idx="1999">
                  <c:v>300</c:v>
                </c:pt>
                <c:pt idx="2000">
                  <c:v>300</c:v>
                </c:pt>
                <c:pt idx="2001">
                  <c:v>300</c:v>
                </c:pt>
                <c:pt idx="2002">
                  <c:v>300</c:v>
                </c:pt>
                <c:pt idx="2003">
                  <c:v>300</c:v>
                </c:pt>
              </c:numCache>
            </c:numRef>
          </c:yVal>
          <c:smooth val="0"/>
        </c:ser>
        <c:dLbls>
          <c:showLegendKey val="0"/>
          <c:showVal val="0"/>
          <c:showCatName val="0"/>
          <c:showSerName val="0"/>
          <c:showPercent val="0"/>
          <c:showBubbleSize val="0"/>
        </c:dLbls>
        <c:axId val="166357248"/>
        <c:axId val="166359424"/>
      </c:scatterChart>
      <c:valAx>
        <c:axId val="166357248"/>
        <c:scaling>
          <c:orientation val="minMax"/>
        </c:scaling>
        <c:delete val="0"/>
        <c:axPos val="b"/>
        <c:title>
          <c:tx>
            <c:rich>
              <a:bodyPr/>
              <a:lstStyle/>
              <a:p>
                <a:pPr>
                  <a:defRPr sz="1100"/>
                </a:pPr>
                <a:r>
                  <a:rPr lang="en-US" sz="1100"/>
                  <a:t>Clock Ticks</a:t>
                </a:r>
              </a:p>
            </c:rich>
          </c:tx>
          <c:layout>
            <c:manualLayout>
              <c:xMode val="edge"/>
              <c:yMode val="edge"/>
              <c:x val="0.40985520559930005"/>
              <c:y val="0.90859412380066951"/>
            </c:manualLayout>
          </c:layout>
          <c:overlay val="0"/>
        </c:title>
        <c:numFmt formatCode="General" sourceLinked="1"/>
        <c:majorTickMark val="out"/>
        <c:minorTickMark val="none"/>
        <c:tickLblPos val="nextTo"/>
        <c:crossAx val="166359424"/>
        <c:crosses val="autoZero"/>
        <c:crossBetween val="midCat"/>
      </c:valAx>
      <c:valAx>
        <c:axId val="166359424"/>
        <c:scaling>
          <c:orientation val="minMax"/>
          <c:max val="500"/>
        </c:scaling>
        <c:delete val="0"/>
        <c:axPos val="l"/>
        <c:majorGridlines/>
        <c:numFmt formatCode="0" sourceLinked="1"/>
        <c:majorTickMark val="out"/>
        <c:minorTickMark val="none"/>
        <c:tickLblPos val="nextTo"/>
        <c:crossAx val="166357248"/>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'Delete me'!$H$8:$H$1408</c:f>
              <c:numCache>
                <c:formatCode>General</c:formatCode>
                <c:ptCount val="14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numCache>
            </c:numRef>
          </c:cat>
          <c:val>
            <c:numRef>
              <c:f>'Delete me'!$K$8:$K$1408</c:f>
              <c:numCache>
                <c:formatCode>0.00</c:formatCode>
                <c:ptCount val="1401"/>
                <c:pt idx="0">
                  <c:v>10</c:v>
                </c:pt>
                <c:pt idx="1">
                  <c:v>10.18</c:v>
                </c:pt>
                <c:pt idx="2">
                  <c:v>10.36</c:v>
                </c:pt>
                <c:pt idx="3">
                  <c:v>10.54</c:v>
                </c:pt>
                <c:pt idx="4">
                  <c:v>10.719999999999999</c:v>
                </c:pt>
                <c:pt idx="5">
                  <c:v>10.899999999999999</c:v>
                </c:pt>
                <c:pt idx="6">
                  <c:v>11.079999999999998</c:v>
                </c:pt>
                <c:pt idx="7">
                  <c:v>11.259999999999998</c:v>
                </c:pt>
                <c:pt idx="8">
                  <c:v>11.439999999999998</c:v>
                </c:pt>
                <c:pt idx="9">
                  <c:v>11.619999999999997</c:v>
                </c:pt>
                <c:pt idx="10">
                  <c:v>11.799999999999997</c:v>
                </c:pt>
                <c:pt idx="11">
                  <c:v>11.979999999999997</c:v>
                </c:pt>
                <c:pt idx="12">
                  <c:v>12.159999999999997</c:v>
                </c:pt>
                <c:pt idx="13">
                  <c:v>12.339999999999996</c:v>
                </c:pt>
                <c:pt idx="14">
                  <c:v>12.519999999999996</c:v>
                </c:pt>
                <c:pt idx="15">
                  <c:v>12.699999999999996</c:v>
                </c:pt>
                <c:pt idx="16">
                  <c:v>12.879999999999995</c:v>
                </c:pt>
                <c:pt idx="17">
                  <c:v>13.059999999999995</c:v>
                </c:pt>
                <c:pt idx="18">
                  <c:v>13.239999999999995</c:v>
                </c:pt>
                <c:pt idx="19">
                  <c:v>13.419999999999995</c:v>
                </c:pt>
                <c:pt idx="20">
                  <c:v>13.599999999999994</c:v>
                </c:pt>
                <c:pt idx="21">
                  <c:v>13.779999999999994</c:v>
                </c:pt>
                <c:pt idx="22">
                  <c:v>13.959999999999994</c:v>
                </c:pt>
                <c:pt idx="23">
                  <c:v>14.139999999999993</c:v>
                </c:pt>
                <c:pt idx="24">
                  <c:v>14.319999999999993</c:v>
                </c:pt>
                <c:pt idx="25">
                  <c:v>14.499999999999993</c:v>
                </c:pt>
                <c:pt idx="26">
                  <c:v>14.679999999999993</c:v>
                </c:pt>
                <c:pt idx="27">
                  <c:v>14.859999999999992</c:v>
                </c:pt>
                <c:pt idx="28">
                  <c:v>15.039999999999992</c:v>
                </c:pt>
                <c:pt idx="29">
                  <c:v>15.219999999999992</c:v>
                </c:pt>
                <c:pt idx="30">
                  <c:v>15.399999999999991</c:v>
                </c:pt>
                <c:pt idx="31">
                  <c:v>15.579999999999991</c:v>
                </c:pt>
                <c:pt idx="32">
                  <c:v>15.759999999999991</c:v>
                </c:pt>
                <c:pt idx="33">
                  <c:v>15.939999999999991</c:v>
                </c:pt>
                <c:pt idx="34">
                  <c:v>16.11999999999999</c:v>
                </c:pt>
                <c:pt idx="35">
                  <c:v>16.29999999999999</c:v>
                </c:pt>
                <c:pt idx="36">
                  <c:v>16.47999999999999</c:v>
                </c:pt>
                <c:pt idx="37">
                  <c:v>16.659999999999989</c:v>
                </c:pt>
                <c:pt idx="38">
                  <c:v>16.839999999999989</c:v>
                </c:pt>
                <c:pt idx="39">
                  <c:v>17.019999999999989</c:v>
                </c:pt>
                <c:pt idx="40">
                  <c:v>17.199999999999989</c:v>
                </c:pt>
                <c:pt idx="41">
                  <c:v>17.379999999999988</c:v>
                </c:pt>
                <c:pt idx="42">
                  <c:v>17.559999999999988</c:v>
                </c:pt>
                <c:pt idx="43">
                  <c:v>17.739999999999988</c:v>
                </c:pt>
                <c:pt idx="44">
                  <c:v>17.919999999999987</c:v>
                </c:pt>
                <c:pt idx="45">
                  <c:v>18.099999999999987</c:v>
                </c:pt>
                <c:pt idx="46">
                  <c:v>18.279999999999987</c:v>
                </c:pt>
                <c:pt idx="47">
                  <c:v>18.459999999999987</c:v>
                </c:pt>
                <c:pt idx="48">
                  <c:v>18.639999999999986</c:v>
                </c:pt>
                <c:pt idx="49">
                  <c:v>18.819999999999986</c:v>
                </c:pt>
                <c:pt idx="50">
                  <c:v>18.999999999999986</c:v>
                </c:pt>
                <c:pt idx="51">
                  <c:v>19.179999999999986</c:v>
                </c:pt>
                <c:pt idx="52">
                  <c:v>19.359999999999985</c:v>
                </c:pt>
                <c:pt idx="53">
                  <c:v>19.539999999999985</c:v>
                </c:pt>
                <c:pt idx="54">
                  <c:v>19.719999999999985</c:v>
                </c:pt>
                <c:pt idx="55">
                  <c:v>19.899999999999984</c:v>
                </c:pt>
                <c:pt idx="56">
                  <c:v>20.079999999999984</c:v>
                </c:pt>
                <c:pt idx="57">
                  <c:v>20.259999999999984</c:v>
                </c:pt>
                <c:pt idx="58">
                  <c:v>20.439999999999984</c:v>
                </c:pt>
                <c:pt idx="59">
                  <c:v>20.619999999999983</c:v>
                </c:pt>
                <c:pt idx="60">
                  <c:v>20.799999999999983</c:v>
                </c:pt>
                <c:pt idx="61">
                  <c:v>20.979999999999983</c:v>
                </c:pt>
                <c:pt idx="62">
                  <c:v>21.159999999999982</c:v>
                </c:pt>
                <c:pt idx="63">
                  <c:v>21.339999999999982</c:v>
                </c:pt>
                <c:pt idx="64">
                  <c:v>21.519999999999982</c:v>
                </c:pt>
                <c:pt idx="65">
                  <c:v>21.699999999999982</c:v>
                </c:pt>
                <c:pt idx="66">
                  <c:v>21.879999999999981</c:v>
                </c:pt>
                <c:pt idx="67">
                  <c:v>22.059999999999981</c:v>
                </c:pt>
                <c:pt idx="68">
                  <c:v>22.239999999999981</c:v>
                </c:pt>
                <c:pt idx="69">
                  <c:v>22.41999999999998</c:v>
                </c:pt>
                <c:pt idx="70">
                  <c:v>22.59999999999998</c:v>
                </c:pt>
                <c:pt idx="71">
                  <c:v>22.77999999999998</c:v>
                </c:pt>
                <c:pt idx="72">
                  <c:v>22.95999999999998</c:v>
                </c:pt>
                <c:pt idx="73">
                  <c:v>23.139999999999979</c:v>
                </c:pt>
                <c:pt idx="74">
                  <c:v>23.319999999999979</c:v>
                </c:pt>
                <c:pt idx="75">
                  <c:v>23.499999999999979</c:v>
                </c:pt>
                <c:pt idx="76">
                  <c:v>23.679999999999978</c:v>
                </c:pt>
                <c:pt idx="77">
                  <c:v>23.859999999999978</c:v>
                </c:pt>
                <c:pt idx="78">
                  <c:v>24.039999999999978</c:v>
                </c:pt>
                <c:pt idx="79">
                  <c:v>24.219999999999978</c:v>
                </c:pt>
                <c:pt idx="80">
                  <c:v>24.399999999999977</c:v>
                </c:pt>
                <c:pt idx="81">
                  <c:v>24.579999999999977</c:v>
                </c:pt>
                <c:pt idx="82">
                  <c:v>24.759999999999977</c:v>
                </c:pt>
                <c:pt idx="83">
                  <c:v>24.939999999999976</c:v>
                </c:pt>
                <c:pt idx="84">
                  <c:v>25.119999999999976</c:v>
                </c:pt>
                <c:pt idx="85">
                  <c:v>25.299999999999976</c:v>
                </c:pt>
                <c:pt idx="86">
                  <c:v>25.479999999999976</c:v>
                </c:pt>
                <c:pt idx="87">
                  <c:v>25.659999999999975</c:v>
                </c:pt>
                <c:pt idx="88">
                  <c:v>25.839999999999975</c:v>
                </c:pt>
                <c:pt idx="89">
                  <c:v>26.019999999999975</c:v>
                </c:pt>
                <c:pt idx="90">
                  <c:v>26.199999999999974</c:v>
                </c:pt>
                <c:pt idx="91">
                  <c:v>26.379999999999974</c:v>
                </c:pt>
                <c:pt idx="92">
                  <c:v>26.559999999999974</c:v>
                </c:pt>
                <c:pt idx="93">
                  <c:v>26.739999999999974</c:v>
                </c:pt>
                <c:pt idx="94">
                  <c:v>26.919999999999973</c:v>
                </c:pt>
                <c:pt idx="95">
                  <c:v>27.099999999999973</c:v>
                </c:pt>
                <c:pt idx="96">
                  <c:v>27.279999999999973</c:v>
                </c:pt>
                <c:pt idx="97">
                  <c:v>27.459999999999972</c:v>
                </c:pt>
                <c:pt idx="98">
                  <c:v>27.639999999999972</c:v>
                </c:pt>
                <c:pt idx="99">
                  <c:v>27.819999999999972</c:v>
                </c:pt>
                <c:pt idx="100">
                  <c:v>27.999999999999972</c:v>
                </c:pt>
                <c:pt idx="101">
                  <c:v>28.179999999999971</c:v>
                </c:pt>
                <c:pt idx="102">
                  <c:v>28.359999999999971</c:v>
                </c:pt>
                <c:pt idx="103">
                  <c:v>28.539999999999971</c:v>
                </c:pt>
                <c:pt idx="104">
                  <c:v>28.71999999999997</c:v>
                </c:pt>
                <c:pt idx="105">
                  <c:v>28.89999999999997</c:v>
                </c:pt>
                <c:pt idx="106">
                  <c:v>29.07999999999997</c:v>
                </c:pt>
                <c:pt idx="107">
                  <c:v>29.25999999999997</c:v>
                </c:pt>
                <c:pt idx="108">
                  <c:v>29.439999999999969</c:v>
                </c:pt>
                <c:pt idx="109">
                  <c:v>29.619999999999969</c:v>
                </c:pt>
                <c:pt idx="110">
                  <c:v>29.799999999999969</c:v>
                </c:pt>
                <c:pt idx="111">
                  <c:v>29.979999999999968</c:v>
                </c:pt>
                <c:pt idx="112">
                  <c:v>30.159999999999968</c:v>
                </c:pt>
                <c:pt idx="113">
                  <c:v>30.339999999999968</c:v>
                </c:pt>
                <c:pt idx="114">
                  <c:v>30.519999999999968</c:v>
                </c:pt>
                <c:pt idx="115">
                  <c:v>30.699999999999967</c:v>
                </c:pt>
                <c:pt idx="116">
                  <c:v>30.879999999999967</c:v>
                </c:pt>
                <c:pt idx="117">
                  <c:v>31.059999999999967</c:v>
                </c:pt>
                <c:pt idx="118">
                  <c:v>31.239999999999966</c:v>
                </c:pt>
                <c:pt idx="119">
                  <c:v>31.419999999999966</c:v>
                </c:pt>
                <c:pt idx="120">
                  <c:v>31.599999999999966</c:v>
                </c:pt>
                <c:pt idx="121">
                  <c:v>31.779999999999966</c:v>
                </c:pt>
                <c:pt idx="122">
                  <c:v>31.959999999999965</c:v>
                </c:pt>
                <c:pt idx="123">
                  <c:v>32.139999999999965</c:v>
                </c:pt>
                <c:pt idx="124">
                  <c:v>32.319999999999965</c:v>
                </c:pt>
                <c:pt idx="125">
                  <c:v>32.499999999999964</c:v>
                </c:pt>
                <c:pt idx="126">
                  <c:v>32.679999999999964</c:v>
                </c:pt>
                <c:pt idx="127">
                  <c:v>32.859999999999964</c:v>
                </c:pt>
                <c:pt idx="128">
                  <c:v>33.039999999999964</c:v>
                </c:pt>
                <c:pt idx="129">
                  <c:v>33.219999999999963</c:v>
                </c:pt>
                <c:pt idx="130">
                  <c:v>33.399999999999963</c:v>
                </c:pt>
                <c:pt idx="131">
                  <c:v>33.579999999999963</c:v>
                </c:pt>
                <c:pt idx="132">
                  <c:v>33.759999999999962</c:v>
                </c:pt>
                <c:pt idx="133">
                  <c:v>33.939999999999962</c:v>
                </c:pt>
                <c:pt idx="134">
                  <c:v>34.119999999999962</c:v>
                </c:pt>
                <c:pt idx="135">
                  <c:v>34.299999999999962</c:v>
                </c:pt>
                <c:pt idx="136">
                  <c:v>34.479999999999961</c:v>
                </c:pt>
                <c:pt idx="137">
                  <c:v>34.659999999999961</c:v>
                </c:pt>
                <c:pt idx="138">
                  <c:v>34.839999999999961</c:v>
                </c:pt>
                <c:pt idx="139">
                  <c:v>35.01999999999996</c:v>
                </c:pt>
                <c:pt idx="140">
                  <c:v>35.19999999999996</c:v>
                </c:pt>
                <c:pt idx="141">
                  <c:v>35.37999999999996</c:v>
                </c:pt>
                <c:pt idx="142">
                  <c:v>35.55999999999996</c:v>
                </c:pt>
                <c:pt idx="143">
                  <c:v>35.739999999999959</c:v>
                </c:pt>
                <c:pt idx="144">
                  <c:v>35.919999999999959</c:v>
                </c:pt>
                <c:pt idx="145">
                  <c:v>36.099999999999959</c:v>
                </c:pt>
                <c:pt idx="146">
                  <c:v>36.279999999999959</c:v>
                </c:pt>
                <c:pt idx="147">
                  <c:v>36.459999999999958</c:v>
                </c:pt>
                <c:pt idx="148">
                  <c:v>36.639999999999958</c:v>
                </c:pt>
                <c:pt idx="149">
                  <c:v>36.819999999999958</c:v>
                </c:pt>
                <c:pt idx="150">
                  <c:v>36.999999999999957</c:v>
                </c:pt>
                <c:pt idx="151">
                  <c:v>37.179999999999957</c:v>
                </c:pt>
                <c:pt idx="152">
                  <c:v>37.359999999999957</c:v>
                </c:pt>
                <c:pt idx="153">
                  <c:v>37.539999999999957</c:v>
                </c:pt>
                <c:pt idx="154">
                  <c:v>37.719999999999956</c:v>
                </c:pt>
                <c:pt idx="155">
                  <c:v>37.899999999999956</c:v>
                </c:pt>
                <c:pt idx="156">
                  <c:v>38.079999999999956</c:v>
                </c:pt>
                <c:pt idx="157">
                  <c:v>38.259999999999955</c:v>
                </c:pt>
                <c:pt idx="158">
                  <c:v>38.439999999999955</c:v>
                </c:pt>
                <c:pt idx="159">
                  <c:v>38.619999999999955</c:v>
                </c:pt>
                <c:pt idx="160">
                  <c:v>38.799999999999955</c:v>
                </c:pt>
                <c:pt idx="161">
                  <c:v>38.979999999999954</c:v>
                </c:pt>
                <c:pt idx="162">
                  <c:v>39.159999999999954</c:v>
                </c:pt>
                <c:pt idx="163">
                  <c:v>39.339999999999954</c:v>
                </c:pt>
                <c:pt idx="164">
                  <c:v>39.519999999999953</c:v>
                </c:pt>
                <c:pt idx="165">
                  <c:v>39.699999999999953</c:v>
                </c:pt>
                <c:pt idx="166">
                  <c:v>39.879999999999953</c:v>
                </c:pt>
                <c:pt idx="167">
                  <c:v>40.059999999999953</c:v>
                </c:pt>
                <c:pt idx="168">
                  <c:v>40.239999999999952</c:v>
                </c:pt>
                <c:pt idx="169">
                  <c:v>40.419999999999952</c:v>
                </c:pt>
                <c:pt idx="170">
                  <c:v>40.599999999999952</c:v>
                </c:pt>
                <c:pt idx="171">
                  <c:v>40.779999999999951</c:v>
                </c:pt>
                <c:pt idx="172">
                  <c:v>40.959999999999951</c:v>
                </c:pt>
                <c:pt idx="173">
                  <c:v>41.139999999999951</c:v>
                </c:pt>
                <c:pt idx="174">
                  <c:v>41.319999999999951</c:v>
                </c:pt>
                <c:pt idx="175">
                  <c:v>41.49999999999995</c:v>
                </c:pt>
                <c:pt idx="176">
                  <c:v>41.67999999999995</c:v>
                </c:pt>
                <c:pt idx="177">
                  <c:v>41.85999999999995</c:v>
                </c:pt>
                <c:pt idx="178">
                  <c:v>42.039999999999949</c:v>
                </c:pt>
                <c:pt idx="179">
                  <c:v>42.219999999999949</c:v>
                </c:pt>
                <c:pt idx="180">
                  <c:v>42.399999999999949</c:v>
                </c:pt>
                <c:pt idx="181">
                  <c:v>42.579999999999949</c:v>
                </c:pt>
                <c:pt idx="182">
                  <c:v>42.759999999999948</c:v>
                </c:pt>
                <c:pt idx="183">
                  <c:v>42.939999999999948</c:v>
                </c:pt>
                <c:pt idx="184">
                  <c:v>43.119999999999948</c:v>
                </c:pt>
                <c:pt idx="185">
                  <c:v>43.299999999999947</c:v>
                </c:pt>
                <c:pt idx="186">
                  <c:v>43.479999999999947</c:v>
                </c:pt>
                <c:pt idx="187">
                  <c:v>43.659999999999947</c:v>
                </c:pt>
                <c:pt idx="188">
                  <c:v>43.839999999999947</c:v>
                </c:pt>
                <c:pt idx="189">
                  <c:v>44.019999999999946</c:v>
                </c:pt>
                <c:pt idx="190">
                  <c:v>44.199999999999946</c:v>
                </c:pt>
                <c:pt idx="191">
                  <c:v>44.379999999999946</c:v>
                </c:pt>
                <c:pt idx="192">
                  <c:v>44.559999999999945</c:v>
                </c:pt>
                <c:pt idx="193">
                  <c:v>44.739999999999945</c:v>
                </c:pt>
                <c:pt idx="194">
                  <c:v>44.919999999999945</c:v>
                </c:pt>
                <c:pt idx="195">
                  <c:v>45.099999999999945</c:v>
                </c:pt>
                <c:pt idx="196">
                  <c:v>45.279999999999944</c:v>
                </c:pt>
                <c:pt idx="197">
                  <c:v>45.459999999999944</c:v>
                </c:pt>
                <c:pt idx="198">
                  <c:v>45.639999999999944</c:v>
                </c:pt>
                <c:pt idx="199">
                  <c:v>45.819999999999943</c:v>
                </c:pt>
                <c:pt idx="200">
                  <c:v>45.999999999999943</c:v>
                </c:pt>
                <c:pt idx="201">
                  <c:v>46.179999999999943</c:v>
                </c:pt>
                <c:pt idx="202">
                  <c:v>46.359999999999943</c:v>
                </c:pt>
                <c:pt idx="203">
                  <c:v>46.539999999999942</c:v>
                </c:pt>
                <c:pt idx="204">
                  <c:v>46.719999999999942</c:v>
                </c:pt>
                <c:pt idx="205">
                  <c:v>46.899999999999942</c:v>
                </c:pt>
                <c:pt idx="206">
                  <c:v>47.079999999999941</c:v>
                </c:pt>
                <c:pt idx="207">
                  <c:v>47.259999999999941</c:v>
                </c:pt>
                <c:pt idx="208">
                  <c:v>47.439999999999941</c:v>
                </c:pt>
                <c:pt idx="209">
                  <c:v>47.619999999999941</c:v>
                </c:pt>
                <c:pt idx="210">
                  <c:v>47.79999999999994</c:v>
                </c:pt>
                <c:pt idx="211">
                  <c:v>47.97999999999994</c:v>
                </c:pt>
                <c:pt idx="212">
                  <c:v>48.15999999999994</c:v>
                </c:pt>
                <c:pt idx="213">
                  <c:v>48.339999999999939</c:v>
                </c:pt>
                <c:pt idx="214">
                  <c:v>48.519999999999939</c:v>
                </c:pt>
                <c:pt idx="215">
                  <c:v>48.699999999999939</c:v>
                </c:pt>
                <c:pt idx="216">
                  <c:v>48.879999999999939</c:v>
                </c:pt>
                <c:pt idx="217">
                  <c:v>49.059999999999938</c:v>
                </c:pt>
                <c:pt idx="218">
                  <c:v>49.239999999999938</c:v>
                </c:pt>
                <c:pt idx="219">
                  <c:v>49.419999999999938</c:v>
                </c:pt>
                <c:pt idx="220">
                  <c:v>49.599999999999937</c:v>
                </c:pt>
                <c:pt idx="221">
                  <c:v>49.779999999999937</c:v>
                </c:pt>
                <c:pt idx="222">
                  <c:v>49.959999999999937</c:v>
                </c:pt>
                <c:pt idx="223">
                  <c:v>50.139999999999937</c:v>
                </c:pt>
                <c:pt idx="224">
                  <c:v>50.319999999999936</c:v>
                </c:pt>
                <c:pt idx="225">
                  <c:v>50.499999999999936</c:v>
                </c:pt>
                <c:pt idx="226">
                  <c:v>50.679999999999936</c:v>
                </c:pt>
                <c:pt idx="227">
                  <c:v>50.859999999999935</c:v>
                </c:pt>
                <c:pt idx="228">
                  <c:v>51.039999999999935</c:v>
                </c:pt>
                <c:pt idx="229">
                  <c:v>51.219999999999935</c:v>
                </c:pt>
                <c:pt idx="230">
                  <c:v>51.399999999999935</c:v>
                </c:pt>
                <c:pt idx="231">
                  <c:v>51.579999999999934</c:v>
                </c:pt>
                <c:pt idx="232">
                  <c:v>51.759999999999934</c:v>
                </c:pt>
                <c:pt idx="233">
                  <c:v>51.939999999999934</c:v>
                </c:pt>
                <c:pt idx="234">
                  <c:v>52.119999999999933</c:v>
                </c:pt>
                <c:pt idx="235">
                  <c:v>52.299999999999933</c:v>
                </c:pt>
                <c:pt idx="236">
                  <c:v>52.479999999999933</c:v>
                </c:pt>
                <c:pt idx="237">
                  <c:v>52.659999999999933</c:v>
                </c:pt>
                <c:pt idx="238">
                  <c:v>52.839999999999932</c:v>
                </c:pt>
                <c:pt idx="239">
                  <c:v>53.019999999999932</c:v>
                </c:pt>
                <c:pt idx="240">
                  <c:v>53.199999999999932</c:v>
                </c:pt>
                <c:pt idx="241">
                  <c:v>53.379999999999932</c:v>
                </c:pt>
                <c:pt idx="242">
                  <c:v>53.559999999999931</c:v>
                </c:pt>
                <c:pt idx="243">
                  <c:v>53.739999999999931</c:v>
                </c:pt>
                <c:pt idx="244">
                  <c:v>53.919999999999931</c:v>
                </c:pt>
                <c:pt idx="245">
                  <c:v>54.09999999999993</c:v>
                </c:pt>
                <c:pt idx="246">
                  <c:v>54.27999999999993</c:v>
                </c:pt>
                <c:pt idx="247">
                  <c:v>54.45999999999993</c:v>
                </c:pt>
                <c:pt idx="248">
                  <c:v>54.63999999999993</c:v>
                </c:pt>
                <c:pt idx="249">
                  <c:v>54.819999999999929</c:v>
                </c:pt>
                <c:pt idx="250">
                  <c:v>54.999999999999929</c:v>
                </c:pt>
                <c:pt idx="251">
                  <c:v>55.179999999999929</c:v>
                </c:pt>
                <c:pt idx="252">
                  <c:v>55.359999999999928</c:v>
                </c:pt>
                <c:pt idx="253">
                  <c:v>55.539999999999928</c:v>
                </c:pt>
                <c:pt idx="254">
                  <c:v>55.719999999999928</c:v>
                </c:pt>
                <c:pt idx="255">
                  <c:v>55.899999999999928</c:v>
                </c:pt>
                <c:pt idx="256">
                  <c:v>56.079999999999927</c:v>
                </c:pt>
                <c:pt idx="257">
                  <c:v>56.259999999999927</c:v>
                </c:pt>
                <c:pt idx="258">
                  <c:v>56.439999999999927</c:v>
                </c:pt>
                <c:pt idx="259">
                  <c:v>56.619999999999926</c:v>
                </c:pt>
                <c:pt idx="260">
                  <c:v>56.799999999999926</c:v>
                </c:pt>
                <c:pt idx="261">
                  <c:v>56.979999999999926</c:v>
                </c:pt>
                <c:pt idx="262">
                  <c:v>57.159999999999926</c:v>
                </c:pt>
                <c:pt idx="263">
                  <c:v>57.339999999999925</c:v>
                </c:pt>
                <c:pt idx="264">
                  <c:v>57.519999999999925</c:v>
                </c:pt>
                <c:pt idx="265">
                  <c:v>57.699999999999925</c:v>
                </c:pt>
                <c:pt idx="266">
                  <c:v>57.879999999999924</c:v>
                </c:pt>
                <c:pt idx="267">
                  <c:v>58.059999999999924</c:v>
                </c:pt>
                <c:pt idx="268">
                  <c:v>58.239999999999924</c:v>
                </c:pt>
                <c:pt idx="269">
                  <c:v>58.419999999999924</c:v>
                </c:pt>
                <c:pt idx="270">
                  <c:v>58.599999999999923</c:v>
                </c:pt>
                <c:pt idx="271">
                  <c:v>58.779999999999923</c:v>
                </c:pt>
                <c:pt idx="272">
                  <c:v>58.959999999999923</c:v>
                </c:pt>
                <c:pt idx="273">
                  <c:v>59.139999999999922</c:v>
                </c:pt>
                <c:pt idx="274">
                  <c:v>59.319999999999922</c:v>
                </c:pt>
                <c:pt idx="275">
                  <c:v>59.499999999999922</c:v>
                </c:pt>
                <c:pt idx="276">
                  <c:v>59.679999999999922</c:v>
                </c:pt>
                <c:pt idx="277">
                  <c:v>59.859999999999921</c:v>
                </c:pt>
                <c:pt idx="278">
                  <c:v>60.039999999999921</c:v>
                </c:pt>
                <c:pt idx="279">
                  <c:v>60.219999999999921</c:v>
                </c:pt>
                <c:pt idx="280">
                  <c:v>60.39999999999992</c:v>
                </c:pt>
                <c:pt idx="281">
                  <c:v>60.57999999999992</c:v>
                </c:pt>
                <c:pt idx="282">
                  <c:v>60.75999999999992</c:v>
                </c:pt>
                <c:pt idx="283">
                  <c:v>60.93999999999992</c:v>
                </c:pt>
                <c:pt idx="284">
                  <c:v>61.119999999999919</c:v>
                </c:pt>
                <c:pt idx="285">
                  <c:v>61.299999999999919</c:v>
                </c:pt>
                <c:pt idx="286">
                  <c:v>61.479999999999919</c:v>
                </c:pt>
                <c:pt idx="287">
                  <c:v>61.659999999999918</c:v>
                </c:pt>
                <c:pt idx="288">
                  <c:v>61.839999999999918</c:v>
                </c:pt>
                <c:pt idx="289">
                  <c:v>62.019999999999918</c:v>
                </c:pt>
                <c:pt idx="290">
                  <c:v>62.199999999999918</c:v>
                </c:pt>
                <c:pt idx="291">
                  <c:v>62.379999999999917</c:v>
                </c:pt>
                <c:pt idx="292">
                  <c:v>62.559999999999917</c:v>
                </c:pt>
                <c:pt idx="293">
                  <c:v>62.739999999999917</c:v>
                </c:pt>
                <c:pt idx="294">
                  <c:v>62.919999999999916</c:v>
                </c:pt>
                <c:pt idx="295">
                  <c:v>63.099999999999916</c:v>
                </c:pt>
                <c:pt idx="296">
                  <c:v>63.279999999999916</c:v>
                </c:pt>
                <c:pt idx="297">
                  <c:v>63.459999999999916</c:v>
                </c:pt>
                <c:pt idx="298">
                  <c:v>63.639999999999915</c:v>
                </c:pt>
                <c:pt idx="299">
                  <c:v>63.819999999999915</c:v>
                </c:pt>
                <c:pt idx="300">
                  <c:v>63.999999999999915</c:v>
                </c:pt>
                <c:pt idx="301">
                  <c:v>64.179999999999922</c:v>
                </c:pt>
                <c:pt idx="302">
                  <c:v>64.359999999999928</c:v>
                </c:pt>
                <c:pt idx="303">
                  <c:v>64.539999999999935</c:v>
                </c:pt>
                <c:pt idx="304">
                  <c:v>64.719999999999942</c:v>
                </c:pt>
                <c:pt idx="305">
                  <c:v>64.899999999999949</c:v>
                </c:pt>
                <c:pt idx="306">
                  <c:v>65.079999999999956</c:v>
                </c:pt>
                <c:pt idx="307">
                  <c:v>65.259999999999962</c:v>
                </c:pt>
                <c:pt idx="308">
                  <c:v>65.439999999999969</c:v>
                </c:pt>
                <c:pt idx="309">
                  <c:v>65.619999999999976</c:v>
                </c:pt>
                <c:pt idx="310">
                  <c:v>65.799999999999983</c:v>
                </c:pt>
                <c:pt idx="311">
                  <c:v>65.97999999999999</c:v>
                </c:pt>
                <c:pt idx="312">
                  <c:v>66.16</c:v>
                </c:pt>
                <c:pt idx="313">
                  <c:v>66.34</c:v>
                </c:pt>
                <c:pt idx="314">
                  <c:v>66.52000000000001</c:v>
                </c:pt>
                <c:pt idx="315">
                  <c:v>66.700000000000017</c:v>
                </c:pt>
                <c:pt idx="316">
                  <c:v>66.880000000000024</c:v>
                </c:pt>
                <c:pt idx="317">
                  <c:v>67.060000000000031</c:v>
                </c:pt>
                <c:pt idx="318">
                  <c:v>67.240000000000038</c:v>
                </c:pt>
                <c:pt idx="319">
                  <c:v>67.420000000000044</c:v>
                </c:pt>
                <c:pt idx="320">
                  <c:v>67.600000000000051</c:v>
                </c:pt>
                <c:pt idx="321">
                  <c:v>67.780000000000058</c:v>
                </c:pt>
                <c:pt idx="322">
                  <c:v>67.960000000000065</c:v>
                </c:pt>
                <c:pt idx="323">
                  <c:v>68.140000000000072</c:v>
                </c:pt>
                <c:pt idx="324">
                  <c:v>68.320000000000078</c:v>
                </c:pt>
                <c:pt idx="325">
                  <c:v>68.500000000000085</c:v>
                </c:pt>
                <c:pt idx="326">
                  <c:v>68.680000000000092</c:v>
                </c:pt>
                <c:pt idx="327">
                  <c:v>68.860000000000099</c:v>
                </c:pt>
                <c:pt idx="328">
                  <c:v>69.040000000000106</c:v>
                </c:pt>
                <c:pt idx="329">
                  <c:v>69.220000000000113</c:v>
                </c:pt>
                <c:pt idx="330">
                  <c:v>69.400000000000119</c:v>
                </c:pt>
                <c:pt idx="331">
                  <c:v>69.580000000000126</c:v>
                </c:pt>
                <c:pt idx="332">
                  <c:v>69.760000000000133</c:v>
                </c:pt>
                <c:pt idx="333">
                  <c:v>69.94000000000014</c:v>
                </c:pt>
                <c:pt idx="334">
                  <c:v>70.120000000000147</c:v>
                </c:pt>
                <c:pt idx="335">
                  <c:v>70.300000000000153</c:v>
                </c:pt>
                <c:pt idx="336">
                  <c:v>70.48000000000016</c:v>
                </c:pt>
                <c:pt idx="337">
                  <c:v>70.660000000000167</c:v>
                </c:pt>
                <c:pt idx="338">
                  <c:v>70.840000000000174</c:v>
                </c:pt>
                <c:pt idx="339">
                  <c:v>71.020000000000181</c:v>
                </c:pt>
                <c:pt idx="340">
                  <c:v>71.200000000000188</c:v>
                </c:pt>
                <c:pt idx="341">
                  <c:v>71.380000000000194</c:v>
                </c:pt>
                <c:pt idx="342">
                  <c:v>71.560000000000201</c:v>
                </c:pt>
                <c:pt idx="343">
                  <c:v>71.740000000000208</c:v>
                </c:pt>
                <c:pt idx="344">
                  <c:v>71.920000000000215</c:v>
                </c:pt>
                <c:pt idx="345">
                  <c:v>72.100000000000222</c:v>
                </c:pt>
                <c:pt idx="346">
                  <c:v>72.280000000000229</c:v>
                </c:pt>
                <c:pt idx="347">
                  <c:v>72.460000000000235</c:v>
                </c:pt>
                <c:pt idx="348">
                  <c:v>72.640000000000242</c:v>
                </c:pt>
                <c:pt idx="349">
                  <c:v>72.820000000000249</c:v>
                </c:pt>
                <c:pt idx="350">
                  <c:v>73.000000000000256</c:v>
                </c:pt>
                <c:pt idx="351">
                  <c:v>73.180000000000263</c:v>
                </c:pt>
                <c:pt idx="352">
                  <c:v>73.360000000000269</c:v>
                </c:pt>
                <c:pt idx="353">
                  <c:v>73.540000000000276</c:v>
                </c:pt>
                <c:pt idx="354">
                  <c:v>73.720000000000283</c:v>
                </c:pt>
                <c:pt idx="355">
                  <c:v>73.90000000000029</c:v>
                </c:pt>
                <c:pt idx="356">
                  <c:v>74.080000000000297</c:v>
                </c:pt>
                <c:pt idx="357">
                  <c:v>74.260000000000304</c:v>
                </c:pt>
                <c:pt idx="358">
                  <c:v>74.44000000000031</c:v>
                </c:pt>
                <c:pt idx="359">
                  <c:v>74.620000000000317</c:v>
                </c:pt>
                <c:pt idx="360">
                  <c:v>74.800000000000324</c:v>
                </c:pt>
                <c:pt idx="361">
                  <c:v>74.980000000000331</c:v>
                </c:pt>
                <c:pt idx="362">
                  <c:v>75.160000000000338</c:v>
                </c:pt>
                <c:pt idx="363">
                  <c:v>75.340000000000344</c:v>
                </c:pt>
                <c:pt idx="364">
                  <c:v>75.520000000000351</c:v>
                </c:pt>
                <c:pt idx="365">
                  <c:v>75.700000000000358</c:v>
                </c:pt>
                <c:pt idx="366">
                  <c:v>75.880000000000365</c:v>
                </c:pt>
                <c:pt idx="367">
                  <c:v>76.060000000000372</c:v>
                </c:pt>
                <c:pt idx="368">
                  <c:v>76.240000000000379</c:v>
                </c:pt>
                <c:pt idx="369">
                  <c:v>76.420000000000385</c:v>
                </c:pt>
                <c:pt idx="370">
                  <c:v>76.600000000000392</c:v>
                </c:pt>
                <c:pt idx="371">
                  <c:v>76.780000000000399</c:v>
                </c:pt>
                <c:pt idx="372">
                  <c:v>76.960000000000406</c:v>
                </c:pt>
                <c:pt idx="373">
                  <c:v>77.140000000000413</c:v>
                </c:pt>
                <c:pt idx="374">
                  <c:v>77.32000000000042</c:v>
                </c:pt>
                <c:pt idx="375">
                  <c:v>77.500000000000426</c:v>
                </c:pt>
                <c:pt idx="376">
                  <c:v>77.680000000000433</c:v>
                </c:pt>
                <c:pt idx="377">
                  <c:v>77.86000000000044</c:v>
                </c:pt>
                <c:pt idx="378">
                  <c:v>78.040000000000447</c:v>
                </c:pt>
                <c:pt idx="379">
                  <c:v>78.220000000000454</c:v>
                </c:pt>
                <c:pt idx="380">
                  <c:v>78.40000000000046</c:v>
                </c:pt>
                <c:pt idx="381">
                  <c:v>78.580000000000467</c:v>
                </c:pt>
                <c:pt idx="382">
                  <c:v>78.760000000000474</c:v>
                </c:pt>
                <c:pt idx="383">
                  <c:v>78.940000000000481</c:v>
                </c:pt>
                <c:pt idx="384">
                  <c:v>79.120000000000488</c:v>
                </c:pt>
                <c:pt idx="385">
                  <c:v>79.300000000000495</c:v>
                </c:pt>
                <c:pt idx="386">
                  <c:v>79.480000000000501</c:v>
                </c:pt>
                <c:pt idx="387">
                  <c:v>79.660000000000508</c:v>
                </c:pt>
                <c:pt idx="388">
                  <c:v>79.840000000000515</c:v>
                </c:pt>
                <c:pt idx="389">
                  <c:v>80.020000000000522</c:v>
                </c:pt>
                <c:pt idx="390">
                  <c:v>80.200000000000529</c:v>
                </c:pt>
                <c:pt idx="391">
                  <c:v>80.380000000000535</c:v>
                </c:pt>
                <c:pt idx="392">
                  <c:v>80.560000000000542</c:v>
                </c:pt>
                <c:pt idx="393">
                  <c:v>80.740000000000549</c:v>
                </c:pt>
                <c:pt idx="394">
                  <c:v>80.920000000000556</c:v>
                </c:pt>
                <c:pt idx="395">
                  <c:v>81.100000000000563</c:v>
                </c:pt>
                <c:pt idx="396">
                  <c:v>81.28000000000057</c:v>
                </c:pt>
                <c:pt idx="397">
                  <c:v>81.460000000000576</c:v>
                </c:pt>
                <c:pt idx="398">
                  <c:v>81.640000000000583</c:v>
                </c:pt>
                <c:pt idx="399">
                  <c:v>81.82000000000059</c:v>
                </c:pt>
                <c:pt idx="400">
                  <c:v>82.000000000000597</c:v>
                </c:pt>
                <c:pt idx="401">
                  <c:v>82.180000000000604</c:v>
                </c:pt>
                <c:pt idx="402">
                  <c:v>82.36000000000061</c:v>
                </c:pt>
                <c:pt idx="403">
                  <c:v>82.540000000000617</c:v>
                </c:pt>
                <c:pt idx="404">
                  <c:v>82.720000000000624</c:v>
                </c:pt>
                <c:pt idx="405">
                  <c:v>82.900000000000631</c:v>
                </c:pt>
                <c:pt idx="406">
                  <c:v>83.080000000000638</c:v>
                </c:pt>
                <c:pt idx="407">
                  <c:v>83.260000000000645</c:v>
                </c:pt>
                <c:pt idx="408">
                  <c:v>83.440000000000651</c:v>
                </c:pt>
                <c:pt idx="409">
                  <c:v>83.620000000000658</c:v>
                </c:pt>
                <c:pt idx="410">
                  <c:v>83.800000000000665</c:v>
                </c:pt>
                <c:pt idx="411">
                  <c:v>83.980000000000672</c:v>
                </c:pt>
                <c:pt idx="412">
                  <c:v>84.160000000000679</c:v>
                </c:pt>
                <c:pt idx="413">
                  <c:v>84.340000000000686</c:v>
                </c:pt>
                <c:pt idx="414">
                  <c:v>84.520000000000692</c:v>
                </c:pt>
                <c:pt idx="415">
                  <c:v>84.700000000000699</c:v>
                </c:pt>
                <c:pt idx="416">
                  <c:v>84.880000000000706</c:v>
                </c:pt>
                <c:pt idx="417">
                  <c:v>85.060000000000713</c:v>
                </c:pt>
                <c:pt idx="418">
                  <c:v>85.24000000000072</c:v>
                </c:pt>
                <c:pt idx="419">
                  <c:v>85.420000000000726</c:v>
                </c:pt>
                <c:pt idx="420">
                  <c:v>85.600000000000733</c:v>
                </c:pt>
                <c:pt idx="421">
                  <c:v>85.78000000000074</c:v>
                </c:pt>
                <c:pt idx="422">
                  <c:v>85.960000000000747</c:v>
                </c:pt>
                <c:pt idx="423">
                  <c:v>86.140000000000754</c:v>
                </c:pt>
                <c:pt idx="424">
                  <c:v>86.320000000000761</c:v>
                </c:pt>
                <c:pt idx="425">
                  <c:v>86.500000000000767</c:v>
                </c:pt>
                <c:pt idx="426">
                  <c:v>86.680000000000774</c:v>
                </c:pt>
                <c:pt idx="427">
                  <c:v>86.860000000000781</c:v>
                </c:pt>
                <c:pt idx="428">
                  <c:v>87.040000000000788</c:v>
                </c:pt>
                <c:pt idx="429">
                  <c:v>87.220000000000795</c:v>
                </c:pt>
                <c:pt idx="430">
                  <c:v>87.400000000000801</c:v>
                </c:pt>
                <c:pt idx="431">
                  <c:v>87.580000000000808</c:v>
                </c:pt>
                <c:pt idx="432">
                  <c:v>87.760000000000815</c:v>
                </c:pt>
                <c:pt idx="433">
                  <c:v>87.940000000000822</c:v>
                </c:pt>
                <c:pt idx="434">
                  <c:v>88.120000000000829</c:v>
                </c:pt>
                <c:pt idx="435">
                  <c:v>88.300000000000836</c:v>
                </c:pt>
                <c:pt idx="436">
                  <c:v>88.480000000000842</c:v>
                </c:pt>
                <c:pt idx="437">
                  <c:v>88.660000000000849</c:v>
                </c:pt>
                <c:pt idx="438">
                  <c:v>88.840000000000856</c:v>
                </c:pt>
                <c:pt idx="439">
                  <c:v>89.020000000000863</c:v>
                </c:pt>
                <c:pt idx="440">
                  <c:v>89.20000000000087</c:v>
                </c:pt>
                <c:pt idx="441">
                  <c:v>89.380000000000877</c:v>
                </c:pt>
                <c:pt idx="442">
                  <c:v>89.560000000000883</c:v>
                </c:pt>
                <c:pt idx="443">
                  <c:v>89.74000000000089</c:v>
                </c:pt>
                <c:pt idx="444">
                  <c:v>89.920000000000897</c:v>
                </c:pt>
                <c:pt idx="445">
                  <c:v>90.100000000000904</c:v>
                </c:pt>
                <c:pt idx="446">
                  <c:v>90.280000000000911</c:v>
                </c:pt>
                <c:pt idx="447">
                  <c:v>90.460000000000917</c:v>
                </c:pt>
                <c:pt idx="448">
                  <c:v>90.640000000000924</c:v>
                </c:pt>
                <c:pt idx="449">
                  <c:v>90.820000000000931</c:v>
                </c:pt>
                <c:pt idx="450">
                  <c:v>91.000000000000938</c:v>
                </c:pt>
                <c:pt idx="451">
                  <c:v>91.180000000000945</c:v>
                </c:pt>
                <c:pt idx="452">
                  <c:v>91.360000000000952</c:v>
                </c:pt>
                <c:pt idx="453">
                  <c:v>91.540000000000958</c:v>
                </c:pt>
                <c:pt idx="454">
                  <c:v>91.720000000000965</c:v>
                </c:pt>
                <c:pt idx="455">
                  <c:v>91.900000000000972</c:v>
                </c:pt>
                <c:pt idx="456">
                  <c:v>92.080000000000979</c:v>
                </c:pt>
                <c:pt idx="457">
                  <c:v>92.260000000000986</c:v>
                </c:pt>
                <c:pt idx="458">
                  <c:v>92.440000000000992</c:v>
                </c:pt>
                <c:pt idx="459">
                  <c:v>92.620000000000999</c:v>
                </c:pt>
                <c:pt idx="460">
                  <c:v>92.800000000001006</c:v>
                </c:pt>
                <c:pt idx="461">
                  <c:v>92.980000000001013</c:v>
                </c:pt>
                <c:pt idx="462">
                  <c:v>93.16000000000102</c:v>
                </c:pt>
                <c:pt idx="463">
                  <c:v>93.340000000001027</c:v>
                </c:pt>
                <c:pt idx="464">
                  <c:v>93.520000000001033</c:v>
                </c:pt>
                <c:pt idx="465">
                  <c:v>93.70000000000104</c:v>
                </c:pt>
                <c:pt idx="466">
                  <c:v>93.880000000001047</c:v>
                </c:pt>
                <c:pt idx="467">
                  <c:v>94.060000000001054</c:v>
                </c:pt>
                <c:pt idx="468">
                  <c:v>94.240000000001061</c:v>
                </c:pt>
                <c:pt idx="469">
                  <c:v>94.420000000001068</c:v>
                </c:pt>
                <c:pt idx="470">
                  <c:v>94.600000000001074</c:v>
                </c:pt>
                <c:pt idx="471">
                  <c:v>94.780000000001081</c:v>
                </c:pt>
                <c:pt idx="472">
                  <c:v>94.960000000001088</c:v>
                </c:pt>
                <c:pt idx="473">
                  <c:v>95.140000000001095</c:v>
                </c:pt>
                <c:pt idx="474">
                  <c:v>95.320000000001102</c:v>
                </c:pt>
                <c:pt idx="475">
                  <c:v>95.500000000001108</c:v>
                </c:pt>
                <c:pt idx="476">
                  <c:v>95.680000000001115</c:v>
                </c:pt>
                <c:pt idx="477">
                  <c:v>95.860000000001122</c:v>
                </c:pt>
                <c:pt idx="478">
                  <c:v>96.040000000001129</c:v>
                </c:pt>
                <c:pt idx="479">
                  <c:v>96.220000000001136</c:v>
                </c:pt>
                <c:pt idx="480">
                  <c:v>96.400000000001143</c:v>
                </c:pt>
                <c:pt idx="481">
                  <c:v>96.580000000001149</c:v>
                </c:pt>
                <c:pt idx="482">
                  <c:v>96.760000000001156</c:v>
                </c:pt>
                <c:pt idx="483">
                  <c:v>96.940000000001163</c:v>
                </c:pt>
                <c:pt idx="484">
                  <c:v>97.12000000000117</c:v>
                </c:pt>
                <c:pt idx="485">
                  <c:v>97.300000000001177</c:v>
                </c:pt>
                <c:pt idx="486">
                  <c:v>97.480000000001183</c:v>
                </c:pt>
                <c:pt idx="487">
                  <c:v>97.66000000000119</c:v>
                </c:pt>
                <c:pt idx="488">
                  <c:v>97.840000000001197</c:v>
                </c:pt>
                <c:pt idx="489">
                  <c:v>98.020000000001204</c:v>
                </c:pt>
                <c:pt idx="490">
                  <c:v>98.200000000001211</c:v>
                </c:pt>
                <c:pt idx="491">
                  <c:v>98.380000000001218</c:v>
                </c:pt>
                <c:pt idx="492">
                  <c:v>98.560000000001224</c:v>
                </c:pt>
                <c:pt idx="493">
                  <c:v>98.740000000001231</c:v>
                </c:pt>
                <c:pt idx="494">
                  <c:v>98.920000000001238</c:v>
                </c:pt>
                <c:pt idx="495">
                  <c:v>99.100000000001245</c:v>
                </c:pt>
                <c:pt idx="496">
                  <c:v>99.280000000001252</c:v>
                </c:pt>
                <c:pt idx="497">
                  <c:v>99.460000000001259</c:v>
                </c:pt>
                <c:pt idx="498">
                  <c:v>99.640000000001265</c:v>
                </c:pt>
                <c:pt idx="499">
                  <c:v>99.820000000001272</c:v>
                </c:pt>
                <c:pt idx="500">
                  <c:v>100.00000000000128</c:v>
                </c:pt>
                <c:pt idx="501">
                  <c:v>99.800000000001276</c:v>
                </c:pt>
                <c:pt idx="502">
                  <c:v>99.600000000001273</c:v>
                </c:pt>
                <c:pt idx="503">
                  <c:v>99.40000000000127</c:v>
                </c:pt>
                <c:pt idx="504">
                  <c:v>99.200000000001268</c:v>
                </c:pt>
                <c:pt idx="505">
                  <c:v>99.000000000001265</c:v>
                </c:pt>
                <c:pt idx="506">
                  <c:v>98.800000000001262</c:v>
                </c:pt>
                <c:pt idx="507">
                  <c:v>98.600000000001259</c:v>
                </c:pt>
                <c:pt idx="508">
                  <c:v>98.400000000001256</c:v>
                </c:pt>
                <c:pt idx="509">
                  <c:v>98.200000000001253</c:v>
                </c:pt>
                <c:pt idx="510">
                  <c:v>98.000000000001251</c:v>
                </c:pt>
                <c:pt idx="511">
                  <c:v>97.800000000001248</c:v>
                </c:pt>
                <c:pt idx="512">
                  <c:v>97.600000000001245</c:v>
                </c:pt>
                <c:pt idx="513">
                  <c:v>97.400000000001242</c:v>
                </c:pt>
                <c:pt idx="514">
                  <c:v>97.200000000001239</c:v>
                </c:pt>
                <c:pt idx="515">
                  <c:v>97.000000000001236</c:v>
                </c:pt>
                <c:pt idx="516">
                  <c:v>96.800000000001234</c:v>
                </c:pt>
                <c:pt idx="517">
                  <c:v>96.600000000001231</c:v>
                </c:pt>
                <c:pt idx="518">
                  <c:v>96.400000000001228</c:v>
                </c:pt>
                <c:pt idx="519">
                  <c:v>96.200000000001225</c:v>
                </c:pt>
                <c:pt idx="520">
                  <c:v>96.000000000001222</c:v>
                </c:pt>
                <c:pt idx="521">
                  <c:v>95.800000000001219</c:v>
                </c:pt>
                <c:pt idx="522">
                  <c:v>95.600000000001216</c:v>
                </c:pt>
                <c:pt idx="523">
                  <c:v>95.400000000001214</c:v>
                </c:pt>
                <c:pt idx="524">
                  <c:v>95.200000000001211</c:v>
                </c:pt>
                <c:pt idx="525">
                  <c:v>95.000000000001208</c:v>
                </c:pt>
                <c:pt idx="526">
                  <c:v>94.800000000001205</c:v>
                </c:pt>
                <c:pt idx="527">
                  <c:v>94.600000000001202</c:v>
                </c:pt>
                <c:pt idx="528">
                  <c:v>94.400000000001199</c:v>
                </c:pt>
                <c:pt idx="529">
                  <c:v>94.200000000001197</c:v>
                </c:pt>
                <c:pt idx="530">
                  <c:v>94.000000000001194</c:v>
                </c:pt>
                <c:pt idx="531">
                  <c:v>93.800000000001191</c:v>
                </c:pt>
                <c:pt idx="532">
                  <c:v>93.600000000001188</c:v>
                </c:pt>
                <c:pt idx="533">
                  <c:v>93.400000000001185</c:v>
                </c:pt>
                <c:pt idx="534">
                  <c:v>93.200000000001182</c:v>
                </c:pt>
                <c:pt idx="535">
                  <c:v>93.00000000000118</c:v>
                </c:pt>
                <c:pt idx="536">
                  <c:v>92.800000000001177</c:v>
                </c:pt>
                <c:pt idx="537">
                  <c:v>92.600000000001174</c:v>
                </c:pt>
                <c:pt idx="538">
                  <c:v>92.400000000001171</c:v>
                </c:pt>
                <c:pt idx="539">
                  <c:v>92.200000000001168</c:v>
                </c:pt>
                <c:pt idx="540">
                  <c:v>92.000000000001165</c:v>
                </c:pt>
                <c:pt idx="541">
                  <c:v>91.800000000001162</c:v>
                </c:pt>
                <c:pt idx="542">
                  <c:v>91.60000000000116</c:v>
                </c:pt>
                <c:pt idx="543">
                  <c:v>91.400000000001157</c:v>
                </c:pt>
                <c:pt idx="544">
                  <c:v>91.200000000001154</c:v>
                </c:pt>
                <c:pt idx="545">
                  <c:v>91.000000000001151</c:v>
                </c:pt>
                <c:pt idx="546">
                  <c:v>90.800000000001148</c:v>
                </c:pt>
                <c:pt idx="547">
                  <c:v>90.600000000001145</c:v>
                </c:pt>
                <c:pt idx="548">
                  <c:v>90.400000000001143</c:v>
                </c:pt>
                <c:pt idx="549">
                  <c:v>90.20000000000114</c:v>
                </c:pt>
                <c:pt idx="550">
                  <c:v>90.000000000001137</c:v>
                </c:pt>
                <c:pt idx="551">
                  <c:v>89.800000000001134</c:v>
                </c:pt>
                <c:pt idx="552">
                  <c:v>89.600000000001131</c:v>
                </c:pt>
                <c:pt idx="553">
                  <c:v>89.400000000001128</c:v>
                </c:pt>
                <c:pt idx="554">
                  <c:v>89.200000000001125</c:v>
                </c:pt>
                <c:pt idx="555">
                  <c:v>89.000000000001123</c:v>
                </c:pt>
                <c:pt idx="556">
                  <c:v>88.80000000000112</c:v>
                </c:pt>
                <c:pt idx="557">
                  <c:v>88.600000000001117</c:v>
                </c:pt>
                <c:pt idx="558">
                  <c:v>88.400000000001114</c:v>
                </c:pt>
                <c:pt idx="559">
                  <c:v>88.200000000001111</c:v>
                </c:pt>
                <c:pt idx="560">
                  <c:v>88.000000000001108</c:v>
                </c:pt>
                <c:pt idx="561">
                  <c:v>87.800000000001106</c:v>
                </c:pt>
                <c:pt idx="562">
                  <c:v>87.600000000001103</c:v>
                </c:pt>
                <c:pt idx="563">
                  <c:v>87.4000000000011</c:v>
                </c:pt>
                <c:pt idx="564">
                  <c:v>87.200000000001097</c:v>
                </c:pt>
                <c:pt idx="565">
                  <c:v>87.000000000001094</c:v>
                </c:pt>
                <c:pt idx="566">
                  <c:v>86.800000000001091</c:v>
                </c:pt>
                <c:pt idx="567">
                  <c:v>86.600000000001089</c:v>
                </c:pt>
                <c:pt idx="568">
                  <c:v>86.400000000001086</c:v>
                </c:pt>
                <c:pt idx="569">
                  <c:v>86.200000000001083</c:v>
                </c:pt>
                <c:pt idx="570">
                  <c:v>86.00000000000108</c:v>
                </c:pt>
                <c:pt idx="571">
                  <c:v>85.800000000001077</c:v>
                </c:pt>
                <c:pt idx="572">
                  <c:v>85.600000000001074</c:v>
                </c:pt>
                <c:pt idx="573">
                  <c:v>85.400000000001071</c:v>
                </c:pt>
                <c:pt idx="574">
                  <c:v>85.200000000001069</c:v>
                </c:pt>
                <c:pt idx="575">
                  <c:v>85.000000000001066</c:v>
                </c:pt>
                <c:pt idx="576">
                  <c:v>84.800000000001063</c:v>
                </c:pt>
                <c:pt idx="577">
                  <c:v>84.60000000000106</c:v>
                </c:pt>
                <c:pt idx="578">
                  <c:v>84.400000000001057</c:v>
                </c:pt>
                <c:pt idx="579">
                  <c:v>84.200000000001054</c:v>
                </c:pt>
                <c:pt idx="580">
                  <c:v>84.000000000001052</c:v>
                </c:pt>
                <c:pt idx="581">
                  <c:v>83.800000000001049</c:v>
                </c:pt>
                <c:pt idx="582">
                  <c:v>83.600000000001046</c:v>
                </c:pt>
                <c:pt idx="583">
                  <c:v>83.400000000001043</c:v>
                </c:pt>
                <c:pt idx="584">
                  <c:v>83.20000000000104</c:v>
                </c:pt>
                <c:pt idx="585">
                  <c:v>83.000000000001037</c:v>
                </c:pt>
                <c:pt idx="586">
                  <c:v>82.800000000001035</c:v>
                </c:pt>
                <c:pt idx="587">
                  <c:v>82.600000000001032</c:v>
                </c:pt>
                <c:pt idx="588">
                  <c:v>82.400000000001029</c:v>
                </c:pt>
                <c:pt idx="589">
                  <c:v>82.200000000001026</c:v>
                </c:pt>
                <c:pt idx="590">
                  <c:v>82.000000000001023</c:v>
                </c:pt>
                <c:pt idx="591">
                  <c:v>81.80000000000102</c:v>
                </c:pt>
                <c:pt idx="592">
                  <c:v>81.600000000001017</c:v>
                </c:pt>
                <c:pt idx="593">
                  <c:v>81.400000000001015</c:v>
                </c:pt>
                <c:pt idx="594">
                  <c:v>81.200000000001012</c:v>
                </c:pt>
                <c:pt idx="595">
                  <c:v>81.000000000001009</c:v>
                </c:pt>
                <c:pt idx="596">
                  <c:v>80.800000000001006</c:v>
                </c:pt>
                <c:pt idx="597">
                  <c:v>80.600000000001003</c:v>
                </c:pt>
                <c:pt idx="598">
                  <c:v>80.400000000001</c:v>
                </c:pt>
                <c:pt idx="599">
                  <c:v>80.200000000000998</c:v>
                </c:pt>
                <c:pt idx="600">
                  <c:v>80.000000000000995</c:v>
                </c:pt>
                <c:pt idx="601">
                  <c:v>79.800000000000992</c:v>
                </c:pt>
                <c:pt idx="602">
                  <c:v>79.600000000000989</c:v>
                </c:pt>
                <c:pt idx="603">
                  <c:v>79.400000000000986</c:v>
                </c:pt>
                <c:pt idx="604">
                  <c:v>79.200000000000983</c:v>
                </c:pt>
                <c:pt idx="605">
                  <c:v>79.000000000000981</c:v>
                </c:pt>
                <c:pt idx="606">
                  <c:v>78.800000000000978</c:v>
                </c:pt>
                <c:pt idx="607">
                  <c:v>78.600000000000975</c:v>
                </c:pt>
                <c:pt idx="608">
                  <c:v>78.400000000000972</c:v>
                </c:pt>
                <c:pt idx="609">
                  <c:v>78.200000000000969</c:v>
                </c:pt>
                <c:pt idx="610">
                  <c:v>78.000000000000966</c:v>
                </c:pt>
                <c:pt idx="611">
                  <c:v>77.800000000000963</c:v>
                </c:pt>
                <c:pt idx="612">
                  <c:v>77.600000000000961</c:v>
                </c:pt>
                <c:pt idx="613">
                  <c:v>77.400000000000958</c:v>
                </c:pt>
                <c:pt idx="614">
                  <c:v>77.200000000000955</c:v>
                </c:pt>
                <c:pt idx="615">
                  <c:v>77.000000000000952</c:v>
                </c:pt>
                <c:pt idx="616">
                  <c:v>76.800000000000949</c:v>
                </c:pt>
                <c:pt idx="617">
                  <c:v>76.600000000000946</c:v>
                </c:pt>
                <c:pt idx="618">
                  <c:v>76.400000000000944</c:v>
                </c:pt>
                <c:pt idx="619">
                  <c:v>76.200000000000941</c:v>
                </c:pt>
                <c:pt idx="620">
                  <c:v>76.000000000000938</c:v>
                </c:pt>
                <c:pt idx="621">
                  <c:v>75.800000000000935</c:v>
                </c:pt>
                <c:pt idx="622">
                  <c:v>75.600000000000932</c:v>
                </c:pt>
                <c:pt idx="623">
                  <c:v>75.400000000000929</c:v>
                </c:pt>
                <c:pt idx="624">
                  <c:v>75.200000000000927</c:v>
                </c:pt>
                <c:pt idx="625">
                  <c:v>75.000000000000924</c:v>
                </c:pt>
                <c:pt idx="626">
                  <c:v>74.800000000000921</c:v>
                </c:pt>
                <c:pt idx="627">
                  <c:v>74.600000000000918</c:v>
                </c:pt>
                <c:pt idx="628">
                  <c:v>74.400000000000915</c:v>
                </c:pt>
                <c:pt idx="629">
                  <c:v>74.200000000000912</c:v>
                </c:pt>
                <c:pt idx="630">
                  <c:v>74.000000000000909</c:v>
                </c:pt>
                <c:pt idx="631">
                  <c:v>73.800000000000907</c:v>
                </c:pt>
                <c:pt idx="632">
                  <c:v>73.600000000000904</c:v>
                </c:pt>
                <c:pt idx="633">
                  <c:v>73.400000000000901</c:v>
                </c:pt>
                <c:pt idx="634">
                  <c:v>73.200000000000898</c:v>
                </c:pt>
                <c:pt idx="635">
                  <c:v>73.000000000000895</c:v>
                </c:pt>
                <c:pt idx="636">
                  <c:v>72.800000000000892</c:v>
                </c:pt>
                <c:pt idx="637">
                  <c:v>72.60000000000089</c:v>
                </c:pt>
                <c:pt idx="638">
                  <c:v>72.400000000000887</c:v>
                </c:pt>
                <c:pt idx="639">
                  <c:v>72.200000000000884</c:v>
                </c:pt>
                <c:pt idx="640">
                  <c:v>72.000000000000881</c:v>
                </c:pt>
                <c:pt idx="641">
                  <c:v>71.800000000000878</c:v>
                </c:pt>
                <c:pt idx="642">
                  <c:v>71.600000000000875</c:v>
                </c:pt>
                <c:pt idx="643">
                  <c:v>71.400000000000873</c:v>
                </c:pt>
                <c:pt idx="644">
                  <c:v>71.20000000000087</c:v>
                </c:pt>
                <c:pt idx="645">
                  <c:v>71.000000000000867</c:v>
                </c:pt>
                <c:pt idx="646">
                  <c:v>70.800000000000864</c:v>
                </c:pt>
                <c:pt idx="647">
                  <c:v>70.600000000000861</c:v>
                </c:pt>
                <c:pt idx="648">
                  <c:v>70.400000000000858</c:v>
                </c:pt>
                <c:pt idx="649">
                  <c:v>70.200000000000855</c:v>
                </c:pt>
                <c:pt idx="650">
                  <c:v>70.000000000000853</c:v>
                </c:pt>
                <c:pt idx="651">
                  <c:v>69.80000000000085</c:v>
                </c:pt>
                <c:pt idx="652">
                  <c:v>69.600000000000847</c:v>
                </c:pt>
                <c:pt idx="653">
                  <c:v>69.400000000000844</c:v>
                </c:pt>
                <c:pt idx="654">
                  <c:v>69.200000000000841</c:v>
                </c:pt>
                <c:pt idx="655">
                  <c:v>69.000000000000838</c:v>
                </c:pt>
                <c:pt idx="656">
                  <c:v>68.800000000000836</c:v>
                </c:pt>
                <c:pt idx="657">
                  <c:v>68.600000000000833</c:v>
                </c:pt>
                <c:pt idx="658">
                  <c:v>68.40000000000083</c:v>
                </c:pt>
                <c:pt idx="659">
                  <c:v>68.200000000000827</c:v>
                </c:pt>
                <c:pt idx="660">
                  <c:v>68.000000000000824</c:v>
                </c:pt>
                <c:pt idx="661">
                  <c:v>67.800000000000821</c:v>
                </c:pt>
                <c:pt idx="662">
                  <c:v>67.600000000000819</c:v>
                </c:pt>
                <c:pt idx="663">
                  <c:v>67.400000000000816</c:v>
                </c:pt>
                <c:pt idx="664">
                  <c:v>67.200000000000813</c:v>
                </c:pt>
                <c:pt idx="665">
                  <c:v>67.00000000000081</c:v>
                </c:pt>
                <c:pt idx="666">
                  <c:v>66.800000000000807</c:v>
                </c:pt>
                <c:pt idx="667">
                  <c:v>66.600000000000804</c:v>
                </c:pt>
                <c:pt idx="668">
                  <c:v>66.400000000000801</c:v>
                </c:pt>
                <c:pt idx="669">
                  <c:v>66.200000000000799</c:v>
                </c:pt>
                <c:pt idx="670">
                  <c:v>66.000000000000796</c:v>
                </c:pt>
                <c:pt idx="671">
                  <c:v>65.800000000000793</c:v>
                </c:pt>
                <c:pt idx="672">
                  <c:v>65.60000000000079</c:v>
                </c:pt>
                <c:pt idx="673">
                  <c:v>65.400000000000787</c:v>
                </c:pt>
                <c:pt idx="674">
                  <c:v>65.200000000000784</c:v>
                </c:pt>
                <c:pt idx="675">
                  <c:v>65.000000000000782</c:v>
                </c:pt>
                <c:pt idx="676">
                  <c:v>64.800000000000779</c:v>
                </c:pt>
                <c:pt idx="677">
                  <c:v>64.600000000000776</c:v>
                </c:pt>
                <c:pt idx="678">
                  <c:v>64.400000000000773</c:v>
                </c:pt>
                <c:pt idx="679">
                  <c:v>64.20000000000077</c:v>
                </c:pt>
                <c:pt idx="680">
                  <c:v>64.000000000000767</c:v>
                </c:pt>
                <c:pt idx="681">
                  <c:v>63.800000000000765</c:v>
                </c:pt>
                <c:pt idx="682">
                  <c:v>63.600000000000762</c:v>
                </c:pt>
                <c:pt idx="683">
                  <c:v>63.400000000000759</c:v>
                </c:pt>
                <c:pt idx="684">
                  <c:v>63.200000000000756</c:v>
                </c:pt>
                <c:pt idx="685">
                  <c:v>63.000000000000753</c:v>
                </c:pt>
                <c:pt idx="686">
                  <c:v>62.80000000000075</c:v>
                </c:pt>
                <c:pt idx="687">
                  <c:v>62.600000000000747</c:v>
                </c:pt>
                <c:pt idx="688">
                  <c:v>62.400000000000745</c:v>
                </c:pt>
                <c:pt idx="689">
                  <c:v>62.200000000000742</c:v>
                </c:pt>
                <c:pt idx="690">
                  <c:v>62.000000000000739</c:v>
                </c:pt>
                <c:pt idx="691">
                  <c:v>61.800000000000736</c:v>
                </c:pt>
                <c:pt idx="692">
                  <c:v>61.600000000000733</c:v>
                </c:pt>
                <c:pt idx="693">
                  <c:v>61.40000000000073</c:v>
                </c:pt>
                <c:pt idx="694">
                  <c:v>61.200000000000728</c:v>
                </c:pt>
                <c:pt idx="695">
                  <c:v>61.000000000000725</c:v>
                </c:pt>
                <c:pt idx="696">
                  <c:v>60.800000000000722</c:v>
                </c:pt>
                <c:pt idx="697">
                  <c:v>60.600000000000719</c:v>
                </c:pt>
                <c:pt idx="698">
                  <c:v>60.400000000000716</c:v>
                </c:pt>
                <c:pt idx="699">
                  <c:v>60.200000000000713</c:v>
                </c:pt>
                <c:pt idx="700">
                  <c:v>60.000000000000711</c:v>
                </c:pt>
                <c:pt idx="701">
                  <c:v>59.800000000000708</c:v>
                </c:pt>
                <c:pt idx="702">
                  <c:v>59.600000000000705</c:v>
                </c:pt>
                <c:pt idx="703">
                  <c:v>59.400000000000702</c:v>
                </c:pt>
                <c:pt idx="704">
                  <c:v>59.200000000000699</c:v>
                </c:pt>
                <c:pt idx="705">
                  <c:v>59.000000000000696</c:v>
                </c:pt>
                <c:pt idx="706">
                  <c:v>58.800000000000693</c:v>
                </c:pt>
                <c:pt idx="707">
                  <c:v>58.600000000000691</c:v>
                </c:pt>
                <c:pt idx="708">
                  <c:v>58.400000000000688</c:v>
                </c:pt>
                <c:pt idx="709">
                  <c:v>58.200000000000685</c:v>
                </c:pt>
                <c:pt idx="710">
                  <c:v>58.000000000000682</c:v>
                </c:pt>
                <c:pt idx="711">
                  <c:v>57.800000000000679</c:v>
                </c:pt>
                <c:pt idx="712">
                  <c:v>57.600000000000676</c:v>
                </c:pt>
                <c:pt idx="713">
                  <c:v>57.400000000000674</c:v>
                </c:pt>
                <c:pt idx="714">
                  <c:v>57.200000000000671</c:v>
                </c:pt>
                <c:pt idx="715">
                  <c:v>57.000000000000668</c:v>
                </c:pt>
                <c:pt idx="716">
                  <c:v>56.800000000000665</c:v>
                </c:pt>
                <c:pt idx="717">
                  <c:v>56.600000000000662</c:v>
                </c:pt>
                <c:pt idx="718">
                  <c:v>56.400000000000659</c:v>
                </c:pt>
                <c:pt idx="719">
                  <c:v>56.200000000000657</c:v>
                </c:pt>
                <c:pt idx="720">
                  <c:v>56.000000000000654</c:v>
                </c:pt>
                <c:pt idx="721">
                  <c:v>55.800000000000651</c:v>
                </c:pt>
                <c:pt idx="722">
                  <c:v>55.600000000000648</c:v>
                </c:pt>
                <c:pt idx="723">
                  <c:v>55.400000000000645</c:v>
                </c:pt>
                <c:pt idx="724">
                  <c:v>55.200000000000642</c:v>
                </c:pt>
                <c:pt idx="725">
                  <c:v>55.000000000000639</c:v>
                </c:pt>
                <c:pt idx="726">
                  <c:v>54.800000000000637</c:v>
                </c:pt>
                <c:pt idx="727">
                  <c:v>54.600000000000634</c:v>
                </c:pt>
                <c:pt idx="728">
                  <c:v>54.400000000000631</c:v>
                </c:pt>
                <c:pt idx="729">
                  <c:v>54.200000000000628</c:v>
                </c:pt>
                <c:pt idx="730">
                  <c:v>54.000000000000625</c:v>
                </c:pt>
                <c:pt idx="731">
                  <c:v>53.800000000000622</c:v>
                </c:pt>
                <c:pt idx="732">
                  <c:v>53.60000000000062</c:v>
                </c:pt>
                <c:pt idx="733">
                  <c:v>53.400000000000617</c:v>
                </c:pt>
                <c:pt idx="734">
                  <c:v>53.200000000000614</c:v>
                </c:pt>
                <c:pt idx="735">
                  <c:v>53.000000000000611</c:v>
                </c:pt>
                <c:pt idx="736">
                  <c:v>52.800000000000608</c:v>
                </c:pt>
                <c:pt idx="737">
                  <c:v>52.600000000000605</c:v>
                </c:pt>
                <c:pt idx="738">
                  <c:v>52.400000000000603</c:v>
                </c:pt>
                <c:pt idx="739">
                  <c:v>52.2000000000006</c:v>
                </c:pt>
                <c:pt idx="740">
                  <c:v>52.000000000000597</c:v>
                </c:pt>
                <c:pt idx="741">
                  <c:v>51.800000000000594</c:v>
                </c:pt>
                <c:pt idx="742">
                  <c:v>51.600000000000591</c:v>
                </c:pt>
                <c:pt idx="743">
                  <c:v>51.400000000000588</c:v>
                </c:pt>
                <c:pt idx="744">
                  <c:v>51.200000000000585</c:v>
                </c:pt>
                <c:pt idx="745">
                  <c:v>51.000000000000583</c:v>
                </c:pt>
                <c:pt idx="746">
                  <c:v>50.80000000000058</c:v>
                </c:pt>
                <c:pt idx="747">
                  <c:v>50.600000000000577</c:v>
                </c:pt>
                <c:pt idx="748">
                  <c:v>50.400000000000574</c:v>
                </c:pt>
                <c:pt idx="749">
                  <c:v>50.200000000000571</c:v>
                </c:pt>
                <c:pt idx="750">
                  <c:v>50.000000000000568</c:v>
                </c:pt>
                <c:pt idx="751">
                  <c:v>49.800000000000566</c:v>
                </c:pt>
                <c:pt idx="752">
                  <c:v>49.600000000000563</c:v>
                </c:pt>
                <c:pt idx="753">
                  <c:v>49.40000000000056</c:v>
                </c:pt>
                <c:pt idx="754">
                  <c:v>49.200000000000557</c:v>
                </c:pt>
                <c:pt idx="755">
                  <c:v>49.000000000000554</c:v>
                </c:pt>
                <c:pt idx="756">
                  <c:v>48.800000000000551</c:v>
                </c:pt>
                <c:pt idx="757">
                  <c:v>48.600000000000549</c:v>
                </c:pt>
                <c:pt idx="758">
                  <c:v>48.400000000000546</c:v>
                </c:pt>
                <c:pt idx="759">
                  <c:v>48.200000000000543</c:v>
                </c:pt>
                <c:pt idx="760">
                  <c:v>48.00000000000054</c:v>
                </c:pt>
                <c:pt idx="761">
                  <c:v>47.800000000000537</c:v>
                </c:pt>
                <c:pt idx="762">
                  <c:v>47.600000000000534</c:v>
                </c:pt>
                <c:pt idx="763">
                  <c:v>47.400000000000531</c:v>
                </c:pt>
                <c:pt idx="764">
                  <c:v>47.200000000000529</c:v>
                </c:pt>
                <c:pt idx="765">
                  <c:v>47.000000000000526</c:v>
                </c:pt>
                <c:pt idx="766">
                  <c:v>46.800000000000523</c:v>
                </c:pt>
                <c:pt idx="767">
                  <c:v>46.60000000000052</c:v>
                </c:pt>
                <c:pt idx="768">
                  <c:v>46.400000000000517</c:v>
                </c:pt>
                <c:pt idx="769">
                  <c:v>46.200000000000514</c:v>
                </c:pt>
                <c:pt idx="770">
                  <c:v>46.000000000000512</c:v>
                </c:pt>
                <c:pt idx="771">
                  <c:v>45.800000000000509</c:v>
                </c:pt>
                <c:pt idx="772">
                  <c:v>45.600000000000506</c:v>
                </c:pt>
                <c:pt idx="773">
                  <c:v>45.400000000000503</c:v>
                </c:pt>
                <c:pt idx="774">
                  <c:v>45.2000000000005</c:v>
                </c:pt>
                <c:pt idx="775">
                  <c:v>45.000000000000497</c:v>
                </c:pt>
                <c:pt idx="776">
                  <c:v>44.800000000000495</c:v>
                </c:pt>
                <c:pt idx="777">
                  <c:v>44.600000000000492</c:v>
                </c:pt>
                <c:pt idx="778">
                  <c:v>44.400000000000489</c:v>
                </c:pt>
                <c:pt idx="779">
                  <c:v>44.200000000000486</c:v>
                </c:pt>
                <c:pt idx="780">
                  <c:v>44.000000000000483</c:v>
                </c:pt>
                <c:pt idx="781">
                  <c:v>43.80000000000048</c:v>
                </c:pt>
                <c:pt idx="782">
                  <c:v>43.600000000000477</c:v>
                </c:pt>
                <c:pt idx="783">
                  <c:v>43.400000000000475</c:v>
                </c:pt>
                <c:pt idx="784">
                  <c:v>43.200000000000472</c:v>
                </c:pt>
                <c:pt idx="785">
                  <c:v>43.000000000000469</c:v>
                </c:pt>
                <c:pt idx="786">
                  <c:v>42.800000000000466</c:v>
                </c:pt>
                <c:pt idx="787">
                  <c:v>42.600000000000463</c:v>
                </c:pt>
                <c:pt idx="788">
                  <c:v>42.40000000000046</c:v>
                </c:pt>
                <c:pt idx="789">
                  <c:v>42.200000000000458</c:v>
                </c:pt>
                <c:pt idx="790">
                  <c:v>42.000000000000455</c:v>
                </c:pt>
                <c:pt idx="791">
                  <c:v>41.800000000000452</c:v>
                </c:pt>
                <c:pt idx="792">
                  <c:v>41.600000000000449</c:v>
                </c:pt>
                <c:pt idx="793">
                  <c:v>41.400000000000446</c:v>
                </c:pt>
                <c:pt idx="794">
                  <c:v>41.200000000000443</c:v>
                </c:pt>
                <c:pt idx="795">
                  <c:v>41.000000000000441</c:v>
                </c:pt>
                <c:pt idx="796">
                  <c:v>40.800000000000438</c:v>
                </c:pt>
                <c:pt idx="797">
                  <c:v>40.600000000000435</c:v>
                </c:pt>
                <c:pt idx="798">
                  <c:v>40.400000000000432</c:v>
                </c:pt>
                <c:pt idx="799">
                  <c:v>40.200000000000429</c:v>
                </c:pt>
                <c:pt idx="800">
                  <c:v>40.000000000000426</c:v>
                </c:pt>
                <c:pt idx="801">
                  <c:v>39.800000000000423</c:v>
                </c:pt>
                <c:pt idx="802">
                  <c:v>39.600000000000421</c:v>
                </c:pt>
                <c:pt idx="803">
                  <c:v>39.400000000000418</c:v>
                </c:pt>
                <c:pt idx="804">
                  <c:v>39.200000000000415</c:v>
                </c:pt>
                <c:pt idx="805">
                  <c:v>39.000000000000412</c:v>
                </c:pt>
                <c:pt idx="806">
                  <c:v>38.800000000000409</c:v>
                </c:pt>
                <c:pt idx="807">
                  <c:v>38.600000000000406</c:v>
                </c:pt>
                <c:pt idx="808">
                  <c:v>38.400000000000404</c:v>
                </c:pt>
                <c:pt idx="809">
                  <c:v>38.200000000000401</c:v>
                </c:pt>
                <c:pt idx="810">
                  <c:v>38.000000000000398</c:v>
                </c:pt>
                <c:pt idx="811">
                  <c:v>37.800000000000395</c:v>
                </c:pt>
                <c:pt idx="812">
                  <c:v>37.600000000000392</c:v>
                </c:pt>
                <c:pt idx="813">
                  <c:v>37.400000000000389</c:v>
                </c:pt>
                <c:pt idx="814">
                  <c:v>37.200000000000387</c:v>
                </c:pt>
                <c:pt idx="815">
                  <c:v>37.000000000000384</c:v>
                </c:pt>
                <c:pt idx="816">
                  <c:v>36.800000000000381</c:v>
                </c:pt>
                <c:pt idx="817">
                  <c:v>36.600000000000378</c:v>
                </c:pt>
                <c:pt idx="818">
                  <c:v>36.400000000000375</c:v>
                </c:pt>
                <c:pt idx="819">
                  <c:v>36.200000000000372</c:v>
                </c:pt>
                <c:pt idx="820">
                  <c:v>36.000000000000369</c:v>
                </c:pt>
                <c:pt idx="821">
                  <c:v>35.800000000000367</c:v>
                </c:pt>
                <c:pt idx="822">
                  <c:v>35.600000000000364</c:v>
                </c:pt>
                <c:pt idx="823">
                  <c:v>35.400000000000361</c:v>
                </c:pt>
                <c:pt idx="824">
                  <c:v>35.200000000000358</c:v>
                </c:pt>
                <c:pt idx="825">
                  <c:v>35.000000000000355</c:v>
                </c:pt>
                <c:pt idx="826">
                  <c:v>34.800000000000352</c:v>
                </c:pt>
                <c:pt idx="827">
                  <c:v>34.60000000000035</c:v>
                </c:pt>
                <c:pt idx="828">
                  <c:v>34.400000000000347</c:v>
                </c:pt>
                <c:pt idx="829">
                  <c:v>34.200000000000344</c:v>
                </c:pt>
                <c:pt idx="830">
                  <c:v>34.000000000000341</c:v>
                </c:pt>
                <c:pt idx="831">
                  <c:v>33.800000000000338</c:v>
                </c:pt>
                <c:pt idx="832">
                  <c:v>33.600000000000335</c:v>
                </c:pt>
                <c:pt idx="833">
                  <c:v>33.400000000000333</c:v>
                </c:pt>
                <c:pt idx="834">
                  <c:v>33.20000000000033</c:v>
                </c:pt>
                <c:pt idx="835">
                  <c:v>33.000000000000327</c:v>
                </c:pt>
                <c:pt idx="836">
                  <c:v>32.800000000000324</c:v>
                </c:pt>
                <c:pt idx="837">
                  <c:v>32.600000000000321</c:v>
                </c:pt>
                <c:pt idx="838">
                  <c:v>32.400000000000318</c:v>
                </c:pt>
                <c:pt idx="839">
                  <c:v>32.200000000000315</c:v>
                </c:pt>
                <c:pt idx="840">
                  <c:v>32.000000000000313</c:v>
                </c:pt>
                <c:pt idx="841">
                  <c:v>31.800000000000313</c:v>
                </c:pt>
                <c:pt idx="842">
                  <c:v>31.600000000000314</c:v>
                </c:pt>
                <c:pt idx="843">
                  <c:v>31.400000000000315</c:v>
                </c:pt>
                <c:pt idx="844">
                  <c:v>31.200000000000315</c:v>
                </c:pt>
                <c:pt idx="845">
                  <c:v>31.000000000000316</c:v>
                </c:pt>
                <c:pt idx="846">
                  <c:v>30.800000000000317</c:v>
                </c:pt>
                <c:pt idx="847">
                  <c:v>30.600000000000318</c:v>
                </c:pt>
                <c:pt idx="848">
                  <c:v>30.400000000000318</c:v>
                </c:pt>
                <c:pt idx="849">
                  <c:v>30.200000000000319</c:v>
                </c:pt>
                <c:pt idx="850">
                  <c:v>30.00000000000032</c:v>
                </c:pt>
                <c:pt idx="851">
                  <c:v>29.80000000000032</c:v>
                </c:pt>
                <c:pt idx="852">
                  <c:v>29.600000000000321</c:v>
                </c:pt>
                <c:pt idx="853">
                  <c:v>29.400000000000322</c:v>
                </c:pt>
                <c:pt idx="854">
                  <c:v>29.200000000000323</c:v>
                </c:pt>
                <c:pt idx="855">
                  <c:v>29.000000000000323</c:v>
                </c:pt>
                <c:pt idx="856">
                  <c:v>28.800000000000324</c:v>
                </c:pt>
                <c:pt idx="857">
                  <c:v>28.600000000000325</c:v>
                </c:pt>
                <c:pt idx="858">
                  <c:v>28.400000000000325</c:v>
                </c:pt>
                <c:pt idx="859">
                  <c:v>28.200000000000326</c:v>
                </c:pt>
                <c:pt idx="860">
                  <c:v>28.000000000000327</c:v>
                </c:pt>
                <c:pt idx="861">
                  <c:v>27.800000000000328</c:v>
                </c:pt>
                <c:pt idx="862">
                  <c:v>27.600000000000328</c:v>
                </c:pt>
                <c:pt idx="863">
                  <c:v>27.400000000000329</c:v>
                </c:pt>
                <c:pt idx="864">
                  <c:v>27.20000000000033</c:v>
                </c:pt>
                <c:pt idx="865">
                  <c:v>27.00000000000033</c:v>
                </c:pt>
                <c:pt idx="866">
                  <c:v>26.800000000000331</c:v>
                </c:pt>
                <c:pt idx="867">
                  <c:v>26.600000000000332</c:v>
                </c:pt>
                <c:pt idx="868">
                  <c:v>26.400000000000333</c:v>
                </c:pt>
                <c:pt idx="869">
                  <c:v>26.200000000000333</c:v>
                </c:pt>
                <c:pt idx="870">
                  <c:v>26.000000000000334</c:v>
                </c:pt>
                <c:pt idx="871">
                  <c:v>25.800000000000335</c:v>
                </c:pt>
                <c:pt idx="872">
                  <c:v>25.600000000000335</c:v>
                </c:pt>
                <c:pt idx="873">
                  <c:v>25.400000000000336</c:v>
                </c:pt>
                <c:pt idx="874">
                  <c:v>25.200000000000337</c:v>
                </c:pt>
                <c:pt idx="875">
                  <c:v>25.000000000000338</c:v>
                </c:pt>
                <c:pt idx="876">
                  <c:v>24.800000000000338</c:v>
                </c:pt>
                <c:pt idx="877">
                  <c:v>24.600000000000339</c:v>
                </c:pt>
                <c:pt idx="878">
                  <c:v>24.40000000000034</c:v>
                </c:pt>
                <c:pt idx="879">
                  <c:v>24.20000000000034</c:v>
                </c:pt>
                <c:pt idx="880">
                  <c:v>24.000000000000341</c:v>
                </c:pt>
                <c:pt idx="881">
                  <c:v>23.800000000000342</c:v>
                </c:pt>
                <c:pt idx="882">
                  <c:v>23.600000000000342</c:v>
                </c:pt>
                <c:pt idx="883">
                  <c:v>23.400000000000343</c:v>
                </c:pt>
                <c:pt idx="884">
                  <c:v>23.200000000000344</c:v>
                </c:pt>
                <c:pt idx="885">
                  <c:v>23.000000000000345</c:v>
                </c:pt>
                <c:pt idx="886">
                  <c:v>22.800000000000345</c:v>
                </c:pt>
                <c:pt idx="887">
                  <c:v>22.600000000000346</c:v>
                </c:pt>
                <c:pt idx="888">
                  <c:v>22.400000000000347</c:v>
                </c:pt>
                <c:pt idx="889">
                  <c:v>22.200000000000347</c:v>
                </c:pt>
                <c:pt idx="890">
                  <c:v>22.000000000000348</c:v>
                </c:pt>
                <c:pt idx="891">
                  <c:v>21.800000000000349</c:v>
                </c:pt>
                <c:pt idx="892">
                  <c:v>21.60000000000035</c:v>
                </c:pt>
                <c:pt idx="893">
                  <c:v>21.40000000000035</c:v>
                </c:pt>
                <c:pt idx="894">
                  <c:v>21.200000000000351</c:v>
                </c:pt>
                <c:pt idx="895">
                  <c:v>21.000000000000352</c:v>
                </c:pt>
                <c:pt idx="896">
                  <c:v>20.800000000000352</c:v>
                </c:pt>
                <c:pt idx="897">
                  <c:v>20.600000000000353</c:v>
                </c:pt>
                <c:pt idx="898">
                  <c:v>20.400000000000354</c:v>
                </c:pt>
                <c:pt idx="899">
                  <c:v>20.200000000000355</c:v>
                </c:pt>
                <c:pt idx="900">
                  <c:v>20.000000000000355</c:v>
                </c:pt>
                <c:pt idx="901">
                  <c:v>19.800000000000356</c:v>
                </c:pt>
                <c:pt idx="902">
                  <c:v>19.600000000000357</c:v>
                </c:pt>
                <c:pt idx="903">
                  <c:v>19.400000000000357</c:v>
                </c:pt>
                <c:pt idx="904">
                  <c:v>19.200000000000358</c:v>
                </c:pt>
                <c:pt idx="905">
                  <c:v>19.000000000000359</c:v>
                </c:pt>
                <c:pt idx="906">
                  <c:v>18.80000000000036</c:v>
                </c:pt>
                <c:pt idx="907">
                  <c:v>18.60000000000036</c:v>
                </c:pt>
                <c:pt idx="908">
                  <c:v>18.400000000000361</c:v>
                </c:pt>
                <c:pt idx="909">
                  <c:v>18.200000000000362</c:v>
                </c:pt>
                <c:pt idx="910">
                  <c:v>18.000000000000362</c:v>
                </c:pt>
                <c:pt idx="911">
                  <c:v>17.800000000000363</c:v>
                </c:pt>
                <c:pt idx="912">
                  <c:v>17.600000000000364</c:v>
                </c:pt>
                <c:pt idx="913">
                  <c:v>17.400000000000365</c:v>
                </c:pt>
                <c:pt idx="914">
                  <c:v>17.200000000000365</c:v>
                </c:pt>
                <c:pt idx="915">
                  <c:v>17.000000000000366</c:v>
                </c:pt>
                <c:pt idx="916">
                  <c:v>16.800000000000367</c:v>
                </c:pt>
                <c:pt idx="917">
                  <c:v>16.600000000000367</c:v>
                </c:pt>
                <c:pt idx="918">
                  <c:v>16.400000000000368</c:v>
                </c:pt>
                <c:pt idx="919">
                  <c:v>16.200000000000369</c:v>
                </c:pt>
                <c:pt idx="920">
                  <c:v>16.000000000000369</c:v>
                </c:pt>
                <c:pt idx="921">
                  <c:v>15.80000000000037</c:v>
                </c:pt>
                <c:pt idx="922">
                  <c:v>15.600000000000371</c:v>
                </c:pt>
                <c:pt idx="923">
                  <c:v>15.400000000000372</c:v>
                </c:pt>
                <c:pt idx="924">
                  <c:v>15.200000000000372</c:v>
                </c:pt>
                <c:pt idx="925">
                  <c:v>15.000000000000373</c:v>
                </c:pt>
                <c:pt idx="926">
                  <c:v>14.800000000000374</c:v>
                </c:pt>
                <c:pt idx="927">
                  <c:v>14.600000000000374</c:v>
                </c:pt>
                <c:pt idx="928">
                  <c:v>14.400000000000375</c:v>
                </c:pt>
                <c:pt idx="929">
                  <c:v>14.200000000000376</c:v>
                </c:pt>
                <c:pt idx="930">
                  <c:v>14.000000000000377</c:v>
                </c:pt>
                <c:pt idx="931">
                  <c:v>13.800000000000377</c:v>
                </c:pt>
                <c:pt idx="932">
                  <c:v>13.600000000000378</c:v>
                </c:pt>
                <c:pt idx="933">
                  <c:v>13.400000000000379</c:v>
                </c:pt>
                <c:pt idx="934">
                  <c:v>13.200000000000379</c:v>
                </c:pt>
                <c:pt idx="935">
                  <c:v>13.00000000000038</c:v>
                </c:pt>
                <c:pt idx="936">
                  <c:v>12.800000000000381</c:v>
                </c:pt>
                <c:pt idx="937">
                  <c:v>12.600000000000382</c:v>
                </c:pt>
                <c:pt idx="938">
                  <c:v>12.400000000000382</c:v>
                </c:pt>
                <c:pt idx="939">
                  <c:v>12.200000000000383</c:v>
                </c:pt>
                <c:pt idx="940">
                  <c:v>12.000000000000384</c:v>
                </c:pt>
                <c:pt idx="941">
                  <c:v>11.800000000000384</c:v>
                </c:pt>
                <c:pt idx="942">
                  <c:v>11.600000000000385</c:v>
                </c:pt>
                <c:pt idx="943">
                  <c:v>11.400000000000386</c:v>
                </c:pt>
                <c:pt idx="944">
                  <c:v>11.200000000000387</c:v>
                </c:pt>
                <c:pt idx="945">
                  <c:v>11.000000000000387</c:v>
                </c:pt>
                <c:pt idx="946">
                  <c:v>10.800000000000388</c:v>
                </c:pt>
                <c:pt idx="947">
                  <c:v>10.600000000000389</c:v>
                </c:pt>
                <c:pt idx="948">
                  <c:v>10.400000000000389</c:v>
                </c:pt>
                <c:pt idx="949">
                  <c:v>10.20000000000039</c:v>
                </c:pt>
                <c:pt idx="950">
                  <c:v>10.000000000000391</c:v>
                </c:pt>
                <c:pt idx="951">
                  <c:v>9.8000000000003915</c:v>
                </c:pt>
                <c:pt idx="952">
                  <c:v>9.6000000000003922</c:v>
                </c:pt>
                <c:pt idx="953">
                  <c:v>9.4000000000003929</c:v>
                </c:pt>
                <c:pt idx="954">
                  <c:v>9.2000000000003936</c:v>
                </c:pt>
                <c:pt idx="955">
                  <c:v>9.0000000000003944</c:v>
                </c:pt>
                <c:pt idx="956">
                  <c:v>8.8000000000003951</c:v>
                </c:pt>
                <c:pt idx="957">
                  <c:v>8.6000000000003958</c:v>
                </c:pt>
                <c:pt idx="958">
                  <c:v>8.4000000000003965</c:v>
                </c:pt>
                <c:pt idx="959">
                  <c:v>8.2000000000003972</c:v>
                </c:pt>
                <c:pt idx="960">
                  <c:v>8.0000000000003979</c:v>
                </c:pt>
                <c:pt idx="961">
                  <c:v>7.8000000000003977</c:v>
                </c:pt>
                <c:pt idx="962">
                  <c:v>7.6000000000003975</c:v>
                </c:pt>
                <c:pt idx="963">
                  <c:v>7.4000000000003974</c:v>
                </c:pt>
                <c:pt idx="964">
                  <c:v>7.2000000000003972</c:v>
                </c:pt>
                <c:pt idx="965">
                  <c:v>7.000000000000397</c:v>
                </c:pt>
                <c:pt idx="966">
                  <c:v>6.8000000000003968</c:v>
                </c:pt>
                <c:pt idx="967">
                  <c:v>6.6000000000003967</c:v>
                </c:pt>
                <c:pt idx="968">
                  <c:v>6.4000000000003965</c:v>
                </c:pt>
                <c:pt idx="969">
                  <c:v>6.2000000000003963</c:v>
                </c:pt>
                <c:pt idx="970">
                  <c:v>6.0000000000003961</c:v>
                </c:pt>
                <c:pt idx="971">
                  <c:v>5.8000000000003959</c:v>
                </c:pt>
                <c:pt idx="972">
                  <c:v>5.6000000000003958</c:v>
                </c:pt>
                <c:pt idx="973">
                  <c:v>5.4000000000003956</c:v>
                </c:pt>
                <c:pt idx="974">
                  <c:v>5.2000000000003954</c:v>
                </c:pt>
                <c:pt idx="975">
                  <c:v>5.0000000000003952</c:v>
                </c:pt>
                <c:pt idx="976">
                  <c:v>4.8000000000003951</c:v>
                </c:pt>
                <c:pt idx="977">
                  <c:v>4.6000000000003949</c:v>
                </c:pt>
                <c:pt idx="978">
                  <c:v>4.4000000000003947</c:v>
                </c:pt>
                <c:pt idx="979">
                  <c:v>4.2000000000003945</c:v>
                </c:pt>
                <c:pt idx="980">
                  <c:v>4.0000000000003944</c:v>
                </c:pt>
                <c:pt idx="981">
                  <c:v>3.8000000000003942</c:v>
                </c:pt>
                <c:pt idx="982">
                  <c:v>3.600000000000394</c:v>
                </c:pt>
                <c:pt idx="983">
                  <c:v>3.4000000000003938</c:v>
                </c:pt>
                <c:pt idx="984">
                  <c:v>3.2000000000003936</c:v>
                </c:pt>
                <c:pt idx="985">
                  <c:v>3.0000000000003935</c:v>
                </c:pt>
                <c:pt idx="986">
                  <c:v>2.8000000000003933</c:v>
                </c:pt>
                <c:pt idx="987">
                  <c:v>2.6000000000003931</c:v>
                </c:pt>
                <c:pt idx="988">
                  <c:v>2.4000000000003929</c:v>
                </c:pt>
                <c:pt idx="989">
                  <c:v>2.2000000000003928</c:v>
                </c:pt>
                <c:pt idx="990">
                  <c:v>2.0000000000003926</c:v>
                </c:pt>
                <c:pt idx="991">
                  <c:v>1.8000000000003926</c:v>
                </c:pt>
                <c:pt idx="992">
                  <c:v>1.6000000000003927</c:v>
                </c:pt>
                <c:pt idx="993">
                  <c:v>1.4000000000003927</c:v>
                </c:pt>
                <c:pt idx="994">
                  <c:v>1.2000000000003928</c:v>
                </c:pt>
                <c:pt idx="995">
                  <c:v>1.0000000000003928</c:v>
                </c:pt>
                <c:pt idx="996">
                  <c:v>0.80000000000039284</c:v>
                </c:pt>
                <c:pt idx="997">
                  <c:v>0.60000000000039289</c:v>
                </c:pt>
                <c:pt idx="998">
                  <c:v>0.40000000000039287</c:v>
                </c:pt>
                <c:pt idx="999">
                  <c:v>0.20000000000039286</c:v>
                </c:pt>
                <c:pt idx="1000">
                  <c:v>3.9285241726361164E-13</c:v>
                </c:pt>
                <c:pt idx="1001">
                  <c:v>-0.7499999999996072</c:v>
                </c:pt>
                <c:pt idx="1002">
                  <c:v>-1.4999999999996072</c:v>
                </c:pt>
                <c:pt idx="1003">
                  <c:v>-2.2499999999996074</c:v>
                </c:pt>
                <c:pt idx="1004">
                  <c:v>-2.9999999999996074</c:v>
                </c:pt>
                <c:pt idx="1005">
                  <c:v>-3.7499999999996074</c:v>
                </c:pt>
                <c:pt idx="1006">
                  <c:v>-4.4999999999996074</c:v>
                </c:pt>
                <c:pt idx="1007">
                  <c:v>-5.2499999999996074</c:v>
                </c:pt>
                <c:pt idx="1008">
                  <c:v>-5.9999999999996074</c:v>
                </c:pt>
                <c:pt idx="1009">
                  <c:v>-6.7499999999996074</c:v>
                </c:pt>
                <c:pt idx="1010">
                  <c:v>-7.4999999999996074</c:v>
                </c:pt>
                <c:pt idx="1011">
                  <c:v>-8.2499999999996074</c:v>
                </c:pt>
                <c:pt idx="1012">
                  <c:v>-8.9999999999996074</c:v>
                </c:pt>
                <c:pt idx="1013">
                  <c:v>-9.7499999999996074</c:v>
                </c:pt>
                <c:pt idx="1014">
                  <c:v>-10.499999999999607</c:v>
                </c:pt>
                <c:pt idx="1015">
                  <c:v>-11.249999999999607</c:v>
                </c:pt>
                <c:pt idx="1016">
                  <c:v>-11.999999999999607</c:v>
                </c:pt>
                <c:pt idx="1017">
                  <c:v>-12.749999999999607</c:v>
                </c:pt>
                <c:pt idx="1018">
                  <c:v>-13.499999999999607</c:v>
                </c:pt>
                <c:pt idx="1019">
                  <c:v>-14.249999999999607</c:v>
                </c:pt>
                <c:pt idx="1020">
                  <c:v>-14.999999999999607</c:v>
                </c:pt>
                <c:pt idx="1021">
                  <c:v>-15.749999999999607</c:v>
                </c:pt>
                <c:pt idx="1022">
                  <c:v>-16.499999999999609</c:v>
                </c:pt>
                <c:pt idx="1023">
                  <c:v>-17.249999999999609</c:v>
                </c:pt>
                <c:pt idx="1024">
                  <c:v>-17.999999999999609</c:v>
                </c:pt>
                <c:pt idx="1025">
                  <c:v>-18.749999999999609</c:v>
                </c:pt>
                <c:pt idx="1026">
                  <c:v>-19.499999999999609</c:v>
                </c:pt>
                <c:pt idx="1027">
                  <c:v>-20.249999999999609</c:v>
                </c:pt>
                <c:pt idx="1028">
                  <c:v>-20.999999999999609</c:v>
                </c:pt>
                <c:pt idx="1029">
                  <c:v>-21.749999999999609</c:v>
                </c:pt>
                <c:pt idx="1030">
                  <c:v>-22.499999999999609</c:v>
                </c:pt>
                <c:pt idx="1031">
                  <c:v>-23.249999999999609</c:v>
                </c:pt>
                <c:pt idx="1032">
                  <c:v>-23.999999999999609</c:v>
                </c:pt>
                <c:pt idx="1033">
                  <c:v>-24.749999999999609</c:v>
                </c:pt>
                <c:pt idx="1034">
                  <c:v>-25.499999999999609</c:v>
                </c:pt>
                <c:pt idx="1035">
                  <c:v>-26.249999999999609</c:v>
                </c:pt>
                <c:pt idx="1036">
                  <c:v>-26.999999999999609</c:v>
                </c:pt>
                <c:pt idx="1037">
                  <c:v>-27.749999999999609</c:v>
                </c:pt>
                <c:pt idx="1038">
                  <c:v>-28.499999999999609</c:v>
                </c:pt>
                <c:pt idx="1039">
                  <c:v>-29.249999999999609</c:v>
                </c:pt>
                <c:pt idx="1040">
                  <c:v>-29.999999999999609</c:v>
                </c:pt>
                <c:pt idx="1041">
                  <c:v>-30.749999999999609</c:v>
                </c:pt>
                <c:pt idx="1042">
                  <c:v>-31.499999999999609</c:v>
                </c:pt>
                <c:pt idx="1043">
                  <c:v>-32.249999999999609</c:v>
                </c:pt>
                <c:pt idx="1044">
                  <c:v>-32.999999999999609</c:v>
                </c:pt>
                <c:pt idx="1045">
                  <c:v>-33.749999999999609</c:v>
                </c:pt>
                <c:pt idx="1046">
                  <c:v>-34.499999999999609</c:v>
                </c:pt>
                <c:pt idx="1047">
                  <c:v>-35.249999999999609</c:v>
                </c:pt>
                <c:pt idx="1048">
                  <c:v>-35.999999999999609</c:v>
                </c:pt>
                <c:pt idx="1049">
                  <c:v>-36.749999999999609</c:v>
                </c:pt>
                <c:pt idx="1050">
                  <c:v>-37.499999999999609</c:v>
                </c:pt>
                <c:pt idx="1051">
                  <c:v>-38.249999999999609</c:v>
                </c:pt>
                <c:pt idx="1052">
                  <c:v>-38.999999999999609</c:v>
                </c:pt>
                <c:pt idx="1053">
                  <c:v>-39.749999999999609</c:v>
                </c:pt>
                <c:pt idx="1054">
                  <c:v>-40.499999999999609</c:v>
                </c:pt>
                <c:pt idx="1055">
                  <c:v>-41.249999999999609</c:v>
                </c:pt>
                <c:pt idx="1056">
                  <c:v>-41.999999999999609</c:v>
                </c:pt>
                <c:pt idx="1057">
                  <c:v>-42.749999999999609</c:v>
                </c:pt>
                <c:pt idx="1058">
                  <c:v>-43.499999999999609</c:v>
                </c:pt>
                <c:pt idx="1059">
                  <c:v>-44.249999999999609</c:v>
                </c:pt>
                <c:pt idx="1060">
                  <c:v>-44.999999999999609</c:v>
                </c:pt>
                <c:pt idx="1061">
                  <c:v>-45.749999999999609</c:v>
                </c:pt>
                <c:pt idx="1062">
                  <c:v>-46.499999999999609</c:v>
                </c:pt>
                <c:pt idx="1063">
                  <c:v>-47.249999999999609</c:v>
                </c:pt>
                <c:pt idx="1064">
                  <c:v>-47.999999999999609</c:v>
                </c:pt>
                <c:pt idx="1065">
                  <c:v>-48.749999999999609</c:v>
                </c:pt>
                <c:pt idx="1066">
                  <c:v>-49.499999999999609</c:v>
                </c:pt>
                <c:pt idx="1067">
                  <c:v>-50.249999999999609</c:v>
                </c:pt>
                <c:pt idx="1068">
                  <c:v>-50.999999999999609</c:v>
                </c:pt>
                <c:pt idx="1069">
                  <c:v>-51.749999999999609</c:v>
                </c:pt>
                <c:pt idx="1070">
                  <c:v>-52.499999999999609</c:v>
                </c:pt>
                <c:pt idx="1071">
                  <c:v>-53.249999999999609</c:v>
                </c:pt>
                <c:pt idx="1072">
                  <c:v>-53.999999999999609</c:v>
                </c:pt>
                <c:pt idx="1073">
                  <c:v>-54.749999999999609</c:v>
                </c:pt>
                <c:pt idx="1074">
                  <c:v>-55.499999999999609</c:v>
                </c:pt>
                <c:pt idx="1075">
                  <c:v>-56.249999999999609</c:v>
                </c:pt>
                <c:pt idx="1076">
                  <c:v>-56.999999999999609</c:v>
                </c:pt>
                <c:pt idx="1077">
                  <c:v>-57.749999999999609</c:v>
                </c:pt>
                <c:pt idx="1078">
                  <c:v>-58.499999999999609</c:v>
                </c:pt>
                <c:pt idx="1079">
                  <c:v>-59.249999999999609</c:v>
                </c:pt>
                <c:pt idx="1080">
                  <c:v>-59.999999999999609</c:v>
                </c:pt>
                <c:pt idx="1081">
                  <c:v>-60.749999999999609</c:v>
                </c:pt>
                <c:pt idx="1082">
                  <c:v>-61.499999999999609</c:v>
                </c:pt>
                <c:pt idx="1083">
                  <c:v>-62.249999999999609</c:v>
                </c:pt>
                <c:pt idx="1084">
                  <c:v>-62.999999999999609</c:v>
                </c:pt>
                <c:pt idx="1085">
                  <c:v>-63.749999999999609</c:v>
                </c:pt>
                <c:pt idx="1086">
                  <c:v>-64.499999999999602</c:v>
                </c:pt>
                <c:pt idx="1087">
                  <c:v>-65.249999999999602</c:v>
                </c:pt>
                <c:pt idx="1088">
                  <c:v>-65.999999999999602</c:v>
                </c:pt>
                <c:pt idx="1089">
                  <c:v>-66.749999999999602</c:v>
                </c:pt>
                <c:pt idx="1090">
                  <c:v>-67.499999999999602</c:v>
                </c:pt>
                <c:pt idx="1091">
                  <c:v>-68.249999999999602</c:v>
                </c:pt>
                <c:pt idx="1092">
                  <c:v>-68.999999999999602</c:v>
                </c:pt>
                <c:pt idx="1093">
                  <c:v>-69.749999999999602</c:v>
                </c:pt>
                <c:pt idx="1094">
                  <c:v>-70.499999999999602</c:v>
                </c:pt>
                <c:pt idx="1095">
                  <c:v>-71.249999999999602</c:v>
                </c:pt>
                <c:pt idx="1096">
                  <c:v>-71.999999999999602</c:v>
                </c:pt>
                <c:pt idx="1097">
                  <c:v>-72.749999999999602</c:v>
                </c:pt>
                <c:pt idx="1098">
                  <c:v>-73.499999999999602</c:v>
                </c:pt>
                <c:pt idx="1099">
                  <c:v>-74.249999999999602</c:v>
                </c:pt>
                <c:pt idx="1100">
                  <c:v>-74.999999999999602</c:v>
                </c:pt>
                <c:pt idx="1101">
                  <c:v>-74.716666666666271</c:v>
                </c:pt>
                <c:pt idx="1102">
                  <c:v>-74.433333333332939</c:v>
                </c:pt>
                <c:pt idx="1103">
                  <c:v>-74.149999999999608</c:v>
                </c:pt>
                <c:pt idx="1104">
                  <c:v>-73.866666666666276</c:v>
                </c:pt>
                <c:pt idx="1105">
                  <c:v>-73.583333333332945</c:v>
                </c:pt>
                <c:pt idx="1106">
                  <c:v>-73.299999999999613</c:v>
                </c:pt>
                <c:pt idx="1107">
                  <c:v>-73.016666666666282</c:v>
                </c:pt>
                <c:pt idx="1108">
                  <c:v>-72.733333333332951</c:v>
                </c:pt>
                <c:pt idx="1109">
                  <c:v>-72.449999999999619</c:v>
                </c:pt>
                <c:pt idx="1110">
                  <c:v>-72.166666666666288</c:v>
                </c:pt>
                <c:pt idx="1111">
                  <c:v>-71.883333333332956</c:v>
                </c:pt>
                <c:pt idx="1112">
                  <c:v>-71.599999999999625</c:v>
                </c:pt>
                <c:pt idx="1113">
                  <c:v>-71.316666666666293</c:v>
                </c:pt>
                <c:pt idx="1114">
                  <c:v>-71.033333333332962</c:v>
                </c:pt>
                <c:pt idx="1115">
                  <c:v>-70.749999999999631</c:v>
                </c:pt>
                <c:pt idx="1116">
                  <c:v>-70.466666666666299</c:v>
                </c:pt>
                <c:pt idx="1117">
                  <c:v>-70.183333333332968</c:v>
                </c:pt>
                <c:pt idx="1118">
                  <c:v>-69.899999999999636</c:v>
                </c:pt>
                <c:pt idx="1119">
                  <c:v>-69.616666666666305</c:v>
                </c:pt>
                <c:pt idx="1120">
                  <c:v>-69.333333333332973</c:v>
                </c:pt>
                <c:pt idx="1121">
                  <c:v>-69.049999999999642</c:v>
                </c:pt>
                <c:pt idx="1122">
                  <c:v>-68.76666666666631</c:v>
                </c:pt>
                <c:pt idx="1123">
                  <c:v>-68.483333333332979</c:v>
                </c:pt>
                <c:pt idx="1124">
                  <c:v>-68.199999999999648</c:v>
                </c:pt>
                <c:pt idx="1125">
                  <c:v>-67.916666666666316</c:v>
                </c:pt>
                <c:pt idx="1126">
                  <c:v>-67.633333333332985</c:v>
                </c:pt>
                <c:pt idx="1127">
                  <c:v>-67.349999999999653</c:v>
                </c:pt>
                <c:pt idx="1128">
                  <c:v>-67.066666666666322</c:v>
                </c:pt>
                <c:pt idx="1129">
                  <c:v>-66.78333333333299</c:v>
                </c:pt>
                <c:pt idx="1130">
                  <c:v>-66.499999999999659</c:v>
                </c:pt>
                <c:pt idx="1131">
                  <c:v>-66.216666666666328</c:v>
                </c:pt>
                <c:pt idx="1132">
                  <c:v>-65.933333333332996</c:v>
                </c:pt>
                <c:pt idx="1133">
                  <c:v>-65.649999999999665</c:v>
                </c:pt>
                <c:pt idx="1134">
                  <c:v>-65.366666666666333</c:v>
                </c:pt>
                <c:pt idx="1135">
                  <c:v>-65.083333333333002</c:v>
                </c:pt>
                <c:pt idx="1136">
                  <c:v>-64.79999999999967</c:v>
                </c:pt>
                <c:pt idx="1137">
                  <c:v>-64.516666666666339</c:v>
                </c:pt>
                <c:pt idx="1138">
                  <c:v>-64.233333333333007</c:v>
                </c:pt>
                <c:pt idx="1139">
                  <c:v>-63.949999999999676</c:v>
                </c:pt>
                <c:pt idx="1140">
                  <c:v>-63.666666666666345</c:v>
                </c:pt>
                <c:pt idx="1141">
                  <c:v>-63.383333333333013</c:v>
                </c:pt>
                <c:pt idx="1142">
                  <c:v>-63.099999999999682</c:v>
                </c:pt>
                <c:pt idx="1143">
                  <c:v>-62.81666666666635</c:v>
                </c:pt>
                <c:pt idx="1144">
                  <c:v>-62.533333333333019</c:v>
                </c:pt>
                <c:pt idx="1145">
                  <c:v>-62.249999999999687</c:v>
                </c:pt>
                <c:pt idx="1146">
                  <c:v>-61.966666666666356</c:v>
                </c:pt>
                <c:pt idx="1147">
                  <c:v>-61.683333333333024</c:v>
                </c:pt>
                <c:pt idx="1148">
                  <c:v>-61.399999999999693</c:v>
                </c:pt>
                <c:pt idx="1149">
                  <c:v>-61.116666666666362</c:v>
                </c:pt>
                <c:pt idx="1150">
                  <c:v>-60.83333333333303</c:v>
                </c:pt>
                <c:pt idx="1151">
                  <c:v>-60.549999999999699</c:v>
                </c:pt>
                <c:pt idx="1152">
                  <c:v>-60.266666666666367</c:v>
                </c:pt>
                <c:pt idx="1153">
                  <c:v>-59.983333333333036</c:v>
                </c:pt>
                <c:pt idx="1154">
                  <c:v>-59.699999999999704</c:v>
                </c:pt>
                <c:pt idx="1155">
                  <c:v>-59.416666666666373</c:v>
                </c:pt>
                <c:pt idx="1156">
                  <c:v>-59.133333333333042</c:v>
                </c:pt>
                <c:pt idx="1157">
                  <c:v>-58.84999999999971</c:v>
                </c:pt>
                <c:pt idx="1158">
                  <c:v>-58.566666666666379</c:v>
                </c:pt>
                <c:pt idx="1159">
                  <c:v>-58.283333333333047</c:v>
                </c:pt>
                <c:pt idx="1160">
                  <c:v>-57.999999999999716</c:v>
                </c:pt>
                <c:pt idx="1161">
                  <c:v>-57.716666666666384</c:v>
                </c:pt>
                <c:pt idx="1162">
                  <c:v>-57.433333333333053</c:v>
                </c:pt>
                <c:pt idx="1163">
                  <c:v>-57.149999999999721</c:v>
                </c:pt>
                <c:pt idx="1164">
                  <c:v>-56.86666666666639</c:v>
                </c:pt>
                <c:pt idx="1165">
                  <c:v>-56.583333333333059</c:v>
                </c:pt>
                <c:pt idx="1166">
                  <c:v>-56.299999999999727</c:v>
                </c:pt>
                <c:pt idx="1167">
                  <c:v>-56.016666666666396</c:v>
                </c:pt>
                <c:pt idx="1168">
                  <c:v>-55.733333333333064</c:v>
                </c:pt>
                <c:pt idx="1169">
                  <c:v>-55.449999999999733</c:v>
                </c:pt>
                <c:pt idx="1170">
                  <c:v>-55.166666666666401</c:v>
                </c:pt>
                <c:pt idx="1171">
                  <c:v>-54.88333333333307</c:v>
                </c:pt>
                <c:pt idx="1172">
                  <c:v>-54.599999999999739</c:v>
                </c:pt>
                <c:pt idx="1173">
                  <c:v>-54.316666666666407</c:v>
                </c:pt>
                <c:pt idx="1174">
                  <c:v>-54.033333333333076</c:v>
                </c:pt>
                <c:pt idx="1175">
                  <c:v>-53.749999999999744</c:v>
                </c:pt>
                <c:pt idx="1176">
                  <c:v>-53.466666666666413</c:v>
                </c:pt>
                <c:pt idx="1177">
                  <c:v>-53.183333333333081</c:v>
                </c:pt>
                <c:pt idx="1178">
                  <c:v>-52.89999999999975</c:v>
                </c:pt>
                <c:pt idx="1179">
                  <c:v>-52.616666666666418</c:v>
                </c:pt>
                <c:pt idx="1180">
                  <c:v>-52.333333333333087</c:v>
                </c:pt>
                <c:pt idx="1181">
                  <c:v>-52.049999999999756</c:v>
                </c:pt>
                <c:pt idx="1182">
                  <c:v>-51.766666666666424</c:v>
                </c:pt>
                <c:pt idx="1183">
                  <c:v>-51.483333333333093</c:v>
                </c:pt>
                <c:pt idx="1184">
                  <c:v>-51.199999999999761</c:v>
                </c:pt>
                <c:pt idx="1185">
                  <c:v>-50.91666666666643</c:v>
                </c:pt>
                <c:pt idx="1186">
                  <c:v>-50.633333333333098</c:v>
                </c:pt>
                <c:pt idx="1187">
                  <c:v>-50.349999999999767</c:v>
                </c:pt>
                <c:pt idx="1188">
                  <c:v>-50.066666666666436</c:v>
                </c:pt>
                <c:pt idx="1189">
                  <c:v>-49.783333333333104</c:v>
                </c:pt>
                <c:pt idx="1190">
                  <c:v>-49.499999999999773</c:v>
                </c:pt>
                <c:pt idx="1191">
                  <c:v>-49.216666666666441</c:v>
                </c:pt>
                <c:pt idx="1192">
                  <c:v>-48.93333333333311</c:v>
                </c:pt>
                <c:pt idx="1193">
                  <c:v>-48.649999999999778</c:v>
                </c:pt>
                <c:pt idx="1194">
                  <c:v>-48.366666666666447</c:v>
                </c:pt>
                <c:pt idx="1195">
                  <c:v>-48.083333333333115</c:v>
                </c:pt>
                <c:pt idx="1196">
                  <c:v>-47.799999999999784</c:v>
                </c:pt>
                <c:pt idx="1197">
                  <c:v>-47.516666666666453</c:v>
                </c:pt>
                <c:pt idx="1198">
                  <c:v>-47.233333333333121</c:v>
                </c:pt>
                <c:pt idx="1199">
                  <c:v>-46.94999999999979</c:v>
                </c:pt>
                <c:pt idx="1200">
                  <c:v>-46.666666666666458</c:v>
                </c:pt>
                <c:pt idx="1201">
                  <c:v>-46.383333333333127</c:v>
                </c:pt>
                <c:pt idx="1202">
                  <c:v>-46.099999999999795</c:v>
                </c:pt>
                <c:pt idx="1203">
                  <c:v>-45.816666666666464</c:v>
                </c:pt>
                <c:pt idx="1204">
                  <c:v>-45.533333333333132</c:v>
                </c:pt>
                <c:pt idx="1205">
                  <c:v>-45.249999999999801</c:v>
                </c:pt>
                <c:pt idx="1206">
                  <c:v>-44.96666666666647</c:v>
                </c:pt>
                <c:pt idx="1207">
                  <c:v>-44.683333333333138</c:v>
                </c:pt>
                <c:pt idx="1208">
                  <c:v>-44.399999999999807</c:v>
                </c:pt>
                <c:pt idx="1209">
                  <c:v>-44.116666666666475</c:v>
                </c:pt>
                <c:pt idx="1210">
                  <c:v>-43.833333333333144</c:v>
                </c:pt>
                <c:pt idx="1211">
                  <c:v>-43.549999999999812</c:v>
                </c:pt>
                <c:pt idx="1212">
                  <c:v>-43.266666666666481</c:v>
                </c:pt>
                <c:pt idx="1213">
                  <c:v>-42.98333333333315</c:v>
                </c:pt>
                <c:pt idx="1214">
                  <c:v>-42.699999999999818</c:v>
                </c:pt>
                <c:pt idx="1215">
                  <c:v>-42.416666666666487</c:v>
                </c:pt>
                <c:pt idx="1216">
                  <c:v>-42.133333333333155</c:v>
                </c:pt>
                <c:pt idx="1217">
                  <c:v>-41.849999999999824</c:v>
                </c:pt>
                <c:pt idx="1218">
                  <c:v>-41.566666666666492</c:v>
                </c:pt>
                <c:pt idx="1219">
                  <c:v>-41.283333333333161</c:v>
                </c:pt>
                <c:pt idx="1220">
                  <c:v>-40.999999999999829</c:v>
                </c:pt>
                <c:pt idx="1221">
                  <c:v>-40.716666666666498</c:v>
                </c:pt>
                <c:pt idx="1222">
                  <c:v>-40.433333333333167</c:v>
                </c:pt>
                <c:pt idx="1223">
                  <c:v>-40.149999999999835</c:v>
                </c:pt>
                <c:pt idx="1224">
                  <c:v>-39.866666666666504</c:v>
                </c:pt>
                <c:pt idx="1225">
                  <c:v>-39.583333333333172</c:v>
                </c:pt>
                <c:pt idx="1226">
                  <c:v>-39.299999999999841</c:v>
                </c:pt>
                <c:pt idx="1227">
                  <c:v>-39.016666666666509</c:v>
                </c:pt>
                <c:pt idx="1228">
                  <c:v>-38.733333333333178</c:v>
                </c:pt>
                <c:pt idx="1229">
                  <c:v>-38.449999999999847</c:v>
                </c:pt>
                <c:pt idx="1230">
                  <c:v>-38.166666666666515</c:v>
                </c:pt>
                <c:pt idx="1231">
                  <c:v>-37.883333333333184</c:v>
                </c:pt>
                <c:pt idx="1232">
                  <c:v>-37.599999999999852</c:v>
                </c:pt>
                <c:pt idx="1233">
                  <c:v>-37.316666666666521</c:v>
                </c:pt>
                <c:pt idx="1234">
                  <c:v>-37.033333333333189</c:v>
                </c:pt>
                <c:pt idx="1235">
                  <c:v>-36.749999999999858</c:v>
                </c:pt>
                <c:pt idx="1236">
                  <c:v>-36.466666666666526</c:v>
                </c:pt>
                <c:pt idx="1237">
                  <c:v>-36.183333333333195</c:v>
                </c:pt>
                <c:pt idx="1238">
                  <c:v>-35.899999999999864</c:v>
                </c:pt>
                <c:pt idx="1239">
                  <c:v>-35.616666666666532</c:v>
                </c:pt>
                <c:pt idx="1240">
                  <c:v>-35.333333333333201</c:v>
                </c:pt>
                <c:pt idx="1241">
                  <c:v>-35.049999999999869</c:v>
                </c:pt>
                <c:pt idx="1242">
                  <c:v>-34.766666666666538</c:v>
                </c:pt>
                <c:pt idx="1243">
                  <c:v>-34.483333333333206</c:v>
                </c:pt>
                <c:pt idx="1244">
                  <c:v>-34.199999999999875</c:v>
                </c:pt>
                <c:pt idx="1245">
                  <c:v>-33.916666666666544</c:v>
                </c:pt>
                <c:pt idx="1246">
                  <c:v>-33.633333333333212</c:v>
                </c:pt>
                <c:pt idx="1247">
                  <c:v>-33.349999999999881</c:v>
                </c:pt>
                <c:pt idx="1248">
                  <c:v>-33.066666666666549</c:v>
                </c:pt>
                <c:pt idx="1249">
                  <c:v>-32.783333333333218</c:v>
                </c:pt>
                <c:pt idx="1250">
                  <c:v>-32.499999999999886</c:v>
                </c:pt>
                <c:pt idx="1251">
                  <c:v>-32.216666666666555</c:v>
                </c:pt>
                <c:pt idx="1252">
                  <c:v>-31.93333333333322</c:v>
                </c:pt>
                <c:pt idx="1253">
                  <c:v>-31.649999999999885</c:v>
                </c:pt>
                <c:pt idx="1254">
                  <c:v>-31.36666666666655</c:v>
                </c:pt>
                <c:pt idx="1255">
                  <c:v>-31.083333333333215</c:v>
                </c:pt>
                <c:pt idx="1256">
                  <c:v>-30.79999999999988</c:v>
                </c:pt>
                <c:pt idx="1257">
                  <c:v>-30.516666666666545</c:v>
                </c:pt>
                <c:pt idx="1258">
                  <c:v>-30.23333333333321</c:v>
                </c:pt>
                <c:pt idx="1259">
                  <c:v>-29.949999999999875</c:v>
                </c:pt>
                <c:pt idx="1260">
                  <c:v>-29.66666666666654</c:v>
                </c:pt>
                <c:pt idx="1261">
                  <c:v>-29.383333333333205</c:v>
                </c:pt>
                <c:pt idx="1262">
                  <c:v>-29.09999999999987</c:v>
                </c:pt>
                <c:pt idx="1263">
                  <c:v>-28.816666666666535</c:v>
                </c:pt>
                <c:pt idx="1264">
                  <c:v>-28.5333333333332</c:v>
                </c:pt>
                <c:pt idx="1265">
                  <c:v>-28.249999999999865</c:v>
                </c:pt>
                <c:pt idx="1266">
                  <c:v>-27.96666666666653</c:v>
                </c:pt>
                <c:pt idx="1267">
                  <c:v>-27.683333333333195</c:v>
                </c:pt>
                <c:pt idx="1268">
                  <c:v>-27.39999999999986</c:v>
                </c:pt>
                <c:pt idx="1269">
                  <c:v>-27.116666666666525</c:v>
                </c:pt>
                <c:pt idx="1270">
                  <c:v>-26.83333333333319</c:v>
                </c:pt>
                <c:pt idx="1271">
                  <c:v>-26.549999999999855</c:v>
                </c:pt>
                <c:pt idx="1272">
                  <c:v>-26.26666666666652</c:v>
                </c:pt>
                <c:pt idx="1273">
                  <c:v>-25.983333333333185</c:v>
                </c:pt>
                <c:pt idx="1274">
                  <c:v>-25.69999999999985</c:v>
                </c:pt>
                <c:pt idx="1275">
                  <c:v>-25.416666666666515</c:v>
                </c:pt>
                <c:pt idx="1276">
                  <c:v>-25.13333333333318</c:v>
                </c:pt>
                <c:pt idx="1277">
                  <c:v>-24.849999999999845</c:v>
                </c:pt>
                <c:pt idx="1278">
                  <c:v>-24.56666666666651</c:v>
                </c:pt>
                <c:pt idx="1279">
                  <c:v>-24.283333333333175</c:v>
                </c:pt>
                <c:pt idx="1280">
                  <c:v>-23.99999999999984</c:v>
                </c:pt>
                <c:pt idx="1281">
                  <c:v>-23.716666666666505</c:v>
                </c:pt>
                <c:pt idx="1282">
                  <c:v>-23.43333333333317</c:v>
                </c:pt>
                <c:pt idx="1283">
                  <c:v>-23.149999999999835</c:v>
                </c:pt>
                <c:pt idx="1284">
                  <c:v>-22.8666666666665</c:v>
                </c:pt>
                <c:pt idx="1285">
                  <c:v>-22.583333333333165</c:v>
                </c:pt>
                <c:pt idx="1286">
                  <c:v>-22.29999999999983</c:v>
                </c:pt>
                <c:pt idx="1287">
                  <c:v>-22.016666666666495</c:v>
                </c:pt>
                <c:pt idx="1288">
                  <c:v>-21.73333333333316</c:v>
                </c:pt>
                <c:pt idx="1289">
                  <c:v>-21.449999999999825</c:v>
                </c:pt>
                <c:pt idx="1290">
                  <c:v>-21.16666666666649</c:v>
                </c:pt>
                <c:pt idx="1291">
                  <c:v>-20.883333333333155</c:v>
                </c:pt>
                <c:pt idx="1292">
                  <c:v>-20.59999999999982</c:v>
                </c:pt>
                <c:pt idx="1293">
                  <c:v>-20.316666666666485</c:v>
                </c:pt>
                <c:pt idx="1294">
                  <c:v>-20.03333333333315</c:v>
                </c:pt>
                <c:pt idx="1295">
                  <c:v>-19.749999999999815</c:v>
                </c:pt>
                <c:pt idx="1296">
                  <c:v>-19.46666666666648</c:v>
                </c:pt>
                <c:pt idx="1297">
                  <c:v>-19.183333333333145</c:v>
                </c:pt>
                <c:pt idx="1298">
                  <c:v>-18.89999999999981</c:v>
                </c:pt>
                <c:pt idx="1299">
                  <c:v>-18.616666666666475</c:v>
                </c:pt>
                <c:pt idx="1300">
                  <c:v>-18.33333333333314</c:v>
                </c:pt>
                <c:pt idx="1301">
                  <c:v>-18.049999999999805</c:v>
                </c:pt>
                <c:pt idx="1302">
                  <c:v>-17.76666666666647</c:v>
                </c:pt>
                <c:pt idx="1303">
                  <c:v>-17.483333333333135</c:v>
                </c:pt>
                <c:pt idx="1304">
                  <c:v>-17.1999999999998</c:v>
                </c:pt>
                <c:pt idx="1305">
                  <c:v>-16.916666666666465</c:v>
                </c:pt>
                <c:pt idx="1306">
                  <c:v>-16.63333333333313</c:v>
                </c:pt>
                <c:pt idx="1307">
                  <c:v>-16.349999999999795</c:v>
                </c:pt>
                <c:pt idx="1308">
                  <c:v>-16.06666666666646</c:v>
                </c:pt>
                <c:pt idx="1309">
                  <c:v>-15.783333333333127</c:v>
                </c:pt>
                <c:pt idx="1310">
                  <c:v>-15.499999999999794</c:v>
                </c:pt>
                <c:pt idx="1311">
                  <c:v>-15.216666666666461</c:v>
                </c:pt>
                <c:pt idx="1312">
                  <c:v>-14.933333333333128</c:v>
                </c:pt>
                <c:pt idx="1313">
                  <c:v>-14.649999999999794</c:v>
                </c:pt>
                <c:pt idx="1314">
                  <c:v>-14.366666666666461</c:v>
                </c:pt>
                <c:pt idx="1315">
                  <c:v>-14.083333333333128</c:v>
                </c:pt>
                <c:pt idx="1316">
                  <c:v>-13.799999999999795</c:v>
                </c:pt>
                <c:pt idx="1317">
                  <c:v>-13.516666666666461</c:v>
                </c:pt>
                <c:pt idx="1318">
                  <c:v>-13.233333333333128</c:v>
                </c:pt>
                <c:pt idx="1319">
                  <c:v>-12.949999999999795</c:v>
                </c:pt>
                <c:pt idx="1320">
                  <c:v>-12.666666666666462</c:v>
                </c:pt>
                <c:pt idx="1321">
                  <c:v>-12.383333333333129</c:v>
                </c:pt>
                <c:pt idx="1322">
                  <c:v>-12.099999999999795</c:v>
                </c:pt>
                <c:pt idx="1323">
                  <c:v>-11.816666666666462</c:v>
                </c:pt>
                <c:pt idx="1324">
                  <c:v>-11.533333333333129</c:v>
                </c:pt>
                <c:pt idx="1325">
                  <c:v>-11.249999999999796</c:v>
                </c:pt>
                <c:pt idx="1326">
                  <c:v>-10.966666666666463</c:v>
                </c:pt>
                <c:pt idx="1327">
                  <c:v>-10.683333333333129</c:v>
                </c:pt>
                <c:pt idx="1328">
                  <c:v>-10.399999999999796</c:v>
                </c:pt>
                <c:pt idx="1329">
                  <c:v>-10.116666666666463</c:v>
                </c:pt>
                <c:pt idx="1330">
                  <c:v>-9.8333333333331296</c:v>
                </c:pt>
                <c:pt idx="1331">
                  <c:v>-9.5499999999997964</c:v>
                </c:pt>
                <c:pt idx="1332">
                  <c:v>-9.2666666666664632</c:v>
                </c:pt>
                <c:pt idx="1333">
                  <c:v>-8.98333333333313</c:v>
                </c:pt>
                <c:pt idx="1334">
                  <c:v>-8.6999999999997968</c:v>
                </c:pt>
                <c:pt idx="1335">
                  <c:v>-8.4166666666664636</c:v>
                </c:pt>
                <c:pt idx="1336">
                  <c:v>-8.1333333333331304</c:v>
                </c:pt>
                <c:pt idx="1337">
                  <c:v>-7.8499999999997971</c:v>
                </c:pt>
                <c:pt idx="1338">
                  <c:v>-7.5666666666664639</c:v>
                </c:pt>
                <c:pt idx="1339">
                  <c:v>-7.2833333333331307</c:v>
                </c:pt>
                <c:pt idx="1340">
                  <c:v>-6.9999999999997975</c:v>
                </c:pt>
                <c:pt idx="1341">
                  <c:v>-6.7166666666664643</c:v>
                </c:pt>
                <c:pt idx="1342">
                  <c:v>-6.4333333333331311</c:v>
                </c:pt>
                <c:pt idx="1343">
                  <c:v>-6.1499999999997979</c:v>
                </c:pt>
                <c:pt idx="1344">
                  <c:v>-5.8666666666664646</c:v>
                </c:pt>
                <c:pt idx="1345">
                  <c:v>-5.5833333333331314</c:v>
                </c:pt>
                <c:pt idx="1346">
                  <c:v>-5.2999999999997982</c:v>
                </c:pt>
                <c:pt idx="1347">
                  <c:v>-5.016666666666465</c:v>
                </c:pt>
                <c:pt idx="1348">
                  <c:v>-4.7333333333331318</c:v>
                </c:pt>
                <c:pt idx="1349">
                  <c:v>-4.4499999999997986</c:v>
                </c:pt>
                <c:pt idx="1350">
                  <c:v>-4.1666666666664653</c:v>
                </c:pt>
                <c:pt idx="1351">
                  <c:v>-3.8833333333331321</c:v>
                </c:pt>
                <c:pt idx="1352">
                  <c:v>-3.5999999999997989</c:v>
                </c:pt>
                <c:pt idx="1353">
                  <c:v>-3.3166666666664657</c:v>
                </c:pt>
                <c:pt idx="1354">
                  <c:v>-3.0333333333331325</c:v>
                </c:pt>
                <c:pt idx="1355">
                  <c:v>-2.7499999999997993</c:v>
                </c:pt>
                <c:pt idx="1356">
                  <c:v>-2.4666666666664661</c:v>
                </c:pt>
                <c:pt idx="1357">
                  <c:v>-2.1833333333331328</c:v>
                </c:pt>
                <c:pt idx="1358">
                  <c:v>-1.8999999999997996</c:v>
                </c:pt>
                <c:pt idx="1359">
                  <c:v>-1.6166666666664664</c:v>
                </c:pt>
                <c:pt idx="1360">
                  <c:v>-1.3333333333331332</c:v>
                </c:pt>
                <c:pt idx="1361">
                  <c:v>-1.0499999999998</c:v>
                </c:pt>
                <c:pt idx="1362">
                  <c:v>-0.76666666666646666</c:v>
                </c:pt>
                <c:pt idx="1363">
                  <c:v>-0.48333333333313333</c:v>
                </c:pt>
                <c:pt idx="1364">
                  <c:v>-0.1999999999998</c:v>
                </c:pt>
                <c:pt idx="1365">
                  <c:v>8.3333333333533322E-2</c:v>
                </c:pt>
                <c:pt idx="1366">
                  <c:v>0.36666666666686665</c:v>
                </c:pt>
                <c:pt idx="1367">
                  <c:v>0.65000000000019997</c:v>
                </c:pt>
                <c:pt idx="1368">
                  <c:v>0.9333333333335333</c:v>
                </c:pt>
                <c:pt idx="1369">
                  <c:v>1.2166666666668666</c:v>
                </c:pt>
                <c:pt idx="1370">
                  <c:v>1.5000000000001998</c:v>
                </c:pt>
                <c:pt idx="1371">
                  <c:v>1.7833333333335331</c:v>
                </c:pt>
                <c:pt idx="1372">
                  <c:v>2.0666666666668663</c:v>
                </c:pt>
                <c:pt idx="1373">
                  <c:v>2.3500000000001995</c:v>
                </c:pt>
                <c:pt idx="1374">
                  <c:v>2.6333333333335327</c:v>
                </c:pt>
                <c:pt idx="1375">
                  <c:v>2.9166666666668659</c:v>
                </c:pt>
                <c:pt idx="1376">
                  <c:v>3.2000000000001991</c:v>
                </c:pt>
                <c:pt idx="1377">
                  <c:v>3.4833333333335323</c:v>
                </c:pt>
                <c:pt idx="1378">
                  <c:v>3.7666666666668656</c:v>
                </c:pt>
                <c:pt idx="1379">
                  <c:v>4.0500000000001988</c:v>
                </c:pt>
                <c:pt idx="1380">
                  <c:v>4.333333333333532</c:v>
                </c:pt>
                <c:pt idx="1381">
                  <c:v>4.6166666666668652</c:v>
                </c:pt>
                <c:pt idx="1382">
                  <c:v>4.9000000000001984</c:v>
                </c:pt>
                <c:pt idx="1383">
                  <c:v>5.1833333333335316</c:v>
                </c:pt>
                <c:pt idx="1384">
                  <c:v>5.4666666666668648</c:v>
                </c:pt>
                <c:pt idx="1385">
                  <c:v>5.7500000000001981</c:v>
                </c:pt>
                <c:pt idx="1386">
                  <c:v>6.0333333333335313</c:v>
                </c:pt>
                <c:pt idx="1387">
                  <c:v>6.3166666666668645</c:v>
                </c:pt>
                <c:pt idx="1388">
                  <c:v>6.6000000000001977</c:v>
                </c:pt>
                <c:pt idx="1389">
                  <c:v>6.8833333333335309</c:v>
                </c:pt>
                <c:pt idx="1390">
                  <c:v>7.1666666666668641</c:v>
                </c:pt>
                <c:pt idx="1391">
                  <c:v>7.4500000000001974</c:v>
                </c:pt>
                <c:pt idx="1392">
                  <c:v>7.7333333333335306</c:v>
                </c:pt>
                <c:pt idx="1393">
                  <c:v>8.0166666666668647</c:v>
                </c:pt>
                <c:pt idx="1394">
                  <c:v>8.3000000000001979</c:v>
                </c:pt>
                <c:pt idx="1395">
                  <c:v>8.5833333333335311</c:v>
                </c:pt>
                <c:pt idx="1396">
                  <c:v>8.8666666666668643</c:v>
                </c:pt>
                <c:pt idx="1397">
                  <c:v>9.1500000000001975</c:v>
                </c:pt>
                <c:pt idx="1398">
                  <c:v>9.4333333333335307</c:v>
                </c:pt>
                <c:pt idx="1399">
                  <c:v>9.716666666666864</c:v>
                </c:pt>
                <c:pt idx="1400">
                  <c:v>10.000000000000197</c:v>
                </c:pt>
              </c:numCache>
            </c:numRef>
          </c:val>
          <c:smooth val="0"/>
        </c:ser>
        <c:dLbls>
          <c:showLegendKey val="0"/>
          <c:showVal val="0"/>
          <c:showCatName val="0"/>
          <c:showSerName val="0"/>
          <c:showPercent val="0"/>
          <c:showBubbleSize val="0"/>
        </c:dLbls>
        <c:marker val="1"/>
        <c:smooth val="0"/>
        <c:axId val="166832384"/>
        <c:axId val="167186432"/>
      </c:lineChart>
      <c:catAx>
        <c:axId val="166832384"/>
        <c:scaling>
          <c:orientation val="minMax"/>
        </c:scaling>
        <c:delete val="0"/>
        <c:axPos val="b"/>
        <c:numFmt formatCode="General" sourceLinked="1"/>
        <c:majorTickMark val="out"/>
        <c:minorTickMark val="none"/>
        <c:tickLblPos val="nextTo"/>
        <c:crossAx val="167186432"/>
        <c:crosses val="autoZero"/>
        <c:auto val="1"/>
        <c:lblAlgn val="ctr"/>
        <c:lblOffset val="100"/>
        <c:noMultiLvlLbl val="0"/>
      </c:catAx>
      <c:valAx>
        <c:axId val="167186432"/>
        <c:scaling>
          <c:orientation val="minMax"/>
        </c:scaling>
        <c:delete val="0"/>
        <c:axPos val="l"/>
        <c:majorGridlines/>
        <c:numFmt formatCode="0.00" sourceLinked="1"/>
        <c:majorTickMark val="out"/>
        <c:minorTickMark val="none"/>
        <c:tickLblPos val="nextTo"/>
        <c:crossAx val="1668323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croll" dx="20" fmlaLink="$D$2" max="100" page="10" val="36"/>
</file>

<file path=xl/ctrlProps/ctrlProp2.xml><?xml version="1.0" encoding="utf-8"?>
<formControlPr xmlns="http://schemas.microsoft.com/office/spreadsheetml/2009/9/main" objectType="Scroll" dx="20" fmlaLink="$E$2" max="100" page="10" val="10"/>
</file>

<file path=xl/ctrlProps/ctrlProp3.xml><?xml version="1.0" encoding="utf-8"?>
<formControlPr xmlns="http://schemas.microsoft.com/office/spreadsheetml/2009/9/main" objectType="Scroll" dx="20" fmlaLink="$F$2" max="100" page="10" val="36"/>
</file>

<file path=xl/ctrlProps/ctrlProp4.xml><?xml version="1.0" encoding="utf-8"?>
<formControlPr xmlns="http://schemas.microsoft.com/office/spreadsheetml/2009/9/main" objectType="Scroll" dx="20" fmlaLink="$G$2" max="100" min="1" page="10" val="65"/>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jpeg"/><Relationship Id="rId5" Type="http://schemas.openxmlformats.org/officeDocument/2006/relationships/image" Target="../media/image3.jpeg"/><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15</xdr:col>
      <xdr:colOff>338546</xdr:colOff>
      <xdr:row>20</xdr:row>
      <xdr:rowOff>706480</xdr:rowOff>
    </xdr:from>
    <xdr:to>
      <xdr:col>22</xdr:col>
      <xdr:colOff>165100</xdr:colOff>
      <xdr:row>31</xdr:row>
      <xdr:rowOff>296545</xdr:rowOff>
    </xdr:to>
    <xdr:sp macro="" textlink="">
      <xdr:nvSpPr>
        <xdr:cNvPr id="3" name="Rectangle 2"/>
        <xdr:cNvSpPr/>
      </xdr:nvSpPr>
      <xdr:spPr>
        <a:xfrm>
          <a:off x="12195266" y="12349840"/>
          <a:ext cx="5373914" cy="6585225"/>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References:</a:t>
          </a:r>
        </a:p>
        <a:p>
          <a:pPr algn="ctr"/>
          <a:endParaRPr lang="en-GB" sz="1600">
            <a:solidFill>
              <a:schemeClr val="tx1"/>
            </a:solidFill>
          </a:endParaRPr>
        </a:p>
        <a:p>
          <a:pPr algn="l"/>
          <a:r>
            <a:rPr lang="en-GB" sz="1600">
              <a:solidFill>
                <a:schemeClr val="tx1"/>
              </a:solidFill>
            </a:rPr>
            <a:t>+ https://www.sciencedirect.com/topics/medicine-and-dentistry/pressure-controlled-ventilation </a:t>
          </a:r>
        </a:p>
        <a:p>
          <a:pPr algn="l"/>
          <a:endParaRPr lang="en-GB" sz="1600">
            <a:solidFill>
              <a:schemeClr val="tx1"/>
            </a:solidFill>
          </a:endParaRPr>
        </a:p>
        <a:p>
          <a:pPr algn="l"/>
          <a:r>
            <a:rPr lang="en-GB" sz="1600">
              <a:solidFill>
                <a:schemeClr val="tx1"/>
              </a:solidFill>
            </a:rPr>
            <a:t>+ https://www.frca.co.uk/article.aspx?articleid=100421</a:t>
          </a:r>
        </a:p>
        <a:p>
          <a:pPr algn="l"/>
          <a:endParaRPr lang="en-GB" sz="1600">
            <a:solidFill>
              <a:schemeClr val="tx1"/>
            </a:solidFill>
          </a:endParaRPr>
        </a:p>
        <a:p>
          <a:pPr algn="l"/>
          <a:r>
            <a:rPr lang="en-GB" sz="1600">
              <a:solidFill>
                <a:schemeClr val="tx1"/>
              </a:solidFill>
            </a:rPr>
            <a:t>+</a:t>
          </a:r>
          <a:r>
            <a:rPr lang="en-GB" sz="1600" baseline="0">
              <a:solidFill>
                <a:schemeClr val="tx1"/>
              </a:solidFill>
            </a:rPr>
            <a:t> https://derangedphysiology.com/main/cicm-primary-exam/required-reading/respiratory-system/Chapter%20542/practical-differences-between</a:t>
          </a:r>
        </a:p>
        <a:p>
          <a:pPr algn="l"/>
          <a:endParaRPr lang="en-GB" sz="1600" baseline="0">
            <a:solidFill>
              <a:schemeClr val="tx1"/>
            </a:solidFill>
          </a:endParaRPr>
        </a:p>
        <a:p>
          <a:pPr algn="l"/>
          <a:r>
            <a:rPr lang="en-GB" sz="1600" baseline="0">
              <a:solidFill>
                <a:schemeClr val="tx1"/>
              </a:solidFill>
            </a:rPr>
            <a:t>+ https://physics.stackexchange.com/questions/228792/the-balloon-model-for-human-ventilation </a:t>
          </a:r>
        </a:p>
        <a:p>
          <a:pPr algn="l"/>
          <a:endParaRPr lang="en-GB" sz="1600" baseline="0">
            <a:solidFill>
              <a:schemeClr val="tx1"/>
            </a:solidFill>
          </a:endParaRPr>
        </a:p>
        <a:p>
          <a:pPr algn="l"/>
          <a:r>
            <a:rPr lang="en-GB" sz="1600" baseline="0">
              <a:solidFill>
                <a:schemeClr val="tx1"/>
              </a:solidFill>
            </a:rPr>
            <a:t>+ https://www.msdmanuals.com/en-gb/professional/critical-care-medicine/respiratory-failure-and-mechanical-ventilation/overview-of-mechanical-ventilation</a:t>
          </a:r>
        </a:p>
        <a:p>
          <a:pPr algn="l"/>
          <a:endParaRPr lang="en-GB" sz="1600" baseline="0">
            <a:solidFill>
              <a:schemeClr val="tx1"/>
            </a:solidFill>
          </a:endParaRPr>
        </a:p>
        <a:p>
          <a:pPr algn="l"/>
          <a:r>
            <a:rPr lang="en-GB" sz="1600" baseline="0">
              <a:solidFill>
                <a:schemeClr val="tx1"/>
              </a:solidFill>
            </a:rPr>
            <a:t>+ https://www.sciencedirect.com/topics/medicine-and-dentistry/lung-inflation</a:t>
          </a:r>
          <a:endParaRPr lang="en-GB" sz="1600">
            <a:solidFill>
              <a:schemeClr val="tx1"/>
            </a:solidFill>
          </a:endParaRPr>
        </a:p>
      </xdr:txBody>
    </xdr:sp>
    <xdr:clientData/>
  </xdr:twoCellAnchor>
  <xdr:twoCellAnchor>
    <xdr:from>
      <xdr:col>15</xdr:col>
      <xdr:colOff>339090</xdr:colOff>
      <xdr:row>15</xdr:row>
      <xdr:rowOff>580209</xdr:rowOff>
    </xdr:from>
    <xdr:to>
      <xdr:col>22</xdr:col>
      <xdr:colOff>144779</xdr:colOff>
      <xdr:row>19</xdr:row>
      <xdr:rowOff>610689</xdr:rowOff>
    </xdr:to>
    <xdr:sp macro="" textlink="">
      <xdr:nvSpPr>
        <xdr:cNvPr id="6" name="Rectangle 5"/>
        <xdr:cNvSpPr/>
      </xdr:nvSpPr>
      <xdr:spPr>
        <a:xfrm>
          <a:off x="12195810" y="9495609"/>
          <a:ext cx="5353049" cy="2026920"/>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Notes:</a:t>
          </a:r>
        </a:p>
        <a:p>
          <a:pPr algn="ctr"/>
          <a:endParaRPr lang="en-GB" sz="1600">
            <a:solidFill>
              <a:schemeClr val="tx1"/>
            </a:solidFill>
          </a:endParaRPr>
        </a:p>
        <a:p>
          <a:pPr algn="l"/>
          <a:r>
            <a:rPr lang="en-GB" sz="1600">
              <a:solidFill>
                <a:schemeClr val="tx1"/>
              </a:solidFill>
            </a:rPr>
            <a:t>+ </a:t>
          </a:r>
          <a:r>
            <a:rPr lang="en-GB" sz="1600">
              <a:solidFill>
                <a:schemeClr val="tx1"/>
              </a:solidFill>
              <a:latin typeface="+mn-lt"/>
              <a:ea typeface="+mn-ea"/>
              <a:cs typeface="+mn-cs"/>
            </a:rPr>
            <a:t>Pressure-controlled ventilation is usually closely monitored with alarms set for a minimal acceptable tidal and/or minute volume. </a:t>
          </a:r>
          <a:endParaRPr lang="en-GB" sz="2400">
            <a:solidFill>
              <a:schemeClr val="tx1"/>
            </a:solidFill>
          </a:endParaRPr>
        </a:p>
      </xdr:txBody>
    </xdr:sp>
    <xdr:clientData/>
  </xdr:twoCellAnchor>
  <xdr:twoCellAnchor>
    <xdr:from>
      <xdr:col>23</xdr:col>
      <xdr:colOff>45357</xdr:colOff>
      <xdr:row>21</xdr:row>
      <xdr:rowOff>224972</xdr:rowOff>
    </xdr:from>
    <xdr:to>
      <xdr:col>39</xdr:col>
      <xdr:colOff>371929</xdr:colOff>
      <xdr:row>29</xdr:row>
      <xdr:rowOff>136648</xdr:rowOff>
    </xdr:to>
    <xdr:grpSp>
      <xdr:nvGrpSpPr>
        <xdr:cNvPr id="9" name="Group 8"/>
        <xdr:cNvGrpSpPr/>
      </xdr:nvGrpSpPr>
      <xdr:grpSpPr>
        <a:xfrm>
          <a:off x="18200007" y="12169322"/>
          <a:ext cx="10080172" cy="5369501"/>
          <a:chOff x="17188543" y="174172"/>
          <a:chExt cx="10080172" cy="4754005"/>
        </a:xfrm>
      </xdr:grpSpPr>
      <xdr:pic>
        <xdr:nvPicPr>
          <xdr:cNvPr id="7" name="Picture 6" descr="pressure controlled mode of ventilati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88543" y="174172"/>
            <a:ext cx="7802880" cy="4754005"/>
          </a:xfrm>
          <a:prstGeom prst="rect">
            <a:avLst/>
          </a:prstGeom>
          <a:ln>
            <a:solidFill>
              <a:schemeClr val="accent1"/>
            </a:solid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sp macro="" textlink="">
        <xdr:nvSpPr>
          <xdr:cNvPr id="8" name="Rectangle 7"/>
          <xdr:cNvSpPr/>
        </xdr:nvSpPr>
        <xdr:spPr>
          <a:xfrm>
            <a:off x="24492856" y="2808514"/>
            <a:ext cx="2775859" cy="1817915"/>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0">
                <a:solidFill>
                  <a:schemeClr val="tx1"/>
                </a:solidFill>
              </a:rPr>
              <a:t>This diagram from https://derangedphysiology.com/main/cicm-primary-exam/required-reading/respiratory-system/Chapter%20542/practical-differences-between</a:t>
            </a:r>
          </a:p>
          <a:p>
            <a:pPr algn="ctr"/>
            <a:r>
              <a:rPr lang="en-GB" sz="1200" b="0">
                <a:solidFill>
                  <a:schemeClr val="tx1"/>
                </a:solidFill>
              </a:rPr>
              <a:t>.. A useful read</a:t>
            </a:r>
            <a:endParaRPr lang="en-GB" sz="1600" b="0">
              <a:solidFill>
                <a:schemeClr val="tx1"/>
              </a:solidFill>
            </a:endParaRPr>
          </a:p>
        </xdr:txBody>
      </xdr:sp>
    </xdr:grpSp>
    <xdr:clientData/>
  </xdr:twoCellAnchor>
  <xdr:twoCellAnchor>
    <xdr:from>
      <xdr:col>7</xdr:col>
      <xdr:colOff>332469</xdr:colOff>
      <xdr:row>1</xdr:row>
      <xdr:rowOff>141514</xdr:rowOff>
    </xdr:from>
    <xdr:to>
      <xdr:col>23</xdr:col>
      <xdr:colOff>30087</xdr:colOff>
      <xdr:row>7</xdr:row>
      <xdr:rowOff>185057</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469900</xdr:colOff>
      <xdr:row>16</xdr:row>
      <xdr:rowOff>66675</xdr:rowOff>
    </xdr:from>
    <xdr:to>
      <xdr:col>37</xdr:col>
      <xdr:colOff>423637</xdr:colOff>
      <xdr:row>21</xdr:row>
      <xdr:rowOff>44057</xdr:rowOff>
    </xdr:to>
    <xdr:grpSp>
      <xdr:nvGrpSpPr>
        <xdr:cNvPr id="13" name="Group 12"/>
        <xdr:cNvGrpSpPr/>
      </xdr:nvGrpSpPr>
      <xdr:grpSpPr>
        <a:xfrm>
          <a:off x="18624550" y="9191625"/>
          <a:ext cx="8488137" cy="2796782"/>
          <a:chOff x="28803600" y="257175"/>
          <a:chExt cx="8488137" cy="2796782"/>
        </a:xfrm>
      </xdr:grpSpPr>
      <xdr:pic>
        <xdr:nvPicPr>
          <xdr:cNvPr id="11" name="Picture 10"/>
          <xdr:cNvPicPr>
            <a:picLocks noChangeAspect="1"/>
          </xdr:cNvPicPr>
        </xdr:nvPicPr>
        <xdr:blipFill>
          <a:blip xmlns:r="http://schemas.openxmlformats.org/officeDocument/2006/relationships" r:embed="rId3"/>
          <a:stretch>
            <a:fillRect/>
          </a:stretch>
        </xdr:blipFill>
        <xdr:spPr>
          <a:xfrm>
            <a:off x="28803600" y="257175"/>
            <a:ext cx="3764606" cy="2796782"/>
          </a:xfrm>
          <a:prstGeom prst="rect">
            <a:avLst/>
          </a:prstGeom>
        </xdr:spPr>
      </xdr:pic>
      <xdr:sp macro="" textlink="">
        <xdr:nvSpPr>
          <xdr:cNvPr id="12" name="Rectangle 11"/>
          <xdr:cNvSpPr/>
        </xdr:nvSpPr>
        <xdr:spPr>
          <a:xfrm>
            <a:off x="32295193" y="311604"/>
            <a:ext cx="4996544" cy="2222046"/>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rPr>
              <a:t>Elastic pressure</a:t>
            </a:r>
            <a:r>
              <a:rPr lang="en-GB" sz="1200">
                <a:solidFill>
                  <a:schemeClr val="tx1"/>
                </a:solidFill>
              </a:rPr>
              <a:t> is the product of the elastic recoil of the lungs and chest wall (elastance) and the volume of gas delivered. For a given volume, elastic pressure is increased by increased lung stiffness (as in pulmonary fibrosis) or restricted excursion of the chest wall or diaphragm (eg, in tense ascites or massive obesity). Because elastance is the inverse of compliance, high elastance is the same as low compliance.</a:t>
            </a:r>
          </a:p>
          <a:p>
            <a:pPr algn="ctr"/>
            <a:r>
              <a:rPr lang="en-GB" sz="1200">
                <a:solidFill>
                  <a:schemeClr val="tx1"/>
                </a:solidFill>
              </a:rPr>
              <a:t>https://www.msdmanuals.com/en-gb/professional/critical-care-medicine/respiratory-failure-and-mechanical-ventilation/overview-of-mechanical-ventilationv</a:t>
            </a:r>
          </a:p>
        </xdr:txBody>
      </xdr:sp>
    </xdr:grpSp>
    <xdr:clientData/>
  </xdr:twoCellAnchor>
  <xdr:twoCellAnchor>
    <xdr:from>
      <xdr:col>0</xdr:col>
      <xdr:colOff>457200</xdr:colOff>
      <xdr:row>40</xdr:row>
      <xdr:rowOff>0</xdr:rowOff>
    </xdr:from>
    <xdr:to>
      <xdr:col>5</xdr:col>
      <xdr:colOff>1129394</xdr:colOff>
      <xdr:row>54</xdr:row>
      <xdr:rowOff>0</xdr:rowOff>
    </xdr:to>
    <xdr:sp macro="" textlink="">
      <xdr:nvSpPr>
        <xdr:cNvPr id="16" name="Rectangle 15"/>
        <xdr:cNvSpPr/>
      </xdr:nvSpPr>
      <xdr:spPr>
        <a:xfrm>
          <a:off x="1209675" y="10715625"/>
          <a:ext cx="4996544" cy="2000250"/>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Model</a:t>
          </a:r>
          <a:r>
            <a:rPr lang="en-GB" sz="1800" b="1" baseline="0">
              <a:solidFill>
                <a:schemeClr val="tx1"/>
              </a:solidFill>
            </a:rPr>
            <a:t> settling period - Ignore these rows</a:t>
          </a:r>
          <a:endParaRPr lang="en-GB" sz="2400">
            <a:solidFill>
              <a:schemeClr val="tx1"/>
            </a:solidFill>
          </a:endParaRPr>
        </a:p>
      </xdr:txBody>
    </xdr:sp>
    <xdr:clientData/>
  </xdr:twoCellAnchor>
  <xdr:twoCellAnchor>
    <xdr:from>
      <xdr:col>7</xdr:col>
      <xdr:colOff>336095</xdr:colOff>
      <xdr:row>7</xdr:row>
      <xdr:rowOff>292099</xdr:rowOff>
    </xdr:from>
    <xdr:to>
      <xdr:col>23</xdr:col>
      <xdr:colOff>34470</xdr:colOff>
      <xdr:row>13</xdr:row>
      <xdr:rowOff>123824</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38</xdr:col>
      <xdr:colOff>338098</xdr:colOff>
      <xdr:row>16</xdr:row>
      <xdr:rowOff>12700</xdr:rowOff>
    </xdr:from>
    <xdr:to>
      <xdr:col>50</xdr:col>
      <xdr:colOff>583882</xdr:colOff>
      <xdr:row>24</xdr:row>
      <xdr:rowOff>12701</xdr:rowOff>
    </xdr:to>
    <xdr:pic>
      <xdr:nvPicPr>
        <xdr:cNvPr id="19" name="Picture 18" descr="examples of pressure controlled ventilati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50998" y="9156700"/>
          <a:ext cx="7560984" cy="506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171450</xdr:colOff>
          <xdr:row>1</xdr:row>
          <xdr:rowOff>142875</xdr:rowOff>
        </xdr:from>
        <xdr:to>
          <xdr:col>3</xdr:col>
          <xdr:colOff>628650</xdr:colOff>
          <xdr:row>8</xdr:row>
          <xdr:rowOff>466725</xdr:rowOff>
        </xdr:to>
        <xdr:sp macro="" textlink="">
          <xdr:nvSpPr>
            <xdr:cNvPr id="4112" name="Scroll Bar 16" hidden="1">
              <a:extLst>
                <a:ext uri="{63B3BB69-23CF-44E3-9099-C40C66FF867C}">
                  <a14:compatExt spid="_x0000_s4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142875</xdr:rowOff>
        </xdr:from>
        <xdr:to>
          <xdr:col>4</xdr:col>
          <xdr:colOff>666750</xdr:colOff>
          <xdr:row>8</xdr:row>
          <xdr:rowOff>457200</xdr:rowOff>
        </xdr:to>
        <xdr:sp macro="" textlink="">
          <xdr:nvSpPr>
            <xdr:cNvPr id="4113" name="Scroll Bar 17" hidden="1">
              <a:extLst>
                <a:ext uri="{63B3BB69-23CF-44E3-9099-C40C66FF867C}">
                  <a14:compatExt spid="_x0000_s4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1</xdr:row>
          <xdr:rowOff>142875</xdr:rowOff>
        </xdr:from>
        <xdr:to>
          <xdr:col>5</xdr:col>
          <xdr:colOff>666750</xdr:colOff>
          <xdr:row>8</xdr:row>
          <xdr:rowOff>457200</xdr:rowOff>
        </xdr:to>
        <xdr:sp macro="" textlink="">
          <xdr:nvSpPr>
            <xdr:cNvPr id="4114" name="Scroll Bar 18" hidden="1">
              <a:extLst>
                <a:ext uri="{63B3BB69-23CF-44E3-9099-C40C66FF867C}">
                  <a14:compatExt spid="_x0000_s4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xdr:row>
          <xdr:rowOff>142875</xdr:rowOff>
        </xdr:from>
        <xdr:to>
          <xdr:col>6</xdr:col>
          <xdr:colOff>695325</xdr:colOff>
          <xdr:row>8</xdr:row>
          <xdr:rowOff>457200</xdr:rowOff>
        </xdr:to>
        <xdr:sp macro="" textlink="">
          <xdr:nvSpPr>
            <xdr:cNvPr id="4115" name="Scroll Bar 19" hidden="1">
              <a:extLst>
                <a:ext uri="{63B3BB69-23CF-44E3-9099-C40C66FF867C}">
                  <a14:compatExt spid="_x0000_s411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10886</xdr:colOff>
      <xdr:row>6</xdr:row>
      <xdr:rowOff>370114</xdr:rowOff>
    </xdr:from>
    <xdr:to>
      <xdr:col>12</xdr:col>
      <xdr:colOff>87086</xdr:colOff>
      <xdr:row>19</xdr:row>
      <xdr:rowOff>108858</xdr:rowOff>
    </xdr:to>
    <xdr:sp macro="" textlink="">
      <xdr:nvSpPr>
        <xdr:cNvPr id="2" name="Rectangle 1"/>
        <xdr:cNvSpPr/>
      </xdr:nvSpPr>
      <xdr:spPr>
        <a:xfrm>
          <a:off x="4887686" y="1676400"/>
          <a:ext cx="3733800" cy="2340429"/>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solidFill>
                <a:schemeClr val="tx1"/>
              </a:solidFill>
            </a:rPr>
            <a:t>Trivial calculation</a:t>
          </a:r>
          <a:r>
            <a:rPr lang="en-GB" sz="1600" baseline="0">
              <a:solidFill>
                <a:schemeClr val="tx1"/>
              </a:solidFill>
            </a:rPr>
            <a:t> to show callibration of processor internal clock (cycle time) to our internal 'Real-Time Clock' beating at some useful frequency. Here assumed 50Hz cycle time, calibrated to a 100ms Control System Real Time Clock</a:t>
          </a:r>
          <a:endParaRPr lang="en-GB" sz="16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50494</xdr:colOff>
      <xdr:row>14</xdr:row>
      <xdr:rowOff>160020</xdr:rowOff>
    </xdr:from>
    <xdr:to>
      <xdr:col>29</xdr:col>
      <xdr:colOff>520466</xdr:colOff>
      <xdr:row>29</xdr:row>
      <xdr:rowOff>83820</xdr:rowOff>
    </xdr:to>
    <xdr:pic>
      <xdr:nvPicPr>
        <xdr:cNvPr id="2" name="Picture 1"/>
        <xdr:cNvPicPr>
          <a:picLocks noChangeAspect="1"/>
        </xdr:cNvPicPr>
      </xdr:nvPicPr>
      <xdr:blipFill>
        <a:blip xmlns:r="http://schemas.openxmlformats.org/officeDocument/2006/relationships" r:embed="rId1"/>
        <a:stretch>
          <a:fillRect/>
        </a:stretch>
      </xdr:blipFill>
      <xdr:spPr>
        <a:xfrm>
          <a:off x="10040314" y="2720340"/>
          <a:ext cx="9613972" cy="3032760"/>
        </a:xfrm>
        <a:prstGeom prst="rect">
          <a:avLst/>
        </a:prstGeom>
        <a:ln>
          <a:solidFill>
            <a:schemeClr val="tx1"/>
          </a:solidFill>
        </a:ln>
      </xdr:spPr>
    </xdr:pic>
    <xdr:clientData/>
  </xdr:twoCellAnchor>
  <xdr:twoCellAnchor>
    <xdr:from>
      <xdr:col>13</xdr:col>
      <xdr:colOff>565785</xdr:colOff>
      <xdr:row>29</xdr:row>
      <xdr:rowOff>173355</xdr:rowOff>
    </xdr:from>
    <xdr:to>
      <xdr:col>21</xdr:col>
      <xdr:colOff>260985</xdr:colOff>
      <xdr:row>46</xdr:row>
      <xdr:rowOff>173355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68580</xdr:colOff>
      <xdr:row>20</xdr:row>
      <xdr:rowOff>43815</xdr:rowOff>
    </xdr:from>
    <xdr:to>
      <xdr:col>35</xdr:col>
      <xdr:colOff>565694</xdr:colOff>
      <xdr:row>55</xdr:row>
      <xdr:rowOff>45360</xdr:rowOff>
    </xdr:to>
    <xdr:sp macro="" textlink="">
      <xdr:nvSpPr>
        <xdr:cNvPr id="4" name="Rectangle 3"/>
        <xdr:cNvSpPr/>
      </xdr:nvSpPr>
      <xdr:spPr>
        <a:xfrm>
          <a:off x="15108555" y="3663315"/>
          <a:ext cx="5373914" cy="6526170"/>
        </a:xfrm>
        <a:prstGeom prst="rect">
          <a:avLst/>
        </a:prstGeom>
        <a:solidFill>
          <a:srgbClr val="FFFF99"/>
        </a:solidFill>
        <a:effectLst>
          <a:outerShdw blurRad="50800" dist="152400" dir="36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References:</a:t>
          </a:r>
        </a:p>
        <a:p>
          <a:pPr algn="ctr"/>
          <a:endParaRPr lang="en-GB" sz="1600">
            <a:solidFill>
              <a:schemeClr val="tx1"/>
            </a:solidFill>
          </a:endParaRPr>
        </a:p>
        <a:p>
          <a:pPr algn="l"/>
          <a:r>
            <a:rPr lang="en-GB" sz="1600">
              <a:solidFill>
                <a:schemeClr val="tx1"/>
              </a:solidFill>
            </a:rPr>
            <a:t>+ https://www.cliffsnotes.com/study-guides/anatomy-and-physiology/the-respiratory-system/lung-volumes-and-capacities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24554</xdr:colOff>
      <xdr:row>12</xdr:row>
      <xdr:rowOff>210183</xdr:rowOff>
    </xdr:from>
    <xdr:to>
      <xdr:col>8</xdr:col>
      <xdr:colOff>329354</xdr:colOff>
      <xdr:row>27</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12</xdr:row>
      <xdr:rowOff>190499</xdr:rowOff>
    </xdr:from>
    <xdr:to>
      <xdr:col>16</xdr:col>
      <xdr:colOff>323850</xdr:colOff>
      <xdr:row>27</xdr:row>
      <xdr:rowOff>66674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29</xdr:row>
      <xdr:rowOff>33337</xdr:rowOff>
    </xdr:from>
    <xdr:to>
      <xdr:col>8</xdr:col>
      <xdr:colOff>361950</xdr:colOff>
      <xdr:row>46</xdr:row>
      <xdr:rowOff>28574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85725</xdr:colOff>
      <xdr:row>1</xdr:row>
      <xdr:rowOff>66675</xdr:rowOff>
    </xdr:from>
    <xdr:to>
      <xdr:col>10</xdr:col>
      <xdr:colOff>381000</xdr:colOff>
      <xdr:row>6</xdr:row>
      <xdr:rowOff>104775</xdr:rowOff>
    </xdr:to>
    <xdr:sp macro="" textlink="">
      <xdr:nvSpPr>
        <xdr:cNvPr id="7" name="Rectangular Callout 6"/>
        <xdr:cNvSpPr/>
      </xdr:nvSpPr>
      <xdr:spPr>
        <a:xfrm>
          <a:off x="8105775" y="295275"/>
          <a:ext cx="2124075" cy="1095375"/>
        </a:xfrm>
        <a:prstGeom prst="wedgeRectCallout">
          <a:avLst>
            <a:gd name="adj1" fmla="val -73300"/>
            <a:gd name="adj2" fmla="val -1837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This is how</a:t>
          </a:r>
          <a:r>
            <a:rPr lang="en-GB" sz="1400" baseline="0"/>
            <a:t> the 'waveform' is defined .. as a series of target values along an arbitrary scale of 0..100</a:t>
          </a:r>
          <a:endParaRPr lang="en-GB" sz="1400"/>
        </a:p>
      </xdr:txBody>
    </xdr:sp>
    <xdr:clientData/>
  </xdr:twoCellAnchor>
  <xdr:twoCellAnchor>
    <xdr:from>
      <xdr:col>5</xdr:col>
      <xdr:colOff>57150</xdr:colOff>
      <xdr:row>7</xdr:row>
      <xdr:rowOff>38100</xdr:rowOff>
    </xdr:from>
    <xdr:to>
      <xdr:col>8</xdr:col>
      <xdr:colOff>352425</xdr:colOff>
      <xdr:row>12</xdr:row>
      <xdr:rowOff>133350</xdr:rowOff>
    </xdr:to>
    <xdr:sp macro="" textlink="">
      <xdr:nvSpPr>
        <xdr:cNvPr id="8" name="Rectangular Callout 7"/>
        <xdr:cNvSpPr/>
      </xdr:nvSpPr>
      <xdr:spPr>
        <a:xfrm>
          <a:off x="6858000" y="1543050"/>
          <a:ext cx="2124075" cy="1095375"/>
        </a:xfrm>
        <a:prstGeom prst="wedgeRectCallout">
          <a:avLst>
            <a:gd name="adj1" fmla="val -33389"/>
            <a:gd name="adj2" fmla="val 6684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Definition points plotted for visualisation</a:t>
          </a:r>
        </a:p>
      </xdr:txBody>
    </xdr:sp>
    <xdr:clientData/>
  </xdr:twoCellAnchor>
  <xdr:twoCellAnchor>
    <xdr:from>
      <xdr:col>13</xdr:col>
      <xdr:colOff>66675</xdr:colOff>
      <xdr:row>6</xdr:row>
      <xdr:rowOff>152400</xdr:rowOff>
    </xdr:from>
    <xdr:to>
      <xdr:col>16</xdr:col>
      <xdr:colOff>361950</xdr:colOff>
      <xdr:row>12</xdr:row>
      <xdr:rowOff>28575</xdr:rowOff>
    </xdr:to>
    <xdr:sp macro="" textlink="">
      <xdr:nvSpPr>
        <xdr:cNvPr id="9" name="Rectangular Callout 8"/>
        <xdr:cNvSpPr/>
      </xdr:nvSpPr>
      <xdr:spPr>
        <a:xfrm>
          <a:off x="11744325" y="1438275"/>
          <a:ext cx="2124075" cy="1095375"/>
        </a:xfrm>
        <a:prstGeom prst="wedgeRectCallout">
          <a:avLst>
            <a:gd name="adj1" fmla="val -17246"/>
            <a:gd name="adj2" fmla="val 6945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Generator algorithm interpolates</a:t>
          </a:r>
          <a:r>
            <a:rPr lang="en-GB" sz="1400" baseline="0"/>
            <a:t> that shape to give a value at 100 points along the 'Waveform'</a:t>
          </a:r>
          <a:endParaRPr lang="en-GB" sz="1400"/>
        </a:p>
      </xdr:txBody>
    </xdr:sp>
    <xdr:clientData/>
  </xdr:twoCellAnchor>
  <xdr:twoCellAnchor>
    <xdr:from>
      <xdr:col>7</xdr:col>
      <xdr:colOff>472017</xdr:colOff>
      <xdr:row>50</xdr:row>
      <xdr:rowOff>159808</xdr:rowOff>
    </xdr:from>
    <xdr:to>
      <xdr:col>11</xdr:col>
      <xdr:colOff>153458</xdr:colOff>
      <xdr:row>56</xdr:row>
      <xdr:rowOff>169333</xdr:rowOff>
    </xdr:to>
    <xdr:sp macro="" textlink="">
      <xdr:nvSpPr>
        <xdr:cNvPr id="10" name="Rectangular Callout 9"/>
        <xdr:cNvSpPr/>
      </xdr:nvSpPr>
      <xdr:spPr>
        <a:xfrm>
          <a:off x="4768850" y="10870141"/>
          <a:ext cx="2136775" cy="1152525"/>
        </a:xfrm>
        <a:prstGeom prst="wedgeRectCallout">
          <a:avLst>
            <a:gd name="adj1" fmla="val -69712"/>
            <a:gd name="adj2" fmla="val 1119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Calculates the number of clock-ticks per cycle for any given RR and I:E ratio</a:t>
          </a:r>
        </a:p>
      </xdr:txBody>
    </xdr:sp>
    <xdr:clientData/>
  </xdr:twoCellAnchor>
  <mc:AlternateContent xmlns:mc="http://schemas.openxmlformats.org/markup-compatibility/2006">
    <mc:Choice xmlns:a14="http://schemas.microsoft.com/office/drawing/2010/main" Requires="a14">
      <xdr:twoCellAnchor>
        <xdr:from>
          <xdr:col>12</xdr:col>
          <xdr:colOff>600075</xdr:colOff>
          <xdr:row>1</xdr:row>
          <xdr:rowOff>0</xdr:rowOff>
        </xdr:from>
        <xdr:to>
          <xdr:col>16</xdr:col>
          <xdr:colOff>28575</xdr:colOff>
          <xdr:row>3</xdr:row>
          <xdr:rowOff>209550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Calibri"/>
                </a:rPr>
                <a:t>Re-build Drive Table</a:t>
              </a:r>
            </a:p>
          </xdr:txBody>
        </xdr:sp>
        <xdr:clientData fPrintsWithSheet="0"/>
      </xdr:twoCellAnchor>
    </mc:Choice>
    <mc:Fallback/>
  </mc:AlternateContent>
  <xdr:twoCellAnchor>
    <xdr:from>
      <xdr:col>10</xdr:col>
      <xdr:colOff>201084</xdr:colOff>
      <xdr:row>28</xdr:row>
      <xdr:rowOff>46566</xdr:rowOff>
    </xdr:from>
    <xdr:to>
      <xdr:col>14</xdr:col>
      <xdr:colOff>84666</xdr:colOff>
      <xdr:row>32</xdr:row>
      <xdr:rowOff>187325</xdr:rowOff>
    </xdr:to>
    <xdr:sp macro="" textlink="">
      <xdr:nvSpPr>
        <xdr:cNvPr id="11" name="Rectangular Callout 10"/>
        <xdr:cNvSpPr/>
      </xdr:nvSpPr>
      <xdr:spPr>
        <a:xfrm>
          <a:off x="6339417" y="6322483"/>
          <a:ext cx="2338916" cy="1135592"/>
        </a:xfrm>
        <a:prstGeom prst="wedgeRectCallout">
          <a:avLst>
            <a:gd name="adj1" fmla="val 3556"/>
            <a:gd name="adj2" fmla="val -86181"/>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Warning! If the line does not follow the points -</a:t>
          </a:r>
          <a:r>
            <a:rPr lang="en-GB" sz="1400" b="1" baseline="0"/>
            <a:t> then you need to push the "Re-build Drive table button"</a:t>
          </a:r>
          <a:endParaRPr lang="en-GB" sz="14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15240</xdr:colOff>
      <xdr:row>5</xdr:row>
      <xdr:rowOff>15240</xdr:rowOff>
    </xdr:from>
    <xdr:to>
      <xdr:col>19</xdr:col>
      <xdr:colOff>320040</xdr:colOff>
      <xdr:row>19</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119"/>
  <sheetViews>
    <sheetView showGridLines="0" zoomScale="80" zoomScaleNormal="80" workbookViewId="0">
      <selection activeCell="B6" sqref="B6"/>
    </sheetView>
  </sheetViews>
  <sheetFormatPr defaultRowHeight="15" x14ac:dyDescent="0.25"/>
  <cols>
    <col min="1" max="1" width="4.7109375" customWidth="1"/>
    <col min="2" max="2" width="16.7109375" style="2" customWidth="1"/>
    <col min="3" max="3" width="12.7109375" customWidth="1"/>
    <col min="4" max="7" width="12.42578125" customWidth="1"/>
    <col min="8" max="8" width="18.140625" customWidth="1"/>
    <col min="9" max="9" width="19.85546875" customWidth="1"/>
    <col min="13" max="13" width="14.7109375" customWidth="1"/>
    <col min="15" max="15" width="2.42578125" style="51" customWidth="1"/>
    <col min="17" max="20" width="13.5703125" customWidth="1"/>
  </cols>
  <sheetData>
    <row r="1" spans="3:24" ht="45.6" customHeight="1" thickBot="1" x14ac:dyDescent="0.35">
      <c r="C1" s="75" t="s">
        <v>56</v>
      </c>
      <c r="D1" s="73"/>
      <c r="E1" s="73"/>
      <c r="F1" s="73"/>
      <c r="G1" s="73"/>
      <c r="H1" s="73"/>
      <c r="I1" s="73"/>
      <c r="J1" s="73"/>
      <c r="K1" s="73"/>
      <c r="L1" s="73"/>
      <c r="M1" s="73"/>
      <c r="N1" s="73"/>
      <c r="O1" s="73"/>
      <c r="P1" s="73"/>
      <c r="Q1" s="73"/>
      <c r="R1" s="73"/>
      <c r="S1" s="73"/>
      <c r="T1" s="73"/>
      <c r="U1" s="73"/>
      <c r="V1" s="73"/>
      <c r="W1" s="73"/>
      <c r="X1" s="74"/>
    </row>
    <row r="2" spans="3:24" ht="46.15" customHeight="1" x14ac:dyDescent="0.3">
      <c r="C2" s="56"/>
      <c r="D2" s="47">
        <v>36</v>
      </c>
      <c r="E2" s="47">
        <v>10</v>
      </c>
      <c r="F2" s="47">
        <v>36</v>
      </c>
      <c r="G2" s="47">
        <v>65</v>
      </c>
      <c r="H2" s="57"/>
      <c r="I2" s="58"/>
      <c r="J2" s="57"/>
      <c r="K2" s="57"/>
      <c r="L2" s="57"/>
      <c r="M2" s="57"/>
      <c r="N2" s="57"/>
      <c r="O2" s="57"/>
      <c r="P2" s="57"/>
      <c r="Q2" s="57"/>
      <c r="R2" s="57"/>
      <c r="S2" s="57"/>
      <c r="T2" s="57"/>
      <c r="U2" s="57"/>
      <c r="V2" s="57"/>
      <c r="W2" s="57"/>
      <c r="X2" s="59"/>
    </row>
    <row r="3" spans="3:24" ht="46.15" customHeight="1" x14ac:dyDescent="0.3">
      <c r="C3" s="60"/>
      <c r="D3" s="44"/>
      <c r="E3" s="44"/>
      <c r="F3" s="44"/>
      <c r="G3" s="44"/>
      <c r="H3" s="62"/>
      <c r="I3" s="62"/>
      <c r="J3" s="61"/>
      <c r="K3" s="61"/>
      <c r="L3" s="61"/>
      <c r="M3" s="61"/>
      <c r="N3" s="61"/>
      <c r="O3" s="61"/>
      <c r="P3" s="61"/>
      <c r="Q3" s="61"/>
      <c r="R3" s="61"/>
      <c r="S3" s="61"/>
      <c r="T3" s="61"/>
      <c r="U3" s="61"/>
      <c r="V3" s="61"/>
      <c r="W3" s="61"/>
      <c r="X3" s="63"/>
    </row>
    <row r="4" spans="3:24" ht="46.15" customHeight="1" x14ac:dyDescent="0.3">
      <c r="C4" s="60"/>
      <c r="D4" s="45"/>
      <c r="E4" s="45"/>
      <c r="F4" s="45"/>
      <c r="G4" s="45"/>
      <c r="H4" s="61"/>
      <c r="I4" s="61"/>
      <c r="J4" s="61"/>
      <c r="K4" s="61"/>
      <c r="L4" s="61"/>
      <c r="M4" s="61"/>
      <c r="N4" s="61"/>
      <c r="O4" s="61"/>
      <c r="P4" s="61"/>
      <c r="Q4" s="61"/>
      <c r="R4" s="61"/>
      <c r="S4" s="61"/>
      <c r="T4" s="61"/>
      <c r="U4" s="61"/>
      <c r="V4" s="61"/>
      <c r="W4" s="61"/>
      <c r="X4" s="63"/>
    </row>
    <row r="5" spans="3:24" ht="46.15" customHeight="1" x14ac:dyDescent="0.3">
      <c r="C5" s="60"/>
      <c r="D5" s="45"/>
      <c r="E5" s="45"/>
      <c r="F5" s="45"/>
      <c r="G5" s="45"/>
      <c r="H5" s="61"/>
      <c r="I5" s="61"/>
      <c r="J5" s="61"/>
      <c r="K5" s="61"/>
      <c r="L5" s="61"/>
      <c r="M5" s="61"/>
      <c r="N5" s="61"/>
      <c r="O5" s="61"/>
      <c r="P5" s="61"/>
      <c r="Q5" s="61"/>
      <c r="R5" s="61"/>
      <c r="S5" s="61"/>
      <c r="T5" s="61"/>
      <c r="U5" s="61"/>
      <c r="V5" s="61"/>
      <c r="W5" s="61"/>
      <c r="X5" s="63"/>
    </row>
    <row r="6" spans="3:24" ht="46.15" customHeight="1" x14ac:dyDescent="0.3">
      <c r="C6" s="60"/>
      <c r="D6" s="45"/>
      <c r="E6" s="45"/>
      <c r="F6" s="45"/>
      <c r="G6" s="45"/>
      <c r="H6" s="61"/>
      <c r="I6" s="61"/>
      <c r="J6" s="61"/>
      <c r="K6" s="61"/>
      <c r="L6" s="61"/>
      <c r="M6" s="61"/>
      <c r="N6" s="61"/>
      <c r="O6" s="61"/>
      <c r="P6" s="61"/>
      <c r="Q6" s="61"/>
      <c r="R6" s="61"/>
      <c r="S6" s="61"/>
      <c r="T6" s="61"/>
      <c r="U6" s="61"/>
      <c r="V6" s="61"/>
      <c r="W6" s="61"/>
      <c r="X6" s="63"/>
    </row>
    <row r="7" spans="3:24" ht="46.15" customHeight="1" x14ac:dyDescent="0.3">
      <c r="C7" s="60"/>
      <c r="D7" s="45"/>
      <c r="E7" s="45"/>
      <c r="F7" s="45"/>
      <c r="G7" s="45"/>
      <c r="H7" s="61"/>
      <c r="I7" s="61"/>
      <c r="J7" s="61"/>
      <c r="K7" s="61"/>
      <c r="L7" s="61"/>
      <c r="M7" s="61"/>
      <c r="N7" s="61"/>
      <c r="O7" s="61"/>
      <c r="P7" s="61"/>
      <c r="Q7" s="61"/>
      <c r="R7" s="61"/>
      <c r="S7" s="61"/>
      <c r="T7" s="61"/>
      <c r="U7" s="61"/>
      <c r="V7" s="61"/>
      <c r="W7" s="61"/>
      <c r="X7" s="63"/>
    </row>
    <row r="8" spans="3:24" ht="46.15" customHeight="1" x14ac:dyDescent="0.3">
      <c r="C8" s="60"/>
      <c r="D8" s="45"/>
      <c r="E8" s="45"/>
      <c r="F8" s="45"/>
      <c r="G8" s="45"/>
      <c r="H8" s="61"/>
      <c r="I8" s="61"/>
      <c r="J8" s="61"/>
      <c r="K8" s="61"/>
      <c r="L8" s="61"/>
      <c r="M8" s="61"/>
      <c r="N8" s="61"/>
      <c r="O8" s="61"/>
      <c r="P8" s="61"/>
      <c r="Q8" s="61"/>
      <c r="R8" s="61"/>
      <c r="S8" s="61"/>
      <c r="T8" s="61"/>
      <c r="U8" s="61"/>
      <c r="V8" s="61"/>
      <c r="W8" s="61"/>
      <c r="X8" s="63"/>
    </row>
    <row r="9" spans="3:24" ht="46.15" customHeight="1" thickBot="1" x14ac:dyDescent="0.35">
      <c r="C9" s="60"/>
      <c r="D9" s="46"/>
      <c r="E9" s="46"/>
      <c r="F9" s="46"/>
      <c r="G9" s="46"/>
      <c r="H9" s="61"/>
      <c r="I9" s="61"/>
      <c r="J9" s="61"/>
      <c r="K9" s="61"/>
      <c r="L9" s="61"/>
      <c r="M9" s="61"/>
      <c r="N9" s="61"/>
      <c r="O9" s="61"/>
      <c r="P9" s="61"/>
      <c r="Q9" s="61"/>
      <c r="R9" s="61"/>
      <c r="S9" s="61"/>
      <c r="T9" s="61"/>
      <c r="U9" s="61"/>
      <c r="V9" s="61"/>
      <c r="W9" s="61"/>
      <c r="X9" s="63"/>
    </row>
    <row r="10" spans="3:24" ht="46.15" customHeight="1" thickBot="1" x14ac:dyDescent="0.35">
      <c r="C10" s="60"/>
      <c r="D10" s="50">
        <f>Inspiratory_pressure_level</f>
        <v>14.6</v>
      </c>
      <c r="E10" s="50">
        <f>PEEP</f>
        <v>6.4</v>
      </c>
      <c r="F10" s="49">
        <f>I_E_Ratio</f>
        <v>0.64359999999999995</v>
      </c>
      <c r="G10" s="48">
        <f>Respatory_rate</f>
        <v>17</v>
      </c>
      <c r="H10" s="61"/>
      <c r="I10" s="61"/>
      <c r="J10" s="61"/>
      <c r="K10" s="61"/>
      <c r="L10" s="61"/>
      <c r="M10" s="61"/>
      <c r="N10" s="61"/>
      <c r="O10" s="61"/>
      <c r="P10" s="61"/>
      <c r="Q10" s="61"/>
      <c r="R10" s="61"/>
      <c r="S10" s="61"/>
      <c r="T10" s="61"/>
      <c r="U10" s="61"/>
      <c r="V10" s="61"/>
      <c r="W10" s="61"/>
      <c r="X10" s="63"/>
    </row>
    <row r="11" spans="3:24" ht="46.15" customHeight="1" thickBot="1" x14ac:dyDescent="0.35">
      <c r="C11" s="60"/>
      <c r="D11" s="76" t="s">
        <v>46</v>
      </c>
      <c r="E11" s="76" t="s">
        <v>11</v>
      </c>
      <c r="F11" s="76" t="s">
        <v>47</v>
      </c>
      <c r="G11" s="76" t="s">
        <v>48</v>
      </c>
      <c r="H11" s="61"/>
      <c r="I11" s="61"/>
      <c r="J11" s="61"/>
      <c r="K11" s="61"/>
      <c r="L11" s="61"/>
      <c r="M11" s="61"/>
      <c r="N11" s="61"/>
      <c r="O11" s="61"/>
      <c r="P11" s="61"/>
      <c r="Q11" s="61"/>
      <c r="R11" s="61"/>
      <c r="S11" s="61"/>
      <c r="T11" s="61"/>
      <c r="U11" s="61"/>
      <c r="V11" s="61"/>
      <c r="W11" s="61"/>
      <c r="X11" s="63"/>
    </row>
    <row r="12" spans="3:24" ht="46.15" customHeight="1" x14ac:dyDescent="0.25">
      <c r="C12" s="54" t="s">
        <v>49</v>
      </c>
      <c r="D12" s="67">
        <v>5</v>
      </c>
      <c r="E12" s="67">
        <v>1</v>
      </c>
      <c r="F12" s="68">
        <v>0.01</v>
      </c>
      <c r="G12" s="69">
        <v>10</v>
      </c>
      <c r="H12" s="61"/>
      <c r="I12" s="61"/>
      <c r="J12" s="61"/>
      <c r="K12" s="61"/>
      <c r="L12" s="61"/>
      <c r="M12" s="61"/>
      <c r="N12" s="61"/>
      <c r="O12" s="61"/>
      <c r="P12" s="61"/>
      <c r="Q12" s="61"/>
      <c r="R12" s="61"/>
      <c r="S12" s="61"/>
      <c r="T12" s="61"/>
      <c r="U12" s="61"/>
      <c r="V12" s="61"/>
      <c r="W12" s="61"/>
      <c r="X12" s="63"/>
    </row>
    <row r="13" spans="3:24" ht="46.15" customHeight="1" thickBot="1" x14ac:dyDescent="0.3">
      <c r="C13" s="55" t="s">
        <v>50</v>
      </c>
      <c r="D13" s="70">
        <v>20</v>
      </c>
      <c r="E13" s="70">
        <v>7</v>
      </c>
      <c r="F13" s="71">
        <v>1</v>
      </c>
      <c r="G13" s="72">
        <v>30</v>
      </c>
      <c r="H13" s="61"/>
      <c r="I13" s="61"/>
      <c r="J13" s="61"/>
      <c r="K13" s="61"/>
      <c r="L13" s="61"/>
      <c r="M13" s="61"/>
      <c r="N13" s="61"/>
      <c r="O13" s="61"/>
      <c r="P13" s="61"/>
      <c r="Q13" s="61"/>
      <c r="R13" s="61"/>
      <c r="S13" s="61"/>
      <c r="T13" s="61"/>
      <c r="U13" s="61"/>
      <c r="V13" s="61"/>
      <c r="W13" s="61"/>
      <c r="X13" s="63"/>
    </row>
    <row r="14" spans="3:24" ht="21.6" customHeight="1" thickBot="1" x14ac:dyDescent="0.3">
      <c r="C14" s="64"/>
      <c r="D14" s="65"/>
      <c r="E14" s="65"/>
      <c r="F14" s="65"/>
      <c r="G14" s="65"/>
      <c r="H14" s="65"/>
      <c r="I14" s="65"/>
      <c r="J14" s="65"/>
      <c r="K14" s="65"/>
      <c r="L14" s="65"/>
      <c r="M14" s="65"/>
      <c r="N14" s="65"/>
      <c r="O14" s="65"/>
      <c r="P14" s="65"/>
      <c r="Q14" s="65"/>
      <c r="R14" s="65"/>
      <c r="S14" s="65"/>
      <c r="T14" s="65"/>
      <c r="U14" s="65"/>
      <c r="V14" s="65"/>
      <c r="W14" s="65"/>
      <c r="X14" s="66"/>
    </row>
    <row r="15" spans="3:24" ht="46.15" customHeight="1" x14ac:dyDescent="0.25"/>
    <row r="16" spans="3:24" ht="46.15" customHeight="1" thickBot="1" x14ac:dyDescent="0.3"/>
    <row r="17" spans="2:13" ht="25.9" customHeight="1" x14ac:dyDescent="0.25">
      <c r="B17" s="32" t="s">
        <v>26</v>
      </c>
      <c r="C17" s="33"/>
      <c r="D17" s="33"/>
      <c r="E17" s="33"/>
      <c r="F17" s="33"/>
      <c r="G17" s="33"/>
      <c r="H17" s="33"/>
      <c r="I17" s="33"/>
      <c r="J17" s="33"/>
      <c r="K17" s="33"/>
      <c r="L17" s="33"/>
      <c r="M17" s="34"/>
    </row>
    <row r="18" spans="2:13" ht="25.9" customHeight="1" x14ac:dyDescent="0.25">
      <c r="B18" s="41"/>
      <c r="C18" s="42"/>
      <c r="D18" s="14" t="s">
        <v>15</v>
      </c>
      <c r="E18" s="14" t="s">
        <v>16</v>
      </c>
      <c r="F18" s="135" t="s">
        <v>17</v>
      </c>
      <c r="G18" s="135"/>
      <c r="H18" s="135"/>
      <c r="I18" s="135"/>
      <c r="J18" s="135"/>
      <c r="K18" s="135"/>
      <c r="L18" s="135"/>
      <c r="M18" s="136"/>
    </row>
    <row r="19" spans="2:13" ht="57" customHeight="1" x14ac:dyDescent="0.25">
      <c r="B19" s="139" t="s">
        <v>10</v>
      </c>
      <c r="C19" s="140"/>
      <c r="D19" s="15" t="s">
        <v>18</v>
      </c>
      <c r="E19" s="25">
        <f>D12+((D13-D12)*(100-D2)/100)</f>
        <v>14.6</v>
      </c>
      <c r="F19" s="127" t="s">
        <v>41</v>
      </c>
      <c r="G19" s="127"/>
      <c r="H19" s="127"/>
      <c r="I19" s="127"/>
      <c r="J19" s="127"/>
      <c r="K19" s="127"/>
      <c r="L19" s="127"/>
      <c r="M19" s="133"/>
    </row>
    <row r="20" spans="2:13" ht="57" customHeight="1" x14ac:dyDescent="0.25">
      <c r="B20" s="139" t="s">
        <v>11</v>
      </c>
      <c r="C20" s="140"/>
      <c r="D20" s="15" t="s">
        <v>18</v>
      </c>
      <c r="E20" s="25">
        <f>E12+((E13-E12)*(100-E2)/100)</f>
        <v>6.4</v>
      </c>
      <c r="F20" s="127" t="s">
        <v>19</v>
      </c>
      <c r="G20" s="127"/>
      <c r="H20" s="127"/>
      <c r="I20" s="127"/>
      <c r="J20" s="127"/>
      <c r="K20" s="127"/>
      <c r="L20" s="127"/>
      <c r="M20" s="133"/>
    </row>
    <row r="21" spans="2:13" ht="57" customHeight="1" x14ac:dyDescent="0.25">
      <c r="B21" s="139" t="s">
        <v>12</v>
      </c>
      <c r="C21" s="140"/>
      <c r="D21" s="16" t="s">
        <v>20</v>
      </c>
      <c r="E21" s="20">
        <f>F12+((F13-F12)*(100-F2)/100)</f>
        <v>0.64359999999999995</v>
      </c>
      <c r="F21" s="127" t="s">
        <v>25</v>
      </c>
      <c r="G21" s="127"/>
      <c r="H21" s="127"/>
      <c r="I21" s="127"/>
      <c r="J21" s="127"/>
      <c r="K21" s="127"/>
      <c r="L21" s="127"/>
      <c r="M21" s="133"/>
    </row>
    <row r="22" spans="2:13" ht="59.45" customHeight="1" x14ac:dyDescent="0.25">
      <c r="B22" s="139" t="s">
        <v>13</v>
      </c>
      <c r="C22" s="140"/>
      <c r="D22" s="16" t="s">
        <v>22</v>
      </c>
      <c r="E22" s="19">
        <f>G12+((G13-G12)*(100-G2)/100)</f>
        <v>17</v>
      </c>
      <c r="F22" s="127" t="s">
        <v>21</v>
      </c>
      <c r="G22" s="127"/>
      <c r="H22" s="127"/>
      <c r="I22" s="127"/>
      <c r="J22" s="127"/>
      <c r="K22" s="127"/>
      <c r="L22" s="127"/>
      <c r="M22" s="133"/>
    </row>
    <row r="23" spans="2:13" ht="57" customHeight="1" x14ac:dyDescent="0.25">
      <c r="B23" s="139" t="s">
        <v>14</v>
      </c>
      <c r="C23" s="140"/>
      <c r="D23" s="16" t="s">
        <v>36</v>
      </c>
      <c r="E23" s="13"/>
      <c r="F23" s="127" t="s">
        <v>23</v>
      </c>
      <c r="G23" s="127"/>
      <c r="H23" s="127"/>
      <c r="I23" s="127"/>
      <c r="J23" s="127"/>
      <c r="K23" s="127"/>
      <c r="L23" s="127"/>
      <c r="M23" s="133"/>
    </row>
    <row r="24" spans="2:13" ht="57" customHeight="1" thickBot="1" x14ac:dyDescent="0.3">
      <c r="B24" s="137" t="s">
        <v>24</v>
      </c>
      <c r="C24" s="138"/>
      <c r="D24" s="36"/>
      <c r="E24" s="43"/>
      <c r="F24" s="128"/>
      <c r="G24" s="128"/>
      <c r="H24" s="128"/>
      <c r="I24" s="128"/>
      <c r="J24" s="128"/>
      <c r="K24" s="128"/>
      <c r="L24" s="128"/>
      <c r="M24" s="134"/>
    </row>
    <row r="25" spans="2:13" ht="50.45" customHeight="1" thickBot="1" x14ac:dyDescent="0.3">
      <c r="B25" s="21"/>
      <c r="C25" s="21"/>
      <c r="D25" s="17"/>
      <c r="E25" s="17"/>
      <c r="F25" s="18"/>
      <c r="G25" s="18"/>
      <c r="H25" s="18"/>
      <c r="I25" s="18"/>
      <c r="J25" s="18"/>
      <c r="K25" s="18"/>
      <c r="L25" s="18"/>
      <c r="M25" s="18"/>
    </row>
    <row r="26" spans="2:13" ht="51" customHeight="1" x14ac:dyDescent="0.25">
      <c r="B26" s="32" t="s">
        <v>38</v>
      </c>
      <c r="C26" s="33"/>
      <c r="D26" s="33"/>
      <c r="E26" s="33"/>
      <c r="F26" s="33"/>
      <c r="G26" s="33"/>
      <c r="H26" s="33"/>
      <c r="I26" s="33"/>
      <c r="J26" s="33"/>
      <c r="K26" s="33"/>
      <c r="L26" s="33"/>
      <c r="M26" s="34"/>
    </row>
    <row r="27" spans="2:13" ht="73.150000000000006" customHeight="1" x14ac:dyDescent="0.25">
      <c r="B27" s="123" t="s">
        <v>39</v>
      </c>
      <c r="C27" s="124"/>
      <c r="D27" s="16" t="s">
        <v>29</v>
      </c>
      <c r="E27" s="102">
        <v>0.4</v>
      </c>
      <c r="F27" s="127" t="s">
        <v>44</v>
      </c>
      <c r="G27" s="127"/>
      <c r="H27" s="127"/>
      <c r="I27" s="127"/>
      <c r="J27" s="127"/>
      <c r="K27" s="127"/>
      <c r="L27" s="24">
        <f>Pressure_Switch_On_Time*RTC_to_seconds</f>
        <v>4</v>
      </c>
      <c r="M27" s="35" t="s">
        <v>30</v>
      </c>
    </row>
    <row r="28" spans="2:13" ht="61.9" customHeight="1" thickBot="1" x14ac:dyDescent="0.3">
      <c r="B28" s="125" t="s">
        <v>40</v>
      </c>
      <c r="C28" s="126"/>
      <c r="D28" s="36" t="s">
        <v>29</v>
      </c>
      <c r="E28" s="103">
        <v>0.1</v>
      </c>
      <c r="F28" s="128" t="s">
        <v>45</v>
      </c>
      <c r="G28" s="128"/>
      <c r="H28" s="128"/>
      <c r="I28" s="128"/>
      <c r="J28" s="128"/>
      <c r="K28" s="128"/>
      <c r="L28" s="37">
        <f>Pressure_Switch_Off_Time*RTC_to_seconds</f>
        <v>1</v>
      </c>
      <c r="M28" s="38" t="s">
        <v>30</v>
      </c>
    </row>
    <row r="29" spans="2:13" ht="20.45" customHeight="1" thickBot="1" x14ac:dyDescent="0.3">
      <c r="B29" s="21"/>
      <c r="C29" s="21"/>
      <c r="D29" s="17"/>
      <c r="E29" s="17"/>
      <c r="F29" s="18"/>
      <c r="G29" s="18"/>
      <c r="H29" s="18"/>
      <c r="I29" s="18"/>
      <c r="J29" s="18"/>
      <c r="K29" s="18"/>
      <c r="L29" s="18"/>
      <c r="M29" s="18"/>
    </row>
    <row r="30" spans="2:13" ht="29.45" customHeight="1" x14ac:dyDescent="0.25">
      <c r="B30" s="32" t="s">
        <v>27</v>
      </c>
      <c r="C30" s="33"/>
      <c r="D30" s="33"/>
      <c r="E30" s="33"/>
      <c r="F30" s="33"/>
      <c r="G30" s="33"/>
      <c r="H30" s="33"/>
      <c r="I30" s="33"/>
      <c r="J30" s="33"/>
      <c r="K30" s="33"/>
      <c r="L30" s="33"/>
      <c r="M30" s="34"/>
    </row>
    <row r="31" spans="2:13" ht="29.45" customHeight="1" x14ac:dyDescent="0.25">
      <c r="B31" s="129" t="s">
        <v>28</v>
      </c>
      <c r="C31" s="130"/>
      <c r="D31" s="16" t="s">
        <v>29</v>
      </c>
      <c r="E31" s="96">
        <f>60/Respatory_rate</f>
        <v>3.5294117647058822</v>
      </c>
      <c r="F31" s="18"/>
      <c r="G31" s="22" t="s">
        <v>31</v>
      </c>
      <c r="H31" s="98">
        <f>time_per_breath*RTC_to_seconds</f>
        <v>35.294117647058826</v>
      </c>
      <c r="I31" s="127" t="s">
        <v>30</v>
      </c>
      <c r="J31" s="127"/>
      <c r="K31" s="127"/>
      <c r="L31" s="127"/>
      <c r="M31" s="133"/>
    </row>
    <row r="32" spans="2:13" ht="29.45" customHeight="1" x14ac:dyDescent="0.25">
      <c r="B32" s="129" t="s">
        <v>53</v>
      </c>
      <c r="C32" s="130"/>
      <c r="D32" s="16" t="s">
        <v>29</v>
      </c>
      <c r="E32" s="96">
        <f>time_per_breath*I_E_Ratio</f>
        <v>2.2715294117647056</v>
      </c>
      <c r="F32" s="18"/>
      <c r="G32" s="22" t="s">
        <v>31</v>
      </c>
      <c r="H32" s="98">
        <f>Inhelation_time*RTC_to_seconds</f>
        <v>22.715294117647055</v>
      </c>
      <c r="I32" s="127" t="s">
        <v>30</v>
      </c>
      <c r="J32" s="127"/>
      <c r="K32" s="127"/>
      <c r="L32" s="127"/>
      <c r="M32" s="133"/>
    </row>
    <row r="33" spans="1:24" ht="29.45" customHeight="1" thickBot="1" x14ac:dyDescent="0.3">
      <c r="B33" s="131" t="s">
        <v>54</v>
      </c>
      <c r="C33" s="132"/>
      <c r="D33" s="36" t="s">
        <v>29</v>
      </c>
      <c r="E33" s="97">
        <f>time_per_breath*(1-I_E_Ratio)</f>
        <v>1.2578823529411767</v>
      </c>
      <c r="F33" s="39"/>
      <c r="G33" s="40" t="s">
        <v>31</v>
      </c>
      <c r="H33" s="99">
        <f>Exhelation_Time*RTC_to_seconds</f>
        <v>12.578823529411768</v>
      </c>
      <c r="I33" s="128" t="s">
        <v>30</v>
      </c>
      <c r="J33" s="128"/>
      <c r="K33" s="128"/>
      <c r="L33" s="128"/>
      <c r="M33" s="134"/>
    </row>
    <row r="34" spans="1:24" x14ac:dyDescent="0.25">
      <c r="B34"/>
      <c r="Q34" s="77" t="s">
        <v>7</v>
      </c>
      <c r="R34" s="78"/>
      <c r="S34" s="78"/>
      <c r="T34" s="78"/>
      <c r="U34" s="78"/>
      <c r="V34" s="78"/>
      <c r="W34" s="78"/>
      <c r="X34" s="79"/>
    </row>
    <row r="35" spans="1:24" x14ac:dyDescent="0.25">
      <c r="B35"/>
      <c r="C35" s="9">
        <f>10</f>
        <v>10</v>
      </c>
      <c r="Q35" s="80"/>
      <c r="R35" s="42"/>
      <c r="S35" s="42"/>
      <c r="T35" s="42"/>
      <c r="U35" s="42"/>
      <c r="V35" s="42"/>
      <c r="W35" s="42"/>
      <c r="X35" s="81"/>
    </row>
    <row r="36" spans="1:24" s="4" customFormat="1" ht="43.9" customHeight="1" x14ac:dyDescent="0.25">
      <c r="B36" s="4" t="s">
        <v>1</v>
      </c>
      <c r="C36" s="4" t="s">
        <v>32</v>
      </c>
      <c r="D36" s="4" t="s">
        <v>55</v>
      </c>
      <c r="E36" s="4" t="s">
        <v>34</v>
      </c>
      <c r="F36" s="6" t="s">
        <v>42</v>
      </c>
      <c r="G36" s="94" t="s">
        <v>51</v>
      </c>
      <c r="H36" s="6" t="s">
        <v>52</v>
      </c>
      <c r="I36" s="6" t="s">
        <v>43</v>
      </c>
      <c r="O36" s="52"/>
      <c r="Q36" s="82"/>
      <c r="R36" s="83"/>
      <c r="S36" s="83" t="s">
        <v>8</v>
      </c>
      <c r="T36" s="83"/>
      <c r="U36" s="83"/>
      <c r="V36" s="83"/>
      <c r="W36" s="83"/>
      <c r="X36" s="84"/>
    </row>
    <row r="37" spans="1:24" s="4" customFormat="1" ht="31.15" customHeight="1" x14ac:dyDescent="0.25">
      <c r="A37" s="4" t="s">
        <v>2</v>
      </c>
      <c r="B37" s="8" t="s">
        <v>6</v>
      </c>
      <c r="C37" s="8" t="s">
        <v>33</v>
      </c>
      <c r="D37" s="23" t="s">
        <v>35</v>
      </c>
      <c r="E37" s="23" t="s">
        <v>35</v>
      </c>
      <c r="F37" s="5" t="s">
        <v>37</v>
      </c>
      <c r="G37" s="5" t="s">
        <v>37</v>
      </c>
      <c r="H37" s="5" t="s">
        <v>37</v>
      </c>
      <c r="I37" s="5" t="s">
        <v>37</v>
      </c>
      <c r="J37" s="5"/>
      <c r="K37" s="5"/>
      <c r="L37" s="5"/>
      <c r="M37" s="5"/>
      <c r="N37" s="5"/>
      <c r="O37" s="53"/>
      <c r="P37" s="5"/>
      <c r="Q37" s="82"/>
      <c r="R37" s="83"/>
      <c r="S37" s="85" t="s">
        <v>9</v>
      </c>
      <c r="T37" s="83"/>
      <c r="U37" s="83"/>
      <c r="V37" s="83"/>
      <c r="W37" s="83"/>
      <c r="X37" s="84"/>
    </row>
    <row r="38" spans="1:24" s="26" customFormat="1" ht="31.15" hidden="1" customHeight="1" x14ac:dyDescent="0.3">
      <c r="B38" s="27"/>
      <c r="C38" s="27"/>
      <c r="D38" s="28">
        <v>0</v>
      </c>
      <c r="E38" s="28">
        <v>0</v>
      </c>
      <c r="F38" s="28">
        <f t="shared" ref="F38:F57" si="0">PEEP</f>
        <v>6.4</v>
      </c>
      <c r="G38" s="29"/>
      <c r="H38" s="29"/>
      <c r="I38" s="29"/>
      <c r="J38" s="29"/>
      <c r="K38" s="29"/>
      <c r="L38" s="29"/>
      <c r="M38" s="29"/>
      <c r="N38" s="29"/>
      <c r="O38" s="53"/>
      <c r="P38" s="29"/>
      <c r="Q38" s="86"/>
      <c r="R38" s="87"/>
      <c r="S38" s="88"/>
      <c r="T38" s="87"/>
      <c r="U38" s="87"/>
      <c r="V38" s="87"/>
      <c r="W38" s="87"/>
      <c r="X38" s="89"/>
    </row>
    <row r="39" spans="1:24" s="26" customFormat="1" ht="31.15" hidden="1" customHeight="1" x14ac:dyDescent="0.3">
      <c r="B39" s="27"/>
      <c r="C39" s="27"/>
      <c r="D39" s="28">
        <v>0</v>
      </c>
      <c r="E39" s="28">
        <v>0</v>
      </c>
      <c r="F39" s="28">
        <f t="shared" si="0"/>
        <v>6.4</v>
      </c>
      <c r="G39" s="29"/>
      <c r="H39" s="29"/>
      <c r="I39" s="29"/>
      <c r="J39" s="29"/>
      <c r="K39" s="29"/>
      <c r="L39" s="29"/>
      <c r="M39" s="29"/>
      <c r="N39" s="29"/>
      <c r="O39" s="53"/>
      <c r="P39" s="29"/>
      <c r="Q39" s="86"/>
      <c r="R39" s="87"/>
      <c r="S39" s="88"/>
      <c r="T39" s="87"/>
      <c r="U39" s="87"/>
      <c r="V39" s="87"/>
      <c r="W39" s="87"/>
      <c r="X39" s="89"/>
    </row>
    <row r="40" spans="1:24" s="26" customFormat="1" ht="31.15" hidden="1" customHeight="1" x14ac:dyDescent="0.3">
      <c r="B40" s="27"/>
      <c r="C40" s="27"/>
      <c r="D40" s="28">
        <v>0</v>
      </c>
      <c r="E40" s="28">
        <v>0</v>
      </c>
      <c r="F40" s="28">
        <f t="shared" si="0"/>
        <v>6.4</v>
      </c>
      <c r="G40" s="29"/>
      <c r="H40" s="29"/>
      <c r="I40" s="29"/>
      <c r="J40" s="29"/>
      <c r="K40" s="29"/>
      <c r="L40" s="29"/>
      <c r="M40" s="29"/>
      <c r="N40" s="29"/>
      <c r="O40" s="53"/>
      <c r="P40" s="29"/>
      <c r="Q40" s="86"/>
      <c r="R40" s="87"/>
      <c r="S40" s="88"/>
      <c r="T40" s="87"/>
      <c r="U40" s="87"/>
      <c r="V40" s="87"/>
      <c r="W40" s="87"/>
      <c r="X40" s="89"/>
    </row>
    <row r="41" spans="1:24" s="26" customFormat="1" ht="31.15" hidden="1" customHeight="1" x14ac:dyDescent="0.3">
      <c r="B41" s="27"/>
      <c r="C41" s="27"/>
      <c r="D41" s="28">
        <v>0</v>
      </c>
      <c r="E41" s="28">
        <v>0</v>
      </c>
      <c r="F41" s="28">
        <f t="shared" si="0"/>
        <v>6.4</v>
      </c>
      <c r="G41" s="29"/>
      <c r="H41" s="29"/>
      <c r="I41" s="29"/>
      <c r="J41" s="29"/>
      <c r="K41" s="29"/>
      <c r="L41" s="29"/>
      <c r="M41" s="29"/>
      <c r="N41" s="29"/>
      <c r="O41" s="53"/>
      <c r="P41" s="29"/>
      <c r="Q41" s="86"/>
      <c r="R41" s="87"/>
      <c r="S41" s="88"/>
      <c r="T41" s="87"/>
      <c r="U41" s="87"/>
      <c r="V41" s="87"/>
      <c r="W41" s="87"/>
      <c r="X41" s="89"/>
    </row>
    <row r="42" spans="1:24" s="26" customFormat="1" ht="31.15" hidden="1" customHeight="1" x14ac:dyDescent="0.3">
      <c r="B42" s="27"/>
      <c r="C42" s="27"/>
      <c r="D42" s="28">
        <v>0</v>
      </c>
      <c r="E42" s="28">
        <v>0</v>
      </c>
      <c r="F42" s="28">
        <f t="shared" si="0"/>
        <v>6.4</v>
      </c>
      <c r="G42" s="29"/>
      <c r="H42" s="29"/>
      <c r="I42" s="29"/>
      <c r="J42" s="29"/>
      <c r="K42" s="29"/>
      <c r="L42" s="29"/>
      <c r="M42" s="29"/>
      <c r="N42" s="29"/>
      <c r="O42" s="53"/>
      <c r="P42" s="29"/>
      <c r="Q42" s="86"/>
      <c r="R42" s="87"/>
      <c r="S42" s="88"/>
      <c r="T42" s="87"/>
      <c r="U42" s="87"/>
      <c r="V42" s="87"/>
      <c r="W42" s="87"/>
      <c r="X42" s="89"/>
    </row>
    <row r="43" spans="1:24" s="26" customFormat="1" ht="31.15" hidden="1" customHeight="1" x14ac:dyDescent="0.3">
      <c r="B43" s="27"/>
      <c r="C43" s="27"/>
      <c r="D43" s="28">
        <v>0</v>
      </c>
      <c r="E43" s="28">
        <v>0</v>
      </c>
      <c r="F43" s="28">
        <f t="shared" si="0"/>
        <v>6.4</v>
      </c>
      <c r="G43" s="29"/>
      <c r="H43" s="29"/>
      <c r="I43" s="29"/>
      <c r="J43" s="29"/>
      <c r="K43" s="29"/>
      <c r="L43" s="29"/>
      <c r="M43" s="29"/>
      <c r="N43" s="29"/>
      <c r="O43" s="53"/>
      <c r="P43" s="29"/>
      <c r="Q43" s="86"/>
      <c r="R43" s="87"/>
      <c r="S43" s="88"/>
      <c r="T43" s="87"/>
      <c r="U43" s="87"/>
      <c r="V43" s="87"/>
      <c r="W43" s="87"/>
      <c r="X43" s="89"/>
    </row>
    <row r="44" spans="1:24" s="26" customFormat="1" ht="31.15" hidden="1" customHeight="1" x14ac:dyDescent="0.3">
      <c r="B44" s="27"/>
      <c r="C44" s="27"/>
      <c r="D44" s="28">
        <v>0</v>
      </c>
      <c r="E44" s="28">
        <v>0</v>
      </c>
      <c r="F44" s="28">
        <f t="shared" si="0"/>
        <v>6.4</v>
      </c>
      <c r="G44" s="29"/>
      <c r="H44" s="29"/>
      <c r="I44" s="29"/>
      <c r="J44" s="29"/>
      <c r="K44" s="29"/>
      <c r="L44" s="29"/>
      <c r="M44" s="29"/>
      <c r="N44" s="29"/>
      <c r="O44" s="53"/>
      <c r="P44" s="29"/>
      <c r="Q44" s="86"/>
      <c r="R44" s="87"/>
      <c r="S44" s="88"/>
      <c r="T44" s="87"/>
      <c r="U44" s="87"/>
      <c r="V44" s="87"/>
      <c r="W44" s="87"/>
      <c r="X44" s="89"/>
    </row>
    <row r="45" spans="1:24" s="26" customFormat="1" ht="31.15" hidden="1" customHeight="1" x14ac:dyDescent="0.3">
      <c r="B45" s="27"/>
      <c r="C45" s="27"/>
      <c r="D45" s="28">
        <v>0</v>
      </c>
      <c r="E45" s="28">
        <v>0</v>
      </c>
      <c r="F45" s="28">
        <f t="shared" si="0"/>
        <v>6.4</v>
      </c>
      <c r="G45" s="29"/>
      <c r="H45" s="29"/>
      <c r="I45" s="29"/>
      <c r="J45" s="29"/>
      <c r="K45" s="29"/>
      <c r="L45" s="29"/>
      <c r="M45" s="29"/>
      <c r="N45" s="29"/>
      <c r="O45" s="53"/>
      <c r="P45" s="29"/>
      <c r="Q45" s="86"/>
      <c r="R45" s="87"/>
      <c r="S45" s="88"/>
      <c r="T45" s="87"/>
      <c r="U45" s="87"/>
      <c r="V45" s="87"/>
      <c r="W45" s="87"/>
      <c r="X45" s="89"/>
    </row>
    <row r="46" spans="1:24" s="26" customFormat="1" ht="31.15" hidden="1" customHeight="1" x14ac:dyDescent="0.3">
      <c r="B46" s="27"/>
      <c r="C46" s="27"/>
      <c r="D46" s="28">
        <v>0</v>
      </c>
      <c r="E46" s="28">
        <v>0</v>
      </c>
      <c r="F46" s="28">
        <f t="shared" si="0"/>
        <v>6.4</v>
      </c>
      <c r="G46" s="29"/>
      <c r="H46" s="29"/>
      <c r="I46" s="29"/>
      <c r="J46" s="29"/>
      <c r="K46" s="29"/>
      <c r="L46" s="29"/>
      <c r="M46" s="29"/>
      <c r="N46" s="29"/>
      <c r="O46" s="53"/>
      <c r="P46" s="29"/>
      <c r="Q46" s="86"/>
      <c r="R46" s="87"/>
      <c r="S46" s="88"/>
      <c r="T46" s="87"/>
      <c r="U46" s="87"/>
      <c r="V46" s="87"/>
      <c r="W46" s="87"/>
      <c r="X46" s="89"/>
    </row>
    <row r="47" spans="1:24" s="26" customFormat="1" ht="31.15" hidden="1" customHeight="1" x14ac:dyDescent="0.3">
      <c r="B47" s="27"/>
      <c r="C47" s="27"/>
      <c r="D47" s="28">
        <v>0</v>
      </c>
      <c r="E47" s="28">
        <v>0</v>
      </c>
      <c r="F47" s="28">
        <f t="shared" si="0"/>
        <v>6.4</v>
      </c>
      <c r="G47" s="29"/>
      <c r="H47" s="29"/>
      <c r="I47" s="29"/>
      <c r="J47" s="29"/>
      <c r="K47" s="29"/>
      <c r="L47" s="29"/>
      <c r="M47" s="29"/>
      <c r="N47" s="29"/>
      <c r="O47" s="53"/>
      <c r="P47" s="29"/>
      <c r="Q47" s="86"/>
      <c r="R47" s="87"/>
      <c r="S47" s="88"/>
      <c r="T47" s="87"/>
      <c r="U47" s="87"/>
      <c r="V47" s="87"/>
      <c r="W47" s="87"/>
      <c r="X47" s="89"/>
    </row>
    <row r="48" spans="1:24" s="26" customFormat="1" ht="31.15" hidden="1" customHeight="1" x14ac:dyDescent="0.3">
      <c r="B48" s="27"/>
      <c r="C48" s="27"/>
      <c r="D48" s="28">
        <v>0</v>
      </c>
      <c r="E48" s="28">
        <v>0</v>
      </c>
      <c r="F48" s="28">
        <f t="shared" si="0"/>
        <v>6.4</v>
      </c>
      <c r="G48" s="29"/>
      <c r="H48" s="29"/>
      <c r="I48" s="29"/>
      <c r="J48" s="29"/>
      <c r="K48" s="29"/>
      <c r="L48" s="29"/>
      <c r="M48" s="29"/>
      <c r="N48" s="29"/>
      <c r="O48" s="53"/>
      <c r="P48" s="29"/>
      <c r="Q48" s="86"/>
      <c r="R48" s="87"/>
      <c r="S48" s="88"/>
      <c r="T48" s="87"/>
      <c r="U48" s="87"/>
      <c r="V48" s="87"/>
      <c r="W48" s="87"/>
      <c r="X48" s="89"/>
    </row>
    <row r="49" spans="2:24" s="26" customFormat="1" ht="31.15" hidden="1" customHeight="1" x14ac:dyDescent="0.3">
      <c r="B49" s="27"/>
      <c r="C49" s="27"/>
      <c r="D49" s="28">
        <v>0</v>
      </c>
      <c r="E49" s="28">
        <v>0</v>
      </c>
      <c r="F49" s="28">
        <f t="shared" si="0"/>
        <v>6.4</v>
      </c>
      <c r="G49" s="29"/>
      <c r="H49" s="29"/>
      <c r="I49" s="29"/>
      <c r="J49" s="29"/>
      <c r="K49" s="29"/>
      <c r="L49" s="29"/>
      <c r="M49" s="29"/>
      <c r="N49" s="29"/>
      <c r="O49" s="53"/>
      <c r="P49" s="29"/>
      <c r="Q49" s="86"/>
      <c r="R49" s="87"/>
      <c r="S49" s="88"/>
      <c r="T49" s="87"/>
      <c r="U49" s="87"/>
      <c r="V49" s="87"/>
      <c r="W49" s="87"/>
      <c r="X49" s="89"/>
    </row>
    <row r="50" spans="2:24" s="26" customFormat="1" ht="31.15" hidden="1" customHeight="1" x14ac:dyDescent="0.3">
      <c r="B50" s="27"/>
      <c r="C50" s="27"/>
      <c r="D50" s="28">
        <v>0</v>
      </c>
      <c r="E50" s="28">
        <v>0</v>
      </c>
      <c r="F50" s="28">
        <f t="shared" si="0"/>
        <v>6.4</v>
      </c>
      <c r="G50" s="29"/>
      <c r="H50" s="29"/>
      <c r="I50" s="29"/>
      <c r="J50" s="29"/>
      <c r="K50" s="29"/>
      <c r="L50" s="29"/>
      <c r="M50" s="29"/>
      <c r="N50" s="29"/>
      <c r="O50" s="53"/>
      <c r="P50" s="29"/>
      <c r="Q50" s="86"/>
      <c r="R50" s="87"/>
      <c r="S50" s="88"/>
      <c r="T50" s="87"/>
      <c r="U50" s="87"/>
      <c r="V50" s="87"/>
      <c r="W50" s="87"/>
      <c r="X50" s="89"/>
    </row>
    <row r="51" spans="2:24" s="26" customFormat="1" ht="31.15" hidden="1" customHeight="1" x14ac:dyDescent="0.3">
      <c r="B51" s="27"/>
      <c r="C51" s="27"/>
      <c r="D51" s="28">
        <v>0</v>
      </c>
      <c r="E51" s="28">
        <v>0</v>
      </c>
      <c r="F51" s="28">
        <f t="shared" si="0"/>
        <v>6.4</v>
      </c>
      <c r="G51" s="29"/>
      <c r="H51" s="29"/>
      <c r="I51" s="29"/>
      <c r="J51" s="29"/>
      <c r="K51" s="29"/>
      <c r="L51" s="29"/>
      <c r="M51" s="29"/>
      <c r="N51" s="29"/>
      <c r="O51" s="53"/>
      <c r="P51" s="29"/>
      <c r="Q51" s="86"/>
      <c r="R51" s="87"/>
      <c r="S51" s="88"/>
      <c r="T51" s="87"/>
      <c r="U51" s="87"/>
      <c r="V51" s="87"/>
      <c r="W51" s="87"/>
      <c r="X51" s="89"/>
    </row>
    <row r="52" spans="2:24" s="26" customFormat="1" ht="31.15" hidden="1" customHeight="1" x14ac:dyDescent="0.3">
      <c r="B52" s="27"/>
      <c r="C52" s="27"/>
      <c r="D52" s="28">
        <v>0</v>
      </c>
      <c r="E52" s="28">
        <v>0</v>
      </c>
      <c r="F52" s="28">
        <f t="shared" si="0"/>
        <v>6.4</v>
      </c>
      <c r="G52" s="29"/>
      <c r="H52" s="29"/>
      <c r="I52" s="29"/>
      <c r="J52" s="29"/>
      <c r="K52" s="29"/>
      <c r="L52" s="29"/>
      <c r="M52" s="29"/>
      <c r="N52" s="29"/>
      <c r="O52" s="53"/>
      <c r="P52" s="29"/>
      <c r="Q52" s="86"/>
      <c r="R52" s="87"/>
      <c r="S52" s="88"/>
      <c r="T52" s="87"/>
      <c r="U52" s="87"/>
      <c r="V52" s="87"/>
      <c r="W52" s="87"/>
      <c r="X52" s="89"/>
    </row>
    <row r="53" spans="2:24" s="26" customFormat="1" ht="31.15" hidden="1" customHeight="1" x14ac:dyDescent="0.3">
      <c r="B53" s="27"/>
      <c r="C53" s="27"/>
      <c r="D53" s="28">
        <v>0</v>
      </c>
      <c r="E53" s="28">
        <v>0</v>
      </c>
      <c r="F53" s="28">
        <f t="shared" si="0"/>
        <v>6.4</v>
      </c>
      <c r="G53" s="29"/>
      <c r="H53" s="29"/>
      <c r="I53" s="29"/>
      <c r="J53" s="29"/>
      <c r="K53" s="29"/>
      <c r="L53" s="29"/>
      <c r="M53" s="29"/>
      <c r="N53" s="29"/>
      <c r="O53" s="53"/>
      <c r="P53" s="29"/>
      <c r="Q53" s="86"/>
      <c r="R53" s="87"/>
      <c r="S53" s="88"/>
      <c r="T53" s="87"/>
      <c r="U53" s="87"/>
      <c r="V53" s="87"/>
      <c r="W53" s="87"/>
      <c r="X53" s="89"/>
    </row>
    <row r="54" spans="2:24" s="26" customFormat="1" ht="31.15" hidden="1" customHeight="1" x14ac:dyDescent="0.3">
      <c r="B54" s="27"/>
      <c r="C54" s="27"/>
      <c r="D54" s="28">
        <v>0</v>
      </c>
      <c r="E54" s="28">
        <v>0</v>
      </c>
      <c r="F54" s="28">
        <f t="shared" si="0"/>
        <v>6.4</v>
      </c>
      <c r="G54" s="29"/>
      <c r="H54" s="29"/>
      <c r="I54" s="29"/>
      <c r="J54" s="29"/>
      <c r="K54" s="29"/>
      <c r="L54" s="29"/>
      <c r="M54" s="29"/>
      <c r="N54" s="29"/>
      <c r="O54" s="53"/>
      <c r="P54" s="29"/>
      <c r="Q54" s="86"/>
      <c r="R54" s="87"/>
      <c r="S54" s="88"/>
      <c r="T54" s="87"/>
      <c r="U54" s="87"/>
      <c r="V54" s="87"/>
      <c r="W54" s="87"/>
      <c r="X54" s="89"/>
    </row>
    <row r="55" spans="2:24" s="26" customFormat="1" ht="31.15" hidden="1" customHeight="1" x14ac:dyDescent="0.3">
      <c r="B55" s="27"/>
      <c r="C55" s="27"/>
      <c r="D55" s="28">
        <v>0</v>
      </c>
      <c r="E55" s="28">
        <v>0</v>
      </c>
      <c r="F55" s="28">
        <f t="shared" si="0"/>
        <v>6.4</v>
      </c>
      <c r="G55" s="29"/>
      <c r="H55" s="29"/>
      <c r="I55" s="29"/>
      <c r="J55" s="29"/>
      <c r="K55" s="29"/>
      <c r="L55" s="29"/>
      <c r="M55" s="29"/>
      <c r="N55" s="29"/>
      <c r="O55" s="53"/>
      <c r="P55" s="29"/>
      <c r="Q55" s="86"/>
      <c r="R55" s="87"/>
      <c r="S55" s="88"/>
      <c r="T55" s="87"/>
      <c r="U55" s="87"/>
      <c r="V55" s="87"/>
      <c r="W55" s="87"/>
      <c r="X55" s="89"/>
    </row>
    <row r="56" spans="2:24" s="26" customFormat="1" ht="31.15" hidden="1" customHeight="1" x14ac:dyDescent="0.3">
      <c r="B56" s="27"/>
      <c r="C56" s="27"/>
      <c r="D56" s="28">
        <v>0</v>
      </c>
      <c r="E56" s="28">
        <v>0</v>
      </c>
      <c r="F56" s="28">
        <f t="shared" si="0"/>
        <v>6.4</v>
      </c>
      <c r="G56" s="29"/>
      <c r="H56" s="29"/>
      <c r="I56" s="29"/>
      <c r="J56" s="29"/>
      <c r="K56" s="29"/>
      <c r="L56" s="29"/>
      <c r="M56" s="29"/>
      <c r="N56" s="29"/>
      <c r="O56" s="53"/>
      <c r="P56" s="29"/>
      <c r="Q56" s="86"/>
      <c r="R56" s="87"/>
      <c r="S56" s="88"/>
      <c r="T56" s="87"/>
      <c r="U56" s="87"/>
      <c r="V56" s="87"/>
      <c r="W56" s="87"/>
      <c r="X56" s="89"/>
    </row>
    <row r="57" spans="2:24" s="26" customFormat="1" ht="31.15" hidden="1" customHeight="1" x14ac:dyDescent="0.3">
      <c r="B57" s="27"/>
      <c r="C57" s="27"/>
      <c r="D57" s="28">
        <v>0</v>
      </c>
      <c r="E57" s="28">
        <v>0</v>
      </c>
      <c r="F57" s="28">
        <f t="shared" si="0"/>
        <v>6.4</v>
      </c>
      <c r="G57" s="29"/>
      <c r="H57" s="29"/>
      <c r="I57" s="29"/>
      <c r="J57" s="29"/>
      <c r="K57" s="29"/>
      <c r="L57" s="29"/>
      <c r="M57" s="29"/>
      <c r="N57" s="29"/>
      <c r="O57" s="53"/>
      <c r="P57" s="29"/>
      <c r="Q57" s="86"/>
      <c r="R57" s="87"/>
      <c r="S57" s="88"/>
      <c r="T57" s="87"/>
      <c r="U57" s="87"/>
      <c r="V57" s="87"/>
      <c r="W57" s="87"/>
      <c r="X57" s="89"/>
    </row>
    <row r="58" spans="2:24" ht="20.45" customHeight="1" x14ac:dyDescent="0.25">
      <c r="B58" s="2">
        <v>1</v>
      </c>
      <c r="C58" s="1">
        <v>0</v>
      </c>
      <c r="D58" s="1">
        <f t="shared" ref="D58:D121" si="1">IF(C58&lt;=Inhelation_Time_RT,1,0)</f>
        <v>1</v>
      </c>
      <c r="E58" s="1">
        <f>IF(D58=1,0,1)</f>
        <v>0</v>
      </c>
      <c r="F58" s="31">
        <f t="shared" ref="F58:F121" si="2">(D58*Inspiratory_pressure_level) + (E58*PEEP)</f>
        <v>14.6</v>
      </c>
      <c r="G58" s="31">
        <f ca="1">IF(D58=1, AVERAGE(OFFSET(F58,-$L$27,0,$L$27,1)),0)</f>
        <v>6.4</v>
      </c>
      <c r="H58" s="30">
        <f ca="1">IF(D58=0, AVERAGE(OFFSET(F58,-$L$28,0,$L$28,1)),0)</f>
        <v>0</v>
      </c>
      <c r="I58" s="31">
        <f ca="1">G58+H58</f>
        <v>6.4</v>
      </c>
      <c r="Q58" s="80"/>
      <c r="R58" s="42"/>
      <c r="S58" s="90">
        <f>0</f>
        <v>0</v>
      </c>
      <c r="T58" s="42"/>
      <c r="U58" s="42"/>
      <c r="V58" s="42"/>
      <c r="W58" s="42"/>
      <c r="X58" s="81"/>
    </row>
    <row r="59" spans="2:24" x14ac:dyDescent="0.25">
      <c r="B59" s="2">
        <v>1</v>
      </c>
      <c r="C59" s="1">
        <f t="shared" ref="C59:C122" si="3">MOD(C58+B59,time_for_breath_RT)</f>
        <v>1</v>
      </c>
      <c r="D59" s="1">
        <f t="shared" si="1"/>
        <v>1</v>
      </c>
      <c r="E59" s="1">
        <f t="shared" ref="E59:E122" si="4">IF(D59=1,0,1)</f>
        <v>0</v>
      </c>
      <c r="F59" s="31">
        <f t="shared" si="2"/>
        <v>14.6</v>
      </c>
      <c r="G59" s="31">
        <f t="shared" ref="G59:G83" ca="1" si="5">IF(D59=1, AVERAGE(OFFSET(F59,-$L$27,0,$L$27,1)),0)</f>
        <v>8.4500000000000011</v>
      </c>
      <c r="H59" s="30">
        <f t="shared" ref="H59:H83" ca="1" si="6">IF(D59=0, AVERAGE(OFFSET(F59,-$L$28,0,$L$28,1)),0)</f>
        <v>0</v>
      </c>
      <c r="I59" s="31">
        <f t="shared" ref="I59:I83" ca="1" si="7">G59+H59</f>
        <v>8.4500000000000011</v>
      </c>
      <c r="Q59" s="80"/>
      <c r="R59" s="42"/>
      <c r="S59" s="90">
        <f t="shared" ref="S59:S122" si="8">S58+(B58 / RTC_to_seconds)</f>
        <v>0.1</v>
      </c>
      <c r="T59" s="42"/>
      <c r="U59" s="42"/>
      <c r="V59" s="42"/>
      <c r="W59" s="42"/>
      <c r="X59" s="81"/>
    </row>
    <row r="60" spans="2:24" x14ac:dyDescent="0.25">
      <c r="B60" s="2">
        <v>1</v>
      </c>
      <c r="C60" s="1">
        <f t="shared" si="3"/>
        <v>2</v>
      </c>
      <c r="D60" s="1">
        <f t="shared" si="1"/>
        <v>1</v>
      </c>
      <c r="E60" s="1">
        <f t="shared" si="4"/>
        <v>0</v>
      </c>
      <c r="F60" s="31">
        <f t="shared" si="2"/>
        <v>14.6</v>
      </c>
      <c r="G60" s="31">
        <f t="shared" ca="1" si="5"/>
        <v>10.5</v>
      </c>
      <c r="H60" s="30">
        <f t="shared" ca="1" si="6"/>
        <v>0</v>
      </c>
      <c r="I60" s="31">
        <f t="shared" ca="1" si="7"/>
        <v>10.5</v>
      </c>
      <c r="Q60" s="80"/>
      <c r="R60" s="42"/>
      <c r="S60" s="90">
        <f t="shared" si="8"/>
        <v>0.2</v>
      </c>
      <c r="T60" s="42"/>
      <c r="U60" s="42"/>
      <c r="V60" s="42"/>
      <c r="W60" s="42"/>
      <c r="X60" s="81"/>
    </row>
    <row r="61" spans="2:24" x14ac:dyDescent="0.25">
      <c r="B61" s="2">
        <v>1</v>
      </c>
      <c r="C61" s="1">
        <f t="shared" si="3"/>
        <v>3</v>
      </c>
      <c r="D61" s="1">
        <f t="shared" si="1"/>
        <v>1</v>
      </c>
      <c r="E61" s="1">
        <f t="shared" si="4"/>
        <v>0</v>
      </c>
      <c r="F61" s="31">
        <f t="shared" si="2"/>
        <v>14.6</v>
      </c>
      <c r="G61" s="31">
        <f t="shared" ca="1" si="5"/>
        <v>12.55</v>
      </c>
      <c r="H61" s="30">
        <f t="shared" ca="1" si="6"/>
        <v>0</v>
      </c>
      <c r="I61" s="31">
        <f t="shared" ca="1" si="7"/>
        <v>12.55</v>
      </c>
      <c r="Q61" s="80"/>
      <c r="R61" s="42"/>
      <c r="S61" s="90">
        <f t="shared" si="8"/>
        <v>0.30000000000000004</v>
      </c>
      <c r="T61" s="42"/>
      <c r="U61" s="42"/>
      <c r="V61" s="42"/>
      <c r="W61" s="42"/>
      <c r="X61" s="81"/>
    </row>
    <row r="62" spans="2:24" x14ac:dyDescent="0.25">
      <c r="B62" s="2">
        <v>1</v>
      </c>
      <c r="C62" s="1">
        <f t="shared" si="3"/>
        <v>4</v>
      </c>
      <c r="D62" s="1">
        <f t="shared" si="1"/>
        <v>1</v>
      </c>
      <c r="E62" s="1">
        <f t="shared" si="4"/>
        <v>0</v>
      </c>
      <c r="F62" s="31">
        <f t="shared" si="2"/>
        <v>14.6</v>
      </c>
      <c r="G62" s="31">
        <f t="shared" ca="1" si="5"/>
        <v>14.6</v>
      </c>
      <c r="H62" s="30">
        <f t="shared" ca="1" si="6"/>
        <v>0</v>
      </c>
      <c r="I62" s="31">
        <f t="shared" ca="1" si="7"/>
        <v>14.6</v>
      </c>
      <c r="Q62" s="80"/>
      <c r="R62" s="42"/>
      <c r="S62" s="90">
        <f t="shared" si="8"/>
        <v>0.4</v>
      </c>
      <c r="T62" s="42"/>
      <c r="U62" s="42"/>
      <c r="V62" s="42"/>
      <c r="W62" s="42"/>
      <c r="X62" s="81"/>
    </row>
    <row r="63" spans="2:24" x14ac:dyDescent="0.25">
      <c r="B63" s="2">
        <v>1</v>
      </c>
      <c r="C63" s="1">
        <f t="shared" si="3"/>
        <v>5</v>
      </c>
      <c r="D63" s="1">
        <f t="shared" si="1"/>
        <v>1</v>
      </c>
      <c r="E63" s="1">
        <f t="shared" si="4"/>
        <v>0</v>
      </c>
      <c r="F63" s="31">
        <f t="shared" si="2"/>
        <v>14.6</v>
      </c>
      <c r="G63" s="31">
        <f t="shared" ca="1" si="5"/>
        <v>14.6</v>
      </c>
      <c r="H63" s="30">
        <f t="shared" ca="1" si="6"/>
        <v>0</v>
      </c>
      <c r="I63" s="31">
        <f t="shared" ca="1" si="7"/>
        <v>14.6</v>
      </c>
      <c r="Q63" s="80"/>
      <c r="R63" s="42"/>
      <c r="S63" s="90">
        <f t="shared" si="8"/>
        <v>0.5</v>
      </c>
      <c r="T63" s="42"/>
      <c r="U63" s="42"/>
      <c r="V63" s="42"/>
      <c r="W63" s="42"/>
      <c r="X63" s="81"/>
    </row>
    <row r="64" spans="2:24" x14ac:dyDescent="0.25">
      <c r="B64" s="2">
        <v>1</v>
      </c>
      <c r="C64" s="1">
        <f t="shared" si="3"/>
        <v>6</v>
      </c>
      <c r="D64" s="1">
        <f t="shared" si="1"/>
        <v>1</v>
      </c>
      <c r="E64" s="1">
        <f t="shared" si="4"/>
        <v>0</v>
      </c>
      <c r="F64" s="31">
        <f t="shared" si="2"/>
        <v>14.6</v>
      </c>
      <c r="G64" s="31">
        <f t="shared" ca="1" si="5"/>
        <v>14.6</v>
      </c>
      <c r="H64" s="30">
        <f t="shared" ca="1" si="6"/>
        <v>0</v>
      </c>
      <c r="I64" s="31">
        <f t="shared" ca="1" si="7"/>
        <v>14.6</v>
      </c>
      <c r="Q64" s="80"/>
      <c r="R64" s="42"/>
      <c r="S64" s="90">
        <f t="shared" si="8"/>
        <v>0.6</v>
      </c>
      <c r="T64" s="42"/>
      <c r="U64" s="42"/>
      <c r="V64" s="42"/>
      <c r="W64" s="42"/>
      <c r="X64" s="81"/>
    </row>
    <row r="65" spans="2:24" x14ac:dyDescent="0.25">
      <c r="B65" s="2">
        <v>1</v>
      </c>
      <c r="C65" s="1">
        <f t="shared" si="3"/>
        <v>7</v>
      </c>
      <c r="D65" s="1">
        <f t="shared" si="1"/>
        <v>1</v>
      </c>
      <c r="E65" s="1">
        <f t="shared" si="4"/>
        <v>0</v>
      </c>
      <c r="F65" s="31">
        <f t="shared" si="2"/>
        <v>14.6</v>
      </c>
      <c r="G65" s="31">
        <f t="shared" ca="1" si="5"/>
        <v>14.6</v>
      </c>
      <c r="H65" s="30">
        <f t="shared" ca="1" si="6"/>
        <v>0</v>
      </c>
      <c r="I65" s="31">
        <f t="shared" ca="1" si="7"/>
        <v>14.6</v>
      </c>
      <c r="Q65" s="80"/>
      <c r="R65" s="42"/>
      <c r="S65" s="90">
        <f t="shared" si="8"/>
        <v>0.7</v>
      </c>
      <c r="T65" s="42"/>
      <c r="U65" s="42"/>
      <c r="V65" s="42"/>
      <c r="W65" s="42"/>
      <c r="X65" s="81"/>
    </row>
    <row r="66" spans="2:24" x14ac:dyDescent="0.25">
      <c r="B66" s="2">
        <v>1</v>
      </c>
      <c r="C66" s="1">
        <f t="shared" si="3"/>
        <v>8</v>
      </c>
      <c r="D66" s="1">
        <f t="shared" si="1"/>
        <v>1</v>
      </c>
      <c r="E66" s="1">
        <f t="shared" si="4"/>
        <v>0</v>
      </c>
      <c r="F66" s="31">
        <f t="shared" si="2"/>
        <v>14.6</v>
      </c>
      <c r="G66" s="31">
        <f t="shared" ca="1" si="5"/>
        <v>14.6</v>
      </c>
      <c r="H66" s="30">
        <f t="shared" ca="1" si="6"/>
        <v>0</v>
      </c>
      <c r="I66" s="31">
        <f t="shared" ca="1" si="7"/>
        <v>14.6</v>
      </c>
      <c r="Q66" s="80"/>
      <c r="R66" s="42"/>
      <c r="S66" s="90">
        <f t="shared" si="8"/>
        <v>0.79999999999999993</v>
      </c>
      <c r="T66" s="42"/>
      <c r="U66" s="42"/>
      <c r="V66" s="42"/>
      <c r="W66" s="42"/>
      <c r="X66" s="81"/>
    </row>
    <row r="67" spans="2:24" x14ac:dyDescent="0.25">
      <c r="B67" s="2">
        <v>1</v>
      </c>
      <c r="C67" s="1">
        <f t="shared" si="3"/>
        <v>9</v>
      </c>
      <c r="D67" s="1">
        <f t="shared" si="1"/>
        <v>1</v>
      </c>
      <c r="E67" s="1">
        <f t="shared" si="4"/>
        <v>0</v>
      </c>
      <c r="F67" s="31">
        <f t="shared" si="2"/>
        <v>14.6</v>
      </c>
      <c r="G67" s="31">
        <f t="shared" ca="1" si="5"/>
        <v>14.6</v>
      </c>
      <c r="H67" s="30">
        <f t="shared" ca="1" si="6"/>
        <v>0</v>
      </c>
      <c r="I67" s="31">
        <f t="shared" ca="1" si="7"/>
        <v>14.6</v>
      </c>
      <c r="Q67" s="80"/>
      <c r="R67" s="42"/>
      <c r="S67" s="90">
        <f t="shared" si="8"/>
        <v>0.89999999999999991</v>
      </c>
      <c r="T67" s="42"/>
      <c r="U67" s="42"/>
      <c r="V67" s="42"/>
      <c r="W67" s="42"/>
      <c r="X67" s="81"/>
    </row>
    <row r="68" spans="2:24" x14ac:dyDescent="0.25">
      <c r="B68" s="2">
        <v>1</v>
      </c>
      <c r="C68" s="1">
        <f t="shared" si="3"/>
        <v>10</v>
      </c>
      <c r="D68" s="1">
        <f t="shared" si="1"/>
        <v>1</v>
      </c>
      <c r="E68" s="1">
        <f t="shared" si="4"/>
        <v>0</v>
      </c>
      <c r="F68" s="31">
        <f t="shared" si="2"/>
        <v>14.6</v>
      </c>
      <c r="G68" s="31">
        <f t="shared" ca="1" si="5"/>
        <v>14.6</v>
      </c>
      <c r="H68" s="30">
        <f t="shared" ca="1" si="6"/>
        <v>0</v>
      </c>
      <c r="I68" s="31">
        <f t="shared" ca="1" si="7"/>
        <v>14.6</v>
      </c>
      <c r="Q68" s="80"/>
      <c r="R68" s="42"/>
      <c r="S68" s="90">
        <f t="shared" si="8"/>
        <v>0.99999999999999989</v>
      </c>
      <c r="T68" s="42"/>
      <c r="U68" s="42"/>
      <c r="V68" s="42"/>
      <c r="W68" s="42"/>
      <c r="X68" s="81"/>
    </row>
    <row r="69" spans="2:24" x14ac:dyDescent="0.25">
      <c r="B69" s="2">
        <v>1</v>
      </c>
      <c r="C69" s="1">
        <f t="shared" si="3"/>
        <v>11</v>
      </c>
      <c r="D69" s="1">
        <f t="shared" si="1"/>
        <v>1</v>
      </c>
      <c r="E69" s="1">
        <f t="shared" si="4"/>
        <v>0</v>
      </c>
      <c r="F69" s="31">
        <f t="shared" si="2"/>
        <v>14.6</v>
      </c>
      <c r="G69" s="31">
        <f t="shared" ca="1" si="5"/>
        <v>14.6</v>
      </c>
      <c r="H69" s="30">
        <f t="shared" ca="1" si="6"/>
        <v>0</v>
      </c>
      <c r="I69" s="31">
        <f t="shared" ca="1" si="7"/>
        <v>14.6</v>
      </c>
      <c r="Q69" s="80"/>
      <c r="R69" s="42"/>
      <c r="S69" s="90">
        <f t="shared" si="8"/>
        <v>1.0999999999999999</v>
      </c>
      <c r="T69" s="42"/>
      <c r="U69" s="42"/>
      <c r="V69" s="42"/>
      <c r="W69" s="42"/>
      <c r="X69" s="81"/>
    </row>
    <row r="70" spans="2:24" x14ac:dyDescent="0.25">
      <c r="B70" s="2">
        <v>1</v>
      </c>
      <c r="C70" s="1">
        <f t="shared" si="3"/>
        <v>12</v>
      </c>
      <c r="D70" s="1">
        <f t="shared" si="1"/>
        <v>1</v>
      </c>
      <c r="E70" s="1">
        <f t="shared" si="4"/>
        <v>0</v>
      </c>
      <c r="F70" s="31">
        <f t="shared" si="2"/>
        <v>14.6</v>
      </c>
      <c r="G70" s="31">
        <f t="shared" ca="1" si="5"/>
        <v>14.6</v>
      </c>
      <c r="H70" s="30">
        <f t="shared" ca="1" si="6"/>
        <v>0</v>
      </c>
      <c r="I70" s="31">
        <f t="shared" ca="1" si="7"/>
        <v>14.6</v>
      </c>
      <c r="Q70" s="80"/>
      <c r="R70" s="42"/>
      <c r="S70" s="90">
        <f t="shared" si="8"/>
        <v>1.2</v>
      </c>
      <c r="T70" s="42"/>
      <c r="U70" s="42"/>
      <c r="V70" s="42"/>
      <c r="W70" s="42"/>
      <c r="X70" s="81"/>
    </row>
    <row r="71" spans="2:24" x14ac:dyDescent="0.25">
      <c r="B71" s="2">
        <v>1</v>
      </c>
      <c r="C71" s="1">
        <f t="shared" si="3"/>
        <v>13</v>
      </c>
      <c r="D71" s="1">
        <f t="shared" si="1"/>
        <v>1</v>
      </c>
      <c r="E71" s="1">
        <f t="shared" si="4"/>
        <v>0</v>
      </c>
      <c r="F71" s="31">
        <f t="shared" si="2"/>
        <v>14.6</v>
      </c>
      <c r="G71" s="31">
        <f t="shared" ca="1" si="5"/>
        <v>14.6</v>
      </c>
      <c r="H71" s="30">
        <f t="shared" ca="1" si="6"/>
        <v>0</v>
      </c>
      <c r="I71" s="31">
        <f t="shared" ca="1" si="7"/>
        <v>14.6</v>
      </c>
      <c r="Q71" s="80"/>
      <c r="R71" s="42"/>
      <c r="S71" s="90">
        <f t="shared" si="8"/>
        <v>1.3</v>
      </c>
      <c r="T71" s="42"/>
      <c r="U71" s="42"/>
      <c r="V71" s="42"/>
      <c r="W71" s="42"/>
      <c r="X71" s="81"/>
    </row>
    <row r="72" spans="2:24" x14ac:dyDescent="0.25">
      <c r="B72" s="2">
        <v>1</v>
      </c>
      <c r="C72" s="1">
        <f t="shared" si="3"/>
        <v>14</v>
      </c>
      <c r="D72" s="1">
        <f t="shared" si="1"/>
        <v>1</v>
      </c>
      <c r="E72" s="1">
        <f t="shared" si="4"/>
        <v>0</v>
      </c>
      <c r="F72" s="31">
        <f t="shared" si="2"/>
        <v>14.6</v>
      </c>
      <c r="G72" s="31">
        <f t="shared" ca="1" si="5"/>
        <v>14.6</v>
      </c>
      <c r="H72" s="30">
        <f t="shared" ca="1" si="6"/>
        <v>0</v>
      </c>
      <c r="I72" s="31">
        <f t="shared" ca="1" si="7"/>
        <v>14.6</v>
      </c>
      <c r="Q72" s="80"/>
      <c r="R72" s="42"/>
      <c r="S72" s="90">
        <f t="shared" si="8"/>
        <v>1.4000000000000001</v>
      </c>
      <c r="T72" s="42"/>
      <c r="U72" s="42"/>
      <c r="V72" s="42"/>
      <c r="W72" s="42"/>
      <c r="X72" s="81"/>
    </row>
    <row r="73" spans="2:24" x14ac:dyDescent="0.25">
      <c r="B73" s="2">
        <v>1</v>
      </c>
      <c r="C73" s="1">
        <f t="shared" si="3"/>
        <v>15</v>
      </c>
      <c r="D73" s="1">
        <f t="shared" si="1"/>
        <v>1</v>
      </c>
      <c r="E73" s="1">
        <f t="shared" si="4"/>
        <v>0</v>
      </c>
      <c r="F73" s="31">
        <f t="shared" si="2"/>
        <v>14.6</v>
      </c>
      <c r="G73" s="31">
        <f t="shared" ca="1" si="5"/>
        <v>14.6</v>
      </c>
      <c r="H73" s="30">
        <f t="shared" ca="1" si="6"/>
        <v>0</v>
      </c>
      <c r="I73" s="31">
        <f t="shared" ca="1" si="7"/>
        <v>14.6</v>
      </c>
      <c r="Q73" s="80"/>
      <c r="R73" s="42"/>
      <c r="S73" s="90">
        <f t="shared" si="8"/>
        <v>1.5000000000000002</v>
      </c>
      <c r="T73" s="42"/>
      <c r="U73" s="42"/>
      <c r="V73" s="42"/>
      <c r="W73" s="42"/>
      <c r="X73" s="81"/>
    </row>
    <row r="74" spans="2:24" x14ac:dyDescent="0.25">
      <c r="B74" s="2">
        <v>1</v>
      </c>
      <c r="C74" s="1">
        <f t="shared" si="3"/>
        <v>16</v>
      </c>
      <c r="D74" s="1">
        <f t="shared" si="1"/>
        <v>1</v>
      </c>
      <c r="E74" s="1">
        <f t="shared" si="4"/>
        <v>0</v>
      </c>
      <c r="F74" s="31">
        <f t="shared" si="2"/>
        <v>14.6</v>
      </c>
      <c r="G74" s="31">
        <f t="shared" ca="1" si="5"/>
        <v>14.6</v>
      </c>
      <c r="H74" s="30">
        <f t="shared" ca="1" si="6"/>
        <v>0</v>
      </c>
      <c r="I74" s="31">
        <f t="shared" ca="1" si="7"/>
        <v>14.6</v>
      </c>
      <c r="Q74" s="80"/>
      <c r="R74" s="42"/>
      <c r="S74" s="90">
        <f t="shared" si="8"/>
        <v>1.6000000000000003</v>
      </c>
      <c r="T74" s="42"/>
      <c r="U74" s="42"/>
      <c r="V74" s="42"/>
      <c r="W74" s="42"/>
      <c r="X74" s="81"/>
    </row>
    <row r="75" spans="2:24" x14ac:dyDescent="0.25">
      <c r="B75" s="2">
        <v>1</v>
      </c>
      <c r="C75" s="1">
        <f t="shared" si="3"/>
        <v>17</v>
      </c>
      <c r="D75" s="1">
        <f t="shared" si="1"/>
        <v>1</v>
      </c>
      <c r="E75" s="1">
        <f t="shared" si="4"/>
        <v>0</v>
      </c>
      <c r="F75" s="31">
        <f t="shared" si="2"/>
        <v>14.6</v>
      </c>
      <c r="G75" s="31">
        <f t="shared" ca="1" si="5"/>
        <v>14.6</v>
      </c>
      <c r="H75" s="30">
        <f t="shared" ca="1" si="6"/>
        <v>0</v>
      </c>
      <c r="I75" s="31">
        <f t="shared" ca="1" si="7"/>
        <v>14.6</v>
      </c>
      <c r="Q75" s="80"/>
      <c r="R75" s="42"/>
      <c r="S75" s="90">
        <f t="shared" si="8"/>
        <v>1.7000000000000004</v>
      </c>
      <c r="T75" s="42"/>
      <c r="U75" s="42"/>
      <c r="V75" s="42"/>
      <c r="W75" s="42"/>
      <c r="X75" s="81"/>
    </row>
    <row r="76" spans="2:24" x14ac:dyDescent="0.25">
      <c r="B76" s="2">
        <v>1</v>
      </c>
      <c r="C76" s="1">
        <f t="shared" si="3"/>
        <v>18</v>
      </c>
      <c r="D76" s="1">
        <f t="shared" si="1"/>
        <v>1</v>
      </c>
      <c r="E76" s="1">
        <f t="shared" si="4"/>
        <v>0</v>
      </c>
      <c r="F76" s="31">
        <f t="shared" si="2"/>
        <v>14.6</v>
      </c>
      <c r="G76" s="31">
        <f t="shared" ca="1" si="5"/>
        <v>14.6</v>
      </c>
      <c r="H76" s="30">
        <f t="shared" ca="1" si="6"/>
        <v>0</v>
      </c>
      <c r="I76" s="31">
        <f t="shared" ca="1" si="7"/>
        <v>14.6</v>
      </c>
      <c r="Q76" s="80"/>
      <c r="R76" s="42"/>
      <c r="S76" s="90">
        <f t="shared" si="8"/>
        <v>1.8000000000000005</v>
      </c>
      <c r="T76" s="42"/>
      <c r="U76" s="42"/>
      <c r="V76" s="42"/>
      <c r="W76" s="42"/>
      <c r="X76" s="81"/>
    </row>
    <row r="77" spans="2:24" x14ac:dyDescent="0.25">
      <c r="B77" s="2">
        <v>1</v>
      </c>
      <c r="C77" s="1">
        <f t="shared" si="3"/>
        <v>19</v>
      </c>
      <c r="D77" s="1">
        <f t="shared" si="1"/>
        <v>1</v>
      </c>
      <c r="E77" s="1">
        <f t="shared" si="4"/>
        <v>0</v>
      </c>
      <c r="F77" s="31">
        <f t="shared" si="2"/>
        <v>14.6</v>
      </c>
      <c r="G77" s="31">
        <f t="shared" ca="1" si="5"/>
        <v>14.6</v>
      </c>
      <c r="H77" s="30">
        <f t="shared" ca="1" si="6"/>
        <v>0</v>
      </c>
      <c r="I77" s="31">
        <f t="shared" ca="1" si="7"/>
        <v>14.6</v>
      </c>
      <c r="Q77" s="80"/>
      <c r="R77" s="42"/>
      <c r="S77" s="90">
        <f t="shared" si="8"/>
        <v>1.9000000000000006</v>
      </c>
      <c r="T77" s="42"/>
      <c r="U77" s="42"/>
      <c r="V77" s="42"/>
      <c r="W77" s="42"/>
      <c r="X77" s="81"/>
    </row>
    <row r="78" spans="2:24" x14ac:dyDescent="0.25">
      <c r="B78" s="2">
        <v>1</v>
      </c>
      <c r="C78" s="1">
        <f t="shared" si="3"/>
        <v>20</v>
      </c>
      <c r="D78" s="1">
        <f t="shared" si="1"/>
        <v>1</v>
      </c>
      <c r="E78" s="1">
        <f t="shared" si="4"/>
        <v>0</v>
      </c>
      <c r="F78" s="31">
        <f t="shared" si="2"/>
        <v>14.6</v>
      </c>
      <c r="G78" s="31">
        <f t="shared" ca="1" si="5"/>
        <v>14.6</v>
      </c>
      <c r="H78" s="30">
        <f t="shared" ca="1" si="6"/>
        <v>0</v>
      </c>
      <c r="I78" s="31">
        <f t="shared" ca="1" si="7"/>
        <v>14.6</v>
      </c>
      <c r="Q78" s="80"/>
      <c r="R78" s="42"/>
      <c r="S78" s="90">
        <f t="shared" si="8"/>
        <v>2.0000000000000004</v>
      </c>
      <c r="T78" s="42"/>
      <c r="U78" s="42"/>
      <c r="V78" s="42"/>
      <c r="W78" s="42"/>
      <c r="X78" s="81"/>
    </row>
    <row r="79" spans="2:24" x14ac:dyDescent="0.25">
      <c r="B79" s="2">
        <v>1</v>
      </c>
      <c r="C79" s="1">
        <f t="shared" si="3"/>
        <v>21</v>
      </c>
      <c r="D79" s="1">
        <f t="shared" si="1"/>
        <v>1</v>
      </c>
      <c r="E79" s="1">
        <f t="shared" si="4"/>
        <v>0</v>
      </c>
      <c r="F79" s="31">
        <f t="shared" si="2"/>
        <v>14.6</v>
      </c>
      <c r="G79" s="31">
        <f t="shared" ca="1" si="5"/>
        <v>14.6</v>
      </c>
      <c r="H79" s="30">
        <f t="shared" ca="1" si="6"/>
        <v>0</v>
      </c>
      <c r="I79" s="31">
        <f t="shared" ca="1" si="7"/>
        <v>14.6</v>
      </c>
      <c r="Q79" s="80"/>
      <c r="R79" s="42"/>
      <c r="S79" s="90">
        <f t="shared" si="8"/>
        <v>2.1000000000000005</v>
      </c>
      <c r="T79" s="42"/>
      <c r="U79" s="42"/>
      <c r="V79" s="42"/>
      <c r="W79" s="42"/>
      <c r="X79" s="81"/>
    </row>
    <row r="80" spans="2:24" x14ac:dyDescent="0.25">
      <c r="B80" s="2">
        <v>1</v>
      </c>
      <c r="C80" s="1">
        <f t="shared" si="3"/>
        <v>22</v>
      </c>
      <c r="D80" s="1">
        <f t="shared" si="1"/>
        <v>1</v>
      </c>
      <c r="E80" s="1">
        <f t="shared" si="4"/>
        <v>0</v>
      </c>
      <c r="F80" s="31">
        <f t="shared" si="2"/>
        <v>14.6</v>
      </c>
      <c r="G80" s="31">
        <f t="shared" ca="1" si="5"/>
        <v>14.6</v>
      </c>
      <c r="H80" s="30">
        <f t="shared" ca="1" si="6"/>
        <v>0</v>
      </c>
      <c r="I80" s="31">
        <f t="shared" ca="1" si="7"/>
        <v>14.6</v>
      </c>
      <c r="Q80" s="80"/>
      <c r="R80" s="42"/>
      <c r="S80" s="90">
        <f t="shared" si="8"/>
        <v>2.2000000000000006</v>
      </c>
      <c r="T80" s="42"/>
      <c r="U80" s="42"/>
      <c r="V80" s="42"/>
      <c r="W80" s="42"/>
      <c r="X80" s="81"/>
    </row>
    <row r="81" spans="2:24" x14ac:dyDescent="0.25">
      <c r="B81" s="2">
        <v>1</v>
      </c>
      <c r="C81" s="1">
        <f t="shared" si="3"/>
        <v>23</v>
      </c>
      <c r="D81" s="1">
        <f t="shared" si="1"/>
        <v>0</v>
      </c>
      <c r="E81" s="1">
        <f t="shared" si="4"/>
        <v>1</v>
      </c>
      <c r="F81" s="31">
        <f t="shared" si="2"/>
        <v>6.4</v>
      </c>
      <c r="G81" s="31">
        <f t="shared" ca="1" si="5"/>
        <v>0</v>
      </c>
      <c r="H81" s="30">
        <f t="shared" ca="1" si="6"/>
        <v>14.6</v>
      </c>
      <c r="I81" s="31">
        <f t="shared" ca="1" si="7"/>
        <v>14.6</v>
      </c>
      <c r="Q81" s="80"/>
      <c r="R81" s="42"/>
      <c r="S81" s="90">
        <f t="shared" si="8"/>
        <v>2.3000000000000007</v>
      </c>
      <c r="T81" s="42"/>
      <c r="U81" s="42"/>
      <c r="V81" s="42"/>
      <c r="W81" s="42"/>
      <c r="X81" s="81"/>
    </row>
    <row r="82" spans="2:24" x14ac:dyDescent="0.25">
      <c r="B82" s="2">
        <v>1</v>
      </c>
      <c r="C82" s="1">
        <f t="shared" si="3"/>
        <v>24</v>
      </c>
      <c r="D82" s="1">
        <f t="shared" si="1"/>
        <v>0</v>
      </c>
      <c r="E82" s="1">
        <f t="shared" si="4"/>
        <v>1</v>
      </c>
      <c r="F82" s="31">
        <f t="shared" si="2"/>
        <v>6.4</v>
      </c>
      <c r="G82" s="31">
        <f t="shared" ca="1" si="5"/>
        <v>0</v>
      </c>
      <c r="H82" s="30">
        <f t="shared" ca="1" si="6"/>
        <v>6.4</v>
      </c>
      <c r="I82" s="31">
        <f t="shared" ca="1" si="7"/>
        <v>6.4</v>
      </c>
      <c r="Q82" s="80"/>
      <c r="R82" s="42"/>
      <c r="S82" s="90">
        <f t="shared" si="8"/>
        <v>2.4000000000000008</v>
      </c>
      <c r="T82" s="42"/>
      <c r="U82" s="42"/>
      <c r="V82" s="42"/>
      <c r="W82" s="42"/>
      <c r="X82" s="81"/>
    </row>
    <row r="83" spans="2:24" x14ac:dyDescent="0.25">
      <c r="B83" s="2">
        <v>1</v>
      </c>
      <c r="C83" s="1">
        <f t="shared" si="3"/>
        <v>25</v>
      </c>
      <c r="D83" s="1">
        <f t="shared" si="1"/>
        <v>0</v>
      </c>
      <c r="E83" s="1">
        <f t="shared" si="4"/>
        <v>1</v>
      </c>
      <c r="F83" s="31">
        <f t="shared" si="2"/>
        <v>6.4</v>
      </c>
      <c r="G83" s="31">
        <f t="shared" ca="1" si="5"/>
        <v>0</v>
      </c>
      <c r="H83" s="30">
        <f t="shared" ca="1" si="6"/>
        <v>6.4</v>
      </c>
      <c r="I83" s="31">
        <f t="shared" ca="1" si="7"/>
        <v>6.4</v>
      </c>
      <c r="Q83" s="80"/>
      <c r="R83" s="42"/>
      <c r="S83" s="90">
        <f t="shared" si="8"/>
        <v>2.5000000000000009</v>
      </c>
      <c r="T83" s="42"/>
      <c r="U83" s="42"/>
      <c r="V83" s="42"/>
      <c r="W83" s="42"/>
      <c r="X83" s="81"/>
    </row>
    <row r="84" spans="2:24" x14ac:dyDescent="0.25">
      <c r="B84" s="2">
        <v>1</v>
      </c>
      <c r="C84" s="1">
        <f t="shared" si="3"/>
        <v>26</v>
      </c>
      <c r="D84" s="1">
        <f t="shared" si="1"/>
        <v>0</v>
      </c>
      <c r="E84" s="1">
        <f t="shared" si="4"/>
        <v>1</v>
      </c>
      <c r="F84" s="31">
        <f t="shared" si="2"/>
        <v>6.4</v>
      </c>
      <c r="G84" s="31">
        <f t="shared" ref="G84:G138" ca="1" si="9">IF(D84=1, AVERAGE(OFFSET(F84,-$L$27,0,$L$27,1)),0)</f>
        <v>0</v>
      </c>
      <c r="H84" s="30">
        <f t="shared" ref="H84:H138" ca="1" si="10">IF(D84=0, AVERAGE(OFFSET(F84,-$L$28,0,$L$28,1)),0)</f>
        <v>6.4</v>
      </c>
      <c r="I84" s="31">
        <f t="shared" ref="I84:I138" ca="1" si="11">G84+H84</f>
        <v>6.4</v>
      </c>
      <c r="Q84" s="80"/>
      <c r="R84" s="42"/>
      <c r="S84" s="90">
        <f t="shared" si="8"/>
        <v>2.600000000000001</v>
      </c>
      <c r="T84" s="42"/>
      <c r="U84" s="42"/>
      <c r="V84" s="42"/>
      <c r="W84" s="42"/>
      <c r="X84" s="81"/>
    </row>
    <row r="85" spans="2:24" x14ac:dyDescent="0.25">
      <c r="B85" s="2">
        <v>1</v>
      </c>
      <c r="C85" s="1">
        <f t="shared" si="3"/>
        <v>27</v>
      </c>
      <c r="D85" s="1">
        <f t="shared" si="1"/>
        <v>0</v>
      </c>
      <c r="E85" s="1">
        <f t="shared" si="4"/>
        <v>1</v>
      </c>
      <c r="F85" s="31">
        <f t="shared" si="2"/>
        <v>6.4</v>
      </c>
      <c r="G85" s="31">
        <f t="shared" ca="1" si="9"/>
        <v>0</v>
      </c>
      <c r="H85" s="30">
        <f t="shared" ca="1" si="10"/>
        <v>6.4</v>
      </c>
      <c r="I85" s="31">
        <f t="shared" ca="1" si="11"/>
        <v>6.4</v>
      </c>
      <c r="Q85" s="80"/>
      <c r="R85" s="42"/>
      <c r="S85" s="90">
        <f t="shared" si="8"/>
        <v>2.7000000000000011</v>
      </c>
      <c r="T85" s="42"/>
      <c r="U85" s="42"/>
      <c r="V85" s="42"/>
      <c r="W85" s="42"/>
      <c r="X85" s="81"/>
    </row>
    <row r="86" spans="2:24" x14ac:dyDescent="0.25">
      <c r="B86" s="2">
        <v>1</v>
      </c>
      <c r="C86" s="1">
        <f t="shared" si="3"/>
        <v>28</v>
      </c>
      <c r="D86" s="1">
        <f t="shared" si="1"/>
        <v>0</v>
      </c>
      <c r="E86" s="1">
        <f t="shared" si="4"/>
        <v>1</v>
      </c>
      <c r="F86" s="31">
        <f t="shared" si="2"/>
        <v>6.4</v>
      </c>
      <c r="G86" s="31">
        <f t="shared" ca="1" si="9"/>
        <v>0</v>
      </c>
      <c r="H86" s="30">
        <f t="shared" ca="1" si="10"/>
        <v>6.4</v>
      </c>
      <c r="I86" s="31">
        <f t="shared" ca="1" si="11"/>
        <v>6.4</v>
      </c>
      <c r="Q86" s="80"/>
      <c r="R86" s="42"/>
      <c r="S86" s="90">
        <f t="shared" si="8"/>
        <v>2.8000000000000012</v>
      </c>
      <c r="T86" s="42"/>
      <c r="U86" s="42"/>
      <c r="V86" s="42"/>
      <c r="W86" s="42"/>
      <c r="X86" s="81"/>
    </row>
    <row r="87" spans="2:24" x14ac:dyDescent="0.25">
      <c r="B87" s="2">
        <v>1</v>
      </c>
      <c r="C87" s="1">
        <f t="shared" si="3"/>
        <v>29</v>
      </c>
      <c r="D87" s="1">
        <f t="shared" si="1"/>
        <v>0</v>
      </c>
      <c r="E87" s="1">
        <f t="shared" si="4"/>
        <v>1</v>
      </c>
      <c r="F87" s="31">
        <f t="shared" si="2"/>
        <v>6.4</v>
      </c>
      <c r="G87" s="31">
        <f t="shared" ca="1" si="9"/>
        <v>0</v>
      </c>
      <c r="H87" s="30">
        <f t="shared" ca="1" si="10"/>
        <v>6.4</v>
      </c>
      <c r="I87" s="31">
        <f t="shared" ca="1" si="11"/>
        <v>6.4</v>
      </c>
      <c r="Q87" s="80"/>
      <c r="R87" s="42"/>
      <c r="S87" s="90">
        <f t="shared" si="8"/>
        <v>2.9000000000000012</v>
      </c>
      <c r="T87" s="42"/>
      <c r="U87" s="42"/>
      <c r="V87" s="42"/>
      <c r="W87" s="42"/>
      <c r="X87" s="81"/>
    </row>
    <row r="88" spans="2:24" x14ac:dyDescent="0.25">
      <c r="B88" s="2">
        <v>1</v>
      </c>
      <c r="C88" s="1">
        <f t="shared" si="3"/>
        <v>30</v>
      </c>
      <c r="D88" s="1">
        <f t="shared" si="1"/>
        <v>0</v>
      </c>
      <c r="E88" s="1">
        <f t="shared" si="4"/>
        <v>1</v>
      </c>
      <c r="F88" s="31">
        <f t="shared" si="2"/>
        <v>6.4</v>
      </c>
      <c r="G88" s="31">
        <f t="shared" ca="1" si="9"/>
        <v>0</v>
      </c>
      <c r="H88" s="30">
        <f t="shared" ca="1" si="10"/>
        <v>6.4</v>
      </c>
      <c r="I88" s="31">
        <f t="shared" ca="1" si="11"/>
        <v>6.4</v>
      </c>
      <c r="Q88" s="80"/>
      <c r="R88" s="42"/>
      <c r="S88" s="90">
        <f t="shared" si="8"/>
        <v>3.0000000000000013</v>
      </c>
      <c r="T88" s="42"/>
      <c r="U88" s="42"/>
      <c r="V88" s="42"/>
      <c r="W88" s="42"/>
      <c r="X88" s="81"/>
    </row>
    <row r="89" spans="2:24" x14ac:dyDescent="0.25">
      <c r="B89" s="2">
        <v>1</v>
      </c>
      <c r="C89" s="1">
        <f t="shared" si="3"/>
        <v>31</v>
      </c>
      <c r="D89" s="1">
        <f t="shared" si="1"/>
        <v>0</v>
      </c>
      <c r="E89" s="1">
        <f t="shared" si="4"/>
        <v>1</v>
      </c>
      <c r="F89" s="31">
        <f t="shared" si="2"/>
        <v>6.4</v>
      </c>
      <c r="G89" s="31">
        <f t="shared" ca="1" si="9"/>
        <v>0</v>
      </c>
      <c r="H89" s="30">
        <f t="shared" ca="1" si="10"/>
        <v>6.4</v>
      </c>
      <c r="I89" s="31">
        <f t="shared" ca="1" si="11"/>
        <v>6.4</v>
      </c>
      <c r="Q89" s="80"/>
      <c r="R89" s="42"/>
      <c r="S89" s="90">
        <f t="shared" si="8"/>
        <v>3.1000000000000014</v>
      </c>
      <c r="T89" s="42"/>
      <c r="U89" s="42"/>
      <c r="V89" s="42"/>
      <c r="W89" s="42"/>
      <c r="X89" s="81"/>
    </row>
    <row r="90" spans="2:24" x14ac:dyDescent="0.25">
      <c r="B90" s="2">
        <v>1</v>
      </c>
      <c r="C90" s="1">
        <f t="shared" si="3"/>
        <v>32</v>
      </c>
      <c r="D90" s="1">
        <f t="shared" si="1"/>
        <v>0</v>
      </c>
      <c r="E90" s="1">
        <f t="shared" si="4"/>
        <v>1</v>
      </c>
      <c r="F90" s="31">
        <f t="shared" si="2"/>
        <v>6.4</v>
      </c>
      <c r="G90" s="31">
        <f t="shared" ca="1" si="9"/>
        <v>0</v>
      </c>
      <c r="H90" s="30">
        <f t="shared" ca="1" si="10"/>
        <v>6.4</v>
      </c>
      <c r="I90" s="31">
        <f t="shared" ca="1" si="11"/>
        <v>6.4</v>
      </c>
      <c r="Q90" s="80"/>
      <c r="R90" s="42"/>
      <c r="S90" s="90">
        <f t="shared" si="8"/>
        <v>3.2000000000000015</v>
      </c>
      <c r="T90" s="42"/>
      <c r="U90" s="42"/>
      <c r="V90" s="42"/>
      <c r="W90" s="42"/>
      <c r="X90" s="81"/>
    </row>
    <row r="91" spans="2:24" x14ac:dyDescent="0.25">
      <c r="B91" s="2">
        <v>1</v>
      </c>
      <c r="C91" s="1">
        <f t="shared" si="3"/>
        <v>33</v>
      </c>
      <c r="D91" s="1">
        <f t="shared" si="1"/>
        <v>0</v>
      </c>
      <c r="E91" s="1">
        <f t="shared" si="4"/>
        <v>1</v>
      </c>
      <c r="F91" s="31">
        <f t="shared" si="2"/>
        <v>6.4</v>
      </c>
      <c r="G91" s="31">
        <f t="shared" ca="1" si="9"/>
        <v>0</v>
      </c>
      <c r="H91" s="30">
        <f t="shared" ca="1" si="10"/>
        <v>6.4</v>
      </c>
      <c r="I91" s="31">
        <f t="shared" ca="1" si="11"/>
        <v>6.4</v>
      </c>
      <c r="Q91" s="80"/>
      <c r="R91" s="42"/>
      <c r="S91" s="90">
        <f t="shared" si="8"/>
        <v>3.3000000000000016</v>
      </c>
      <c r="T91" s="42"/>
      <c r="U91" s="42"/>
      <c r="V91" s="42"/>
      <c r="W91" s="42"/>
      <c r="X91" s="81"/>
    </row>
    <row r="92" spans="2:24" x14ac:dyDescent="0.25">
      <c r="B92" s="2">
        <v>1</v>
      </c>
      <c r="C92" s="1">
        <f t="shared" si="3"/>
        <v>34</v>
      </c>
      <c r="D92" s="1">
        <f t="shared" si="1"/>
        <v>0</v>
      </c>
      <c r="E92" s="1">
        <f t="shared" si="4"/>
        <v>1</v>
      </c>
      <c r="F92" s="31">
        <f t="shared" si="2"/>
        <v>6.4</v>
      </c>
      <c r="G92" s="31">
        <f t="shared" ca="1" si="9"/>
        <v>0</v>
      </c>
      <c r="H92" s="30">
        <f t="shared" ca="1" si="10"/>
        <v>6.4</v>
      </c>
      <c r="I92" s="31">
        <f t="shared" ca="1" si="11"/>
        <v>6.4</v>
      </c>
      <c r="Q92" s="80"/>
      <c r="R92" s="42"/>
      <c r="S92" s="90">
        <f t="shared" si="8"/>
        <v>3.4000000000000017</v>
      </c>
      <c r="T92" s="42"/>
      <c r="U92" s="42"/>
      <c r="V92" s="42"/>
      <c r="W92" s="42"/>
      <c r="X92" s="81"/>
    </row>
    <row r="93" spans="2:24" x14ac:dyDescent="0.25">
      <c r="B93" s="2">
        <v>1</v>
      </c>
      <c r="C93" s="1">
        <f t="shared" si="3"/>
        <v>35</v>
      </c>
      <c r="D93" s="1">
        <f t="shared" si="1"/>
        <v>0</v>
      </c>
      <c r="E93" s="1">
        <f t="shared" si="4"/>
        <v>1</v>
      </c>
      <c r="F93" s="31">
        <f t="shared" si="2"/>
        <v>6.4</v>
      </c>
      <c r="G93" s="31">
        <f t="shared" ca="1" si="9"/>
        <v>0</v>
      </c>
      <c r="H93" s="30">
        <f t="shared" ca="1" si="10"/>
        <v>6.4</v>
      </c>
      <c r="I93" s="31">
        <f t="shared" ca="1" si="11"/>
        <v>6.4</v>
      </c>
      <c r="Q93" s="80"/>
      <c r="R93" s="42"/>
      <c r="S93" s="90">
        <f t="shared" si="8"/>
        <v>3.5000000000000018</v>
      </c>
      <c r="T93" s="42"/>
      <c r="U93" s="42"/>
      <c r="V93" s="42"/>
      <c r="W93" s="42"/>
      <c r="X93" s="81"/>
    </row>
    <row r="94" spans="2:24" x14ac:dyDescent="0.25">
      <c r="B94" s="2">
        <v>1</v>
      </c>
      <c r="C94" s="1">
        <f t="shared" si="3"/>
        <v>0.70588235294117396</v>
      </c>
      <c r="D94" s="1">
        <f t="shared" si="1"/>
        <v>1</v>
      </c>
      <c r="E94" s="1">
        <f t="shared" si="4"/>
        <v>0</v>
      </c>
      <c r="F94" s="31">
        <f t="shared" si="2"/>
        <v>14.6</v>
      </c>
      <c r="G94" s="31">
        <f t="shared" ca="1" si="9"/>
        <v>6.4</v>
      </c>
      <c r="H94" s="30">
        <f t="shared" ca="1" si="10"/>
        <v>0</v>
      </c>
      <c r="I94" s="31">
        <f t="shared" ca="1" si="11"/>
        <v>6.4</v>
      </c>
      <c r="Q94" s="80"/>
      <c r="R94" s="42"/>
      <c r="S94" s="90">
        <f t="shared" si="8"/>
        <v>3.6000000000000019</v>
      </c>
      <c r="T94" s="42"/>
      <c r="U94" s="42"/>
      <c r="V94" s="42"/>
      <c r="W94" s="42"/>
      <c r="X94" s="81"/>
    </row>
    <row r="95" spans="2:24" x14ac:dyDescent="0.25">
      <c r="B95" s="2">
        <v>1</v>
      </c>
      <c r="C95" s="1">
        <f t="shared" si="3"/>
        <v>1.705882352941174</v>
      </c>
      <c r="D95" s="1">
        <f t="shared" si="1"/>
        <v>1</v>
      </c>
      <c r="E95" s="1">
        <f t="shared" si="4"/>
        <v>0</v>
      </c>
      <c r="F95" s="31">
        <f t="shared" si="2"/>
        <v>14.6</v>
      </c>
      <c r="G95" s="31">
        <f t="shared" ca="1" si="9"/>
        <v>8.4500000000000011</v>
      </c>
      <c r="H95" s="30">
        <f t="shared" ca="1" si="10"/>
        <v>0</v>
      </c>
      <c r="I95" s="31">
        <f t="shared" ca="1" si="11"/>
        <v>8.4500000000000011</v>
      </c>
      <c r="Q95" s="80"/>
      <c r="R95" s="42"/>
      <c r="S95" s="90">
        <f t="shared" si="8"/>
        <v>3.700000000000002</v>
      </c>
      <c r="T95" s="42"/>
      <c r="U95" s="42"/>
      <c r="V95" s="42"/>
      <c r="W95" s="42"/>
      <c r="X95" s="81"/>
    </row>
    <row r="96" spans="2:24" x14ac:dyDescent="0.25">
      <c r="B96" s="2">
        <v>1</v>
      </c>
      <c r="C96" s="1">
        <f t="shared" si="3"/>
        <v>2.705882352941174</v>
      </c>
      <c r="D96" s="1">
        <f t="shared" si="1"/>
        <v>1</v>
      </c>
      <c r="E96" s="1">
        <f t="shared" si="4"/>
        <v>0</v>
      </c>
      <c r="F96" s="31">
        <f t="shared" si="2"/>
        <v>14.6</v>
      </c>
      <c r="G96" s="31">
        <f t="shared" ca="1" si="9"/>
        <v>10.5</v>
      </c>
      <c r="H96" s="30">
        <f t="shared" ca="1" si="10"/>
        <v>0</v>
      </c>
      <c r="I96" s="31">
        <f t="shared" ca="1" si="11"/>
        <v>10.5</v>
      </c>
      <c r="Q96" s="80"/>
      <c r="R96" s="42"/>
      <c r="S96" s="90">
        <f t="shared" si="8"/>
        <v>3.800000000000002</v>
      </c>
      <c r="T96" s="42"/>
      <c r="U96" s="42"/>
      <c r="V96" s="42"/>
      <c r="W96" s="42"/>
      <c r="X96" s="81"/>
    </row>
    <row r="97" spans="2:24" x14ac:dyDescent="0.25">
      <c r="B97" s="2">
        <v>1</v>
      </c>
      <c r="C97" s="1">
        <f t="shared" si="3"/>
        <v>3.705882352941174</v>
      </c>
      <c r="D97" s="1">
        <f t="shared" si="1"/>
        <v>1</v>
      </c>
      <c r="E97" s="1">
        <f t="shared" si="4"/>
        <v>0</v>
      </c>
      <c r="F97" s="31">
        <f t="shared" si="2"/>
        <v>14.6</v>
      </c>
      <c r="G97" s="31">
        <f t="shared" ca="1" si="9"/>
        <v>12.55</v>
      </c>
      <c r="H97" s="30">
        <f t="shared" ca="1" si="10"/>
        <v>0</v>
      </c>
      <c r="I97" s="31">
        <f t="shared" ca="1" si="11"/>
        <v>12.55</v>
      </c>
      <c r="Q97" s="80"/>
      <c r="R97" s="42"/>
      <c r="S97" s="90">
        <f t="shared" si="8"/>
        <v>3.9000000000000021</v>
      </c>
      <c r="T97" s="42"/>
      <c r="U97" s="42"/>
      <c r="V97" s="42"/>
      <c r="W97" s="42"/>
      <c r="X97" s="81"/>
    </row>
    <row r="98" spans="2:24" x14ac:dyDescent="0.25">
      <c r="B98" s="2">
        <v>1</v>
      </c>
      <c r="C98" s="1">
        <f t="shared" si="3"/>
        <v>4.705882352941174</v>
      </c>
      <c r="D98" s="1">
        <f t="shared" si="1"/>
        <v>1</v>
      </c>
      <c r="E98" s="1">
        <f t="shared" si="4"/>
        <v>0</v>
      </c>
      <c r="F98" s="31">
        <f t="shared" si="2"/>
        <v>14.6</v>
      </c>
      <c r="G98" s="31">
        <f t="shared" ca="1" si="9"/>
        <v>14.6</v>
      </c>
      <c r="H98" s="30">
        <f t="shared" ca="1" si="10"/>
        <v>0</v>
      </c>
      <c r="I98" s="31">
        <f t="shared" ca="1" si="11"/>
        <v>14.6</v>
      </c>
      <c r="Q98" s="80"/>
      <c r="R98" s="42"/>
      <c r="S98" s="90">
        <f t="shared" si="8"/>
        <v>4.0000000000000018</v>
      </c>
      <c r="T98" s="42"/>
      <c r="U98" s="42"/>
      <c r="V98" s="42"/>
      <c r="W98" s="42"/>
      <c r="X98" s="81"/>
    </row>
    <row r="99" spans="2:24" x14ac:dyDescent="0.25">
      <c r="B99" s="2">
        <v>1</v>
      </c>
      <c r="C99" s="1">
        <f t="shared" si="3"/>
        <v>5.705882352941174</v>
      </c>
      <c r="D99" s="1">
        <f t="shared" si="1"/>
        <v>1</v>
      </c>
      <c r="E99" s="1">
        <f t="shared" si="4"/>
        <v>0</v>
      </c>
      <c r="F99" s="31">
        <f t="shared" si="2"/>
        <v>14.6</v>
      </c>
      <c r="G99" s="31">
        <f t="shared" ca="1" si="9"/>
        <v>14.6</v>
      </c>
      <c r="H99" s="30">
        <f t="shared" ca="1" si="10"/>
        <v>0</v>
      </c>
      <c r="I99" s="31">
        <f t="shared" ca="1" si="11"/>
        <v>14.6</v>
      </c>
      <c r="Q99" s="80"/>
      <c r="R99" s="42"/>
      <c r="S99" s="90">
        <f t="shared" si="8"/>
        <v>4.1000000000000014</v>
      </c>
      <c r="T99" s="42"/>
      <c r="U99" s="42"/>
      <c r="V99" s="42"/>
      <c r="W99" s="42"/>
      <c r="X99" s="81"/>
    </row>
    <row r="100" spans="2:24" x14ac:dyDescent="0.25">
      <c r="B100" s="2">
        <v>1</v>
      </c>
      <c r="C100" s="1">
        <f t="shared" si="3"/>
        <v>6.705882352941174</v>
      </c>
      <c r="D100" s="1">
        <f t="shared" si="1"/>
        <v>1</v>
      </c>
      <c r="E100" s="1">
        <f t="shared" si="4"/>
        <v>0</v>
      </c>
      <c r="F100" s="31">
        <f t="shared" si="2"/>
        <v>14.6</v>
      </c>
      <c r="G100" s="31">
        <f t="shared" ca="1" si="9"/>
        <v>14.6</v>
      </c>
      <c r="H100" s="30">
        <f t="shared" ca="1" si="10"/>
        <v>0</v>
      </c>
      <c r="I100" s="31">
        <f t="shared" ca="1" si="11"/>
        <v>14.6</v>
      </c>
      <c r="Q100" s="80"/>
      <c r="R100" s="42"/>
      <c r="S100" s="90">
        <f t="shared" si="8"/>
        <v>4.2000000000000011</v>
      </c>
      <c r="T100" s="42"/>
      <c r="U100" s="42"/>
      <c r="V100" s="42"/>
      <c r="W100" s="42"/>
      <c r="X100" s="81"/>
    </row>
    <row r="101" spans="2:24" x14ac:dyDescent="0.25">
      <c r="B101" s="2">
        <v>1</v>
      </c>
      <c r="C101" s="1">
        <f t="shared" si="3"/>
        <v>7.705882352941174</v>
      </c>
      <c r="D101" s="1">
        <f t="shared" si="1"/>
        <v>1</v>
      </c>
      <c r="E101" s="1">
        <f t="shared" si="4"/>
        <v>0</v>
      </c>
      <c r="F101" s="31">
        <f t="shared" si="2"/>
        <v>14.6</v>
      </c>
      <c r="G101" s="31">
        <f t="shared" ca="1" si="9"/>
        <v>14.6</v>
      </c>
      <c r="H101" s="30">
        <f t="shared" ca="1" si="10"/>
        <v>0</v>
      </c>
      <c r="I101" s="31">
        <f t="shared" ca="1" si="11"/>
        <v>14.6</v>
      </c>
      <c r="Q101" s="80"/>
      <c r="R101" s="42"/>
      <c r="S101" s="90">
        <f t="shared" si="8"/>
        <v>4.3000000000000007</v>
      </c>
      <c r="T101" s="42"/>
      <c r="U101" s="42"/>
      <c r="V101" s="42"/>
      <c r="W101" s="42"/>
      <c r="X101" s="81"/>
    </row>
    <row r="102" spans="2:24" x14ac:dyDescent="0.25">
      <c r="B102" s="2">
        <v>1</v>
      </c>
      <c r="C102" s="1">
        <f t="shared" si="3"/>
        <v>8.705882352941174</v>
      </c>
      <c r="D102" s="1">
        <f t="shared" si="1"/>
        <v>1</v>
      </c>
      <c r="E102" s="1">
        <f t="shared" si="4"/>
        <v>0</v>
      </c>
      <c r="F102" s="31">
        <f t="shared" si="2"/>
        <v>14.6</v>
      </c>
      <c r="G102" s="31">
        <f t="shared" ca="1" si="9"/>
        <v>14.6</v>
      </c>
      <c r="H102" s="30">
        <f t="shared" ca="1" si="10"/>
        <v>0</v>
      </c>
      <c r="I102" s="31">
        <f t="shared" ca="1" si="11"/>
        <v>14.6</v>
      </c>
      <c r="Q102" s="80"/>
      <c r="R102" s="42"/>
      <c r="S102" s="90">
        <f t="shared" si="8"/>
        <v>4.4000000000000004</v>
      </c>
      <c r="T102" s="42"/>
      <c r="U102" s="42"/>
      <c r="V102" s="42"/>
      <c r="W102" s="42"/>
      <c r="X102" s="81"/>
    </row>
    <row r="103" spans="2:24" x14ac:dyDescent="0.25">
      <c r="B103" s="2">
        <v>1</v>
      </c>
      <c r="C103" s="1">
        <f t="shared" si="3"/>
        <v>9.705882352941174</v>
      </c>
      <c r="D103" s="1">
        <f t="shared" si="1"/>
        <v>1</v>
      </c>
      <c r="E103" s="1">
        <f t="shared" si="4"/>
        <v>0</v>
      </c>
      <c r="F103" s="31">
        <f t="shared" si="2"/>
        <v>14.6</v>
      </c>
      <c r="G103" s="31">
        <f t="shared" ca="1" si="9"/>
        <v>14.6</v>
      </c>
      <c r="H103" s="30">
        <f t="shared" ca="1" si="10"/>
        <v>0</v>
      </c>
      <c r="I103" s="31">
        <f t="shared" ca="1" si="11"/>
        <v>14.6</v>
      </c>
      <c r="Q103" s="80"/>
      <c r="R103" s="42"/>
      <c r="S103" s="90">
        <f t="shared" si="8"/>
        <v>4.5</v>
      </c>
      <c r="T103" s="42"/>
      <c r="U103" s="42"/>
      <c r="V103" s="42"/>
      <c r="W103" s="42"/>
      <c r="X103" s="81"/>
    </row>
    <row r="104" spans="2:24" x14ac:dyDescent="0.25">
      <c r="B104" s="2">
        <v>1</v>
      </c>
      <c r="C104" s="1">
        <f t="shared" si="3"/>
        <v>10.705882352941174</v>
      </c>
      <c r="D104" s="1">
        <f t="shared" si="1"/>
        <v>1</v>
      </c>
      <c r="E104" s="1">
        <f t="shared" si="4"/>
        <v>0</v>
      </c>
      <c r="F104" s="31">
        <f t="shared" si="2"/>
        <v>14.6</v>
      </c>
      <c r="G104" s="31">
        <f t="shared" ca="1" si="9"/>
        <v>14.6</v>
      </c>
      <c r="H104" s="30">
        <f t="shared" ca="1" si="10"/>
        <v>0</v>
      </c>
      <c r="I104" s="31">
        <f t="shared" ca="1" si="11"/>
        <v>14.6</v>
      </c>
      <c r="Q104" s="80"/>
      <c r="R104" s="42"/>
      <c r="S104" s="90">
        <f t="shared" si="8"/>
        <v>4.5999999999999996</v>
      </c>
      <c r="T104" s="42"/>
      <c r="U104" s="42"/>
      <c r="V104" s="42"/>
      <c r="W104" s="42"/>
      <c r="X104" s="81"/>
    </row>
    <row r="105" spans="2:24" x14ac:dyDescent="0.25">
      <c r="B105" s="2">
        <v>1</v>
      </c>
      <c r="C105" s="1">
        <f t="shared" si="3"/>
        <v>11.705882352941174</v>
      </c>
      <c r="D105" s="1">
        <f t="shared" si="1"/>
        <v>1</v>
      </c>
      <c r="E105" s="1">
        <f t="shared" si="4"/>
        <v>0</v>
      </c>
      <c r="F105" s="31">
        <f t="shared" si="2"/>
        <v>14.6</v>
      </c>
      <c r="G105" s="31">
        <f t="shared" ca="1" si="9"/>
        <v>14.6</v>
      </c>
      <c r="H105" s="30">
        <f t="shared" ca="1" si="10"/>
        <v>0</v>
      </c>
      <c r="I105" s="31">
        <f t="shared" ca="1" si="11"/>
        <v>14.6</v>
      </c>
      <c r="Q105" s="80"/>
      <c r="R105" s="42"/>
      <c r="S105" s="90">
        <f t="shared" si="8"/>
        <v>4.6999999999999993</v>
      </c>
      <c r="T105" s="42"/>
      <c r="U105" s="42"/>
      <c r="V105" s="42"/>
      <c r="W105" s="42"/>
      <c r="X105" s="81"/>
    </row>
    <row r="106" spans="2:24" x14ac:dyDescent="0.25">
      <c r="B106" s="2">
        <v>1</v>
      </c>
      <c r="C106" s="1">
        <f t="shared" si="3"/>
        <v>12.705882352941174</v>
      </c>
      <c r="D106" s="1">
        <f t="shared" si="1"/>
        <v>1</v>
      </c>
      <c r="E106" s="1">
        <f t="shared" si="4"/>
        <v>0</v>
      </c>
      <c r="F106" s="31">
        <f t="shared" si="2"/>
        <v>14.6</v>
      </c>
      <c r="G106" s="31">
        <f t="shared" ca="1" si="9"/>
        <v>14.6</v>
      </c>
      <c r="H106" s="30">
        <f t="shared" ca="1" si="10"/>
        <v>0</v>
      </c>
      <c r="I106" s="31">
        <f t="shared" ca="1" si="11"/>
        <v>14.6</v>
      </c>
      <c r="Q106" s="80"/>
      <c r="R106" s="42"/>
      <c r="S106" s="90">
        <f t="shared" si="8"/>
        <v>4.7999999999999989</v>
      </c>
      <c r="T106" s="42"/>
      <c r="U106" s="42"/>
      <c r="V106" s="42"/>
      <c r="W106" s="42"/>
      <c r="X106" s="81"/>
    </row>
    <row r="107" spans="2:24" x14ac:dyDescent="0.25">
      <c r="B107" s="2">
        <v>1</v>
      </c>
      <c r="C107" s="1">
        <f t="shared" si="3"/>
        <v>13.705882352941174</v>
      </c>
      <c r="D107" s="1">
        <f t="shared" si="1"/>
        <v>1</v>
      </c>
      <c r="E107" s="1">
        <f t="shared" si="4"/>
        <v>0</v>
      </c>
      <c r="F107" s="31">
        <f t="shared" si="2"/>
        <v>14.6</v>
      </c>
      <c r="G107" s="31">
        <f t="shared" ca="1" si="9"/>
        <v>14.6</v>
      </c>
      <c r="H107" s="30">
        <f t="shared" ca="1" si="10"/>
        <v>0</v>
      </c>
      <c r="I107" s="31">
        <f t="shared" ca="1" si="11"/>
        <v>14.6</v>
      </c>
      <c r="Q107" s="80"/>
      <c r="R107" s="42"/>
      <c r="S107" s="90">
        <f t="shared" si="8"/>
        <v>4.8999999999999986</v>
      </c>
      <c r="T107" s="42"/>
      <c r="U107" s="42"/>
      <c r="V107" s="42"/>
      <c r="W107" s="42"/>
      <c r="X107" s="81"/>
    </row>
    <row r="108" spans="2:24" x14ac:dyDescent="0.25">
      <c r="B108" s="2">
        <v>1</v>
      </c>
      <c r="C108" s="1">
        <f t="shared" si="3"/>
        <v>14.705882352941174</v>
      </c>
      <c r="D108" s="1">
        <f t="shared" si="1"/>
        <v>1</v>
      </c>
      <c r="E108" s="1">
        <f t="shared" si="4"/>
        <v>0</v>
      </c>
      <c r="F108" s="31">
        <f t="shared" si="2"/>
        <v>14.6</v>
      </c>
      <c r="G108" s="31">
        <f t="shared" ca="1" si="9"/>
        <v>14.6</v>
      </c>
      <c r="H108" s="30">
        <f t="shared" ca="1" si="10"/>
        <v>0</v>
      </c>
      <c r="I108" s="31">
        <f t="shared" ca="1" si="11"/>
        <v>14.6</v>
      </c>
      <c r="Q108" s="80"/>
      <c r="R108" s="42"/>
      <c r="S108" s="90">
        <f t="shared" si="8"/>
        <v>4.9999999999999982</v>
      </c>
      <c r="T108" s="42"/>
      <c r="U108" s="42"/>
      <c r="V108" s="42"/>
      <c r="W108" s="42"/>
      <c r="X108" s="81"/>
    </row>
    <row r="109" spans="2:24" x14ac:dyDescent="0.25">
      <c r="B109" s="2">
        <v>1</v>
      </c>
      <c r="C109" s="1">
        <f t="shared" si="3"/>
        <v>15.705882352941174</v>
      </c>
      <c r="D109" s="1">
        <f t="shared" si="1"/>
        <v>1</v>
      </c>
      <c r="E109" s="1">
        <f t="shared" si="4"/>
        <v>0</v>
      </c>
      <c r="F109" s="31">
        <f t="shared" si="2"/>
        <v>14.6</v>
      </c>
      <c r="G109" s="31">
        <f t="shared" ca="1" si="9"/>
        <v>14.6</v>
      </c>
      <c r="H109" s="30">
        <f t="shared" ca="1" si="10"/>
        <v>0</v>
      </c>
      <c r="I109" s="31">
        <f t="shared" ca="1" si="11"/>
        <v>14.6</v>
      </c>
      <c r="Q109" s="80"/>
      <c r="R109" s="42"/>
      <c r="S109" s="90">
        <f t="shared" si="8"/>
        <v>5.0999999999999979</v>
      </c>
      <c r="T109" s="42"/>
      <c r="U109" s="42"/>
      <c r="V109" s="42"/>
      <c r="W109" s="42"/>
      <c r="X109" s="81"/>
    </row>
    <row r="110" spans="2:24" x14ac:dyDescent="0.25">
      <c r="B110" s="2">
        <v>1</v>
      </c>
      <c r="C110" s="1">
        <f t="shared" si="3"/>
        <v>16.705882352941174</v>
      </c>
      <c r="D110" s="1">
        <f t="shared" si="1"/>
        <v>1</v>
      </c>
      <c r="E110" s="1">
        <f t="shared" si="4"/>
        <v>0</v>
      </c>
      <c r="F110" s="31">
        <f t="shared" si="2"/>
        <v>14.6</v>
      </c>
      <c r="G110" s="31">
        <f t="shared" ca="1" si="9"/>
        <v>14.6</v>
      </c>
      <c r="H110" s="30">
        <f t="shared" ca="1" si="10"/>
        <v>0</v>
      </c>
      <c r="I110" s="31">
        <f t="shared" ca="1" si="11"/>
        <v>14.6</v>
      </c>
      <c r="Q110" s="80"/>
      <c r="R110" s="42"/>
      <c r="S110" s="90">
        <f t="shared" si="8"/>
        <v>5.1999999999999975</v>
      </c>
      <c r="T110" s="42"/>
      <c r="U110" s="42"/>
      <c r="V110" s="42"/>
      <c r="W110" s="42"/>
      <c r="X110" s="81"/>
    </row>
    <row r="111" spans="2:24" x14ac:dyDescent="0.25">
      <c r="B111" s="2">
        <v>1</v>
      </c>
      <c r="C111" s="1">
        <f t="shared" si="3"/>
        <v>17.705882352941174</v>
      </c>
      <c r="D111" s="1">
        <f t="shared" si="1"/>
        <v>1</v>
      </c>
      <c r="E111" s="1">
        <f t="shared" si="4"/>
        <v>0</v>
      </c>
      <c r="F111" s="31">
        <f t="shared" si="2"/>
        <v>14.6</v>
      </c>
      <c r="G111" s="31">
        <f t="shared" ca="1" si="9"/>
        <v>14.6</v>
      </c>
      <c r="H111" s="30">
        <f t="shared" ca="1" si="10"/>
        <v>0</v>
      </c>
      <c r="I111" s="31">
        <f t="shared" ca="1" si="11"/>
        <v>14.6</v>
      </c>
      <c r="Q111" s="80"/>
      <c r="R111" s="42"/>
      <c r="S111" s="90">
        <f t="shared" si="8"/>
        <v>5.2999999999999972</v>
      </c>
      <c r="T111" s="42"/>
      <c r="U111" s="42"/>
      <c r="V111" s="42"/>
      <c r="W111" s="42"/>
      <c r="X111" s="81"/>
    </row>
    <row r="112" spans="2:24" x14ac:dyDescent="0.25">
      <c r="B112" s="2">
        <v>1</v>
      </c>
      <c r="C112" s="1">
        <f t="shared" si="3"/>
        <v>18.705882352941174</v>
      </c>
      <c r="D112" s="1">
        <f t="shared" si="1"/>
        <v>1</v>
      </c>
      <c r="E112" s="1">
        <f t="shared" si="4"/>
        <v>0</v>
      </c>
      <c r="F112" s="31">
        <f t="shared" si="2"/>
        <v>14.6</v>
      </c>
      <c r="G112" s="31">
        <f t="shared" ca="1" si="9"/>
        <v>14.6</v>
      </c>
      <c r="H112" s="30">
        <f t="shared" ca="1" si="10"/>
        <v>0</v>
      </c>
      <c r="I112" s="31">
        <f t="shared" ca="1" si="11"/>
        <v>14.6</v>
      </c>
      <c r="Q112" s="80"/>
      <c r="R112" s="42"/>
      <c r="S112" s="90">
        <f t="shared" si="8"/>
        <v>5.3999999999999968</v>
      </c>
      <c r="T112" s="42"/>
      <c r="U112" s="42"/>
      <c r="V112" s="42"/>
      <c r="W112" s="42"/>
      <c r="X112" s="81"/>
    </row>
    <row r="113" spans="2:24" x14ac:dyDescent="0.25">
      <c r="B113" s="2">
        <v>1</v>
      </c>
      <c r="C113" s="1">
        <f t="shared" si="3"/>
        <v>19.705882352941174</v>
      </c>
      <c r="D113" s="1">
        <f t="shared" si="1"/>
        <v>1</v>
      </c>
      <c r="E113" s="1">
        <f t="shared" si="4"/>
        <v>0</v>
      </c>
      <c r="F113" s="31">
        <f t="shared" si="2"/>
        <v>14.6</v>
      </c>
      <c r="G113" s="31">
        <f t="shared" ca="1" si="9"/>
        <v>14.6</v>
      </c>
      <c r="H113" s="30">
        <f t="shared" ca="1" si="10"/>
        <v>0</v>
      </c>
      <c r="I113" s="31">
        <f t="shared" ca="1" si="11"/>
        <v>14.6</v>
      </c>
      <c r="Q113" s="80"/>
      <c r="R113" s="42"/>
      <c r="S113" s="90">
        <f t="shared" si="8"/>
        <v>5.4999999999999964</v>
      </c>
      <c r="T113" s="42"/>
      <c r="U113" s="42"/>
      <c r="V113" s="42"/>
      <c r="W113" s="42"/>
      <c r="X113" s="81"/>
    </row>
    <row r="114" spans="2:24" x14ac:dyDescent="0.25">
      <c r="B114" s="2">
        <v>1</v>
      </c>
      <c r="C114" s="1">
        <f t="shared" si="3"/>
        <v>20.705882352941174</v>
      </c>
      <c r="D114" s="1">
        <f t="shared" si="1"/>
        <v>1</v>
      </c>
      <c r="E114" s="1">
        <f t="shared" si="4"/>
        <v>0</v>
      </c>
      <c r="F114" s="31">
        <f t="shared" si="2"/>
        <v>14.6</v>
      </c>
      <c r="G114" s="31">
        <f t="shared" ca="1" si="9"/>
        <v>14.6</v>
      </c>
      <c r="H114" s="30">
        <f t="shared" ca="1" si="10"/>
        <v>0</v>
      </c>
      <c r="I114" s="31">
        <f t="shared" ca="1" si="11"/>
        <v>14.6</v>
      </c>
      <c r="Q114" s="80"/>
      <c r="R114" s="42"/>
      <c r="S114" s="90">
        <f t="shared" si="8"/>
        <v>5.5999999999999961</v>
      </c>
      <c r="T114" s="42"/>
      <c r="U114" s="42"/>
      <c r="V114" s="42"/>
      <c r="W114" s="42"/>
      <c r="X114" s="81"/>
    </row>
    <row r="115" spans="2:24" x14ac:dyDescent="0.25">
      <c r="B115" s="2">
        <v>1</v>
      </c>
      <c r="C115" s="1">
        <f t="shared" si="3"/>
        <v>21.705882352941174</v>
      </c>
      <c r="D115" s="1">
        <f t="shared" si="1"/>
        <v>1</v>
      </c>
      <c r="E115" s="1">
        <f t="shared" si="4"/>
        <v>0</v>
      </c>
      <c r="F115" s="31">
        <f t="shared" si="2"/>
        <v>14.6</v>
      </c>
      <c r="G115" s="31">
        <f t="shared" ca="1" si="9"/>
        <v>14.6</v>
      </c>
      <c r="H115" s="30">
        <f t="shared" ca="1" si="10"/>
        <v>0</v>
      </c>
      <c r="I115" s="31">
        <f t="shared" ca="1" si="11"/>
        <v>14.6</v>
      </c>
      <c r="Q115" s="80"/>
      <c r="R115" s="42"/>
      <c r="S115" s="90">
        <f t="shared" si="8"/>
        <v>5.6999999999999957</v>
      </c>
      <c r="T115" s="42"/>
      <c r="U115" s="42"/>
      <c r="V115" s="42"/>
      <c r="W115" s="42"/>
      <c r="X115" s="81"/>
    </row>
    <row r="116" spans="2:24" x14ac:dyDescent="0.25">
      <c r="B116" s="2">
        <v>1</v>
      </c>
      <c r="C116" s="1">
        <f t="shared" si="3"/>
        <v>22.705882352941174</v>
      </c>
      <c r="D116" s="1">
        <f t="shared" si="1"/>
        <v>1</v>
      </c>
      <c r="E116" s="1">
        <f t="shared" si="4"/>
        <v>0</v>
      </c>
      <c r="F116" s="31">
        <f t="shared" si="2"/>
        <v>14.6</v>
      </c>
      <c r="G116" s="31">
        <f t="shared" ca="1" si="9"/>
        <v>14.6</v>
      </c>
      <c r="H116" s="30">
        <f t="shared" ca="1" si="10"/>
        <v>0</v>
      </c>
      <c r="I116" s="31">
        <f t="shared" ca="1" si="11"/>
        <v>14.6</v>
      </c>
      <c r="Q116" s="80"/>
      <c r="R116" s="42"/>
      <c r="S116" s="90">
        <f t="shared" si="8"/>
        <v>5.7999999999999954</v>
      </c>
      <c r="T116" s="42"/>
      <c r="U116" s="42"/>
      <c r="V116" s="42"/>
      <c r="W116" s="42"/>
      <c r="X116" s="81"/>
    </row>
    <row r="117" spans="2:24" x14ac:dyDescent="0.25">
      <c r="B117" s="2">
        <v>1</v>
      </c>
      <c r="C117" s="1">
        <f t="shared" si="3"/>
        <v>23.705882352941174</v>
      </c>
      <c r="D117" s="1">
        <f t="shared" si="1"/>
        <v>0</v>
      </c>
      <c r="E117" s="1">
        <f t="shared" si="4"/>
        <v>1</v>
      </c>
      <c r="F117" s="31">
        <f t="shared" si="2"/>
        <v>6.4</v>
      </c>
      <c r="G117" s="31">
        <f t="shared" ca="1" si="9"/>
        <v>0</v>
      </c>
      <c r="H117" s="30">
        <f t="shared" ca="1" si="10"/>
        <v>14.6</v>
      </c>
      <c r="I117" s="31">
        <f t="shared" ca="1" si="11"/>
        <v>14.6</v>
      </c>
      <c r="Q117" s="80"/>
      <c r="R117" s="42"/>
      <c r="S117" s="90">
        <f t="shared" si="8"/>
        <v>5.899999999999995</v>
      </c>
      <c r="T117" s="42"/>
      <c r="U117" s="42"/>
      <c r="V117" s="42"/>
      <c r="W117" s="42"/>
      <c r="X117" s="81"/>
    </row>
    <row r="118" spans="2:24" x14ac:dyDescent="0.25">
      <c r="B118" s="2">
        <v>1</v>
      </c>
      <c r="C118" s="1">
        <f t="shared" si="3"/>
        <v>24.705882352941174</v>
      </c>
      <c r="D118" s="1">
        <f t="shared" si="1"/>
        <v>0</v>
      </c>
      <c r="E118" s="1">
        <f t="shared" si="4"/>
        <v>1</v>
      </c>
      <c r="F118" s="31">
        <f t="shared" si="2"/>
        <v>6.4</v>
      </c>
      <c r="G118" s="31">
        <f t="shared" ca="1" si="9"/>
        <v>0</v>
      </c>
      <c r="H118" s="30">
        <f t="shared" ca="1" si="10"/>
        <v>6.4</v>
      </c>
      <c r="I118" s="31">
        <f t="shared" ca="1" si="11"/>
        <v>6.4</v>
      </c>
      <c r="Q118" s="80"/>
      <c r="R118" s="42"/>
      <c r="S118" s="90">
        <f t="shared" si="8"/>
        <v>5.9999999999999947</v>
      </c>
      <c r="T118" s="42"/>
      <c r="U118" s="42"/>
      <c r="V118" s="42"/>
      <c r="W118" s="42"/>
      <c r="X118" s="81"/>
    </row>
    <row r="119" spans="2:24" x14ac:dyDescent="0.25">
      <c r="B119" s="2">
        <v>1</v>
      </c>
      <c r="C119" s="1">
        <f t="shared" si="3"/>
        <v>25.705882352941174</v>
      </c>
      <c r="D119" s="1">
        <f t="shared" si="1"/>
        <v>0</v>
      </c>
      <c r="E119" s="1">
        <f t="shared" si="4"/>
        <v>1</v>
      </c>
      <c r="F119" s="31">
        <f t="shared" si="2"/>
        <v>6.4</v>
      </c>
      <c r="G119" s="31">
        <f t="shared" ca="1" si="9"/>
        <v>0</v>
      </c>
      <c r="H119" s="30">
        <f t="shared" ca="1" si="10"/>
        <v>6.4</v>
      </c>
      <c r="I119" s="31">
        <f t="shared" ca="1" si="11"/>
        <v>6.4</v>
      </c>
      <c r="Q119" s="80"/>
      <c r="R119" s="42"/>
      <c r="S119" s="90">
        <f t="shared" si="8"/>
        <v>6.0999999999999943</v>
      </c>
      <c r="T119" s="42"/>
      <c r="U119" s="42"/>
      <c r="V119" s="42"/>
      <c r="W119" s="42"/>
      <c r="X119" s="81"/>
    </row>
    <row r="120" spans="2:24" x14ac:dyDescent="0.25">
      <c r="B120" s="2">
        <v>1</v>
      </c>
      <c r="C120" s="1">
        <f t="shared" si="3"/>
        <v>26.705882352941174</v>
      </c>
      <c r="D120" s="1">
        <f t="shared" si="1"/>
        <v>0</v>
      </c>
      <c r="E120" s="1">
        <f t="shared" si="4"/>
        <v>1</v>
      </c>
      <c r="F120" s="31">
        <f t="shared" si="2"/>
        <v>6.4</v>
      </c>
      <c r="G120" s="31">
        <f t="shared" ca="1" si="9"/>
        <v>0</v>
      </c>
      <c r="H120" s="30">
        <f t="shared" ca="1" si="10"/>
        <v>6.4</v>
      </c>
      <c r="I120" s="31">
        <f t="shared" ca="1" si="11"/>
        <v>6.4</v>
      </c>
      <c r="Q120" s="80"/>
      <c r="R120" s="42"/>
      <c r="S120" s="90">
        <f t="shared" si="8"/>
        <v>6.199999999999994</v>
      </c>
      <c r="T120" s="42"/>
      <c r="U120" s="42"/>
      <c r="V120" s="42"/>
      <c r="W120" s="42"/>
      <c r="X120" s="81"/>
    </row>
    <row r="121" spans="2:24" x14ac:dyDescent="0.25">
      <c r="B121" s="2">
        <v>1</v>
      </c>
      <c r="C121" s="1">
        <f t="shared" si="3"/>
        <v>27.705882352941174</v>
      </c>
      <c r="D121" s="1">
        <f t="shared" si="1"/>
        <v>0</v>
      </c>
      <c r="E121" s="1">
        <f t="shared" si="4"/>
        <v>1</v>
      </c>
      <c r="F121" s="31">
        <f t="shared" si="2"/>
        <v>6.4</v>
      </c>
      <c r="G121" s="31">
        <f t="shared" ca="1" si="9"/>
        <v>0</v>
      </c>
      <c r="H121" s="30">
        <f t="shared" ca="1" si="10"/>
        <v>6.4</v>
      </c>
      <c r="I121" s="31">
        <f t="shared" ca="1" si="11"/>
        <v>6.4</v>
      </c>
      <c r="Q121" s="80"/>
      <c r="R121" s="42"/>
      <c r="S121" s="90">
        <f t="shared" si="8"/>
        <v>6.2999999999999936</v>
      </c>
      <c r="T121" s="42"/>
      <c r="U121" s="42"/>
      <c r="V121" s="42"/>
      <c r="W121" s="42"/>
      <c r="X121" s="81"/>
    </row>
    <row r="122" spans="2:24" x14ac:dyDescent="0.25">
      <c r="B122" s="2">
        <v>1</v>
      </c>
      <c r="C122" s="1">
        <f t="shared" si="3"/>
        <v>28.705882352941174</v>
      </c>
      <c r="D122" s="1">
        <f t="shared" ref="D122:D185" si="12">IF(C122&lt;=Inhelation_Time_RT,1,0)</f>
        <v>0</v>
      </c>
      <c r="E122" s="1">
        <f t="shared" si="4"/>
        <v>1</v>
      </c>
      <c r="F122" s="31">
        <f t="shared" ref="F122:F185" si="13">(D122*Inspiratory_pressure_level) + (E122*PEEP)</f>
        <v>6.4</v>
      </c>
      <c r="G122" s="31">
        <f t="shared" ca="1" si="9"/>
        <v>0</v>
      </c>
      <c r="H122" s="30">
        <f t="shared" ca="1" si="10"/>
        <v>6.4</v>
      </c>
      <c r="I122" s="31">
        <f t="shared" ca="1" si="11"/>
        <v>6.4</v>
      </c>
      <c r="Q122" s="80"/>
      <c r="R122" s="42"/>
      <c r="S122" s="90">
        <f t="shared" si="8"/>
        <v>6.3999999999999932</v>
      </c>
      <c r="T122" s="42"/>
      <c r="U122" s="42"/>
      <c r="V122" s="42"/>
      <c r="W122" s="42"/>
      <c r="X122" s="81"/>
    </row>
    <row r="123" spans="2:24" x14ac:dyDescent="0.25">
      <c r="B123" s="2">
        <v>1</v>
      </c>
      <c r="C123" s="1">
        <f t="shared" ref="C123:C186" si="14">MOD(C122+B123,time_for_breath_RT)</f>
        <v>29.705882352941174</v>
      </c>
      <c r="D123" s="1">
        <f t="shared" si="12"/>
        <v>0</v>
      </c>
      <c r="E123" s="1">
        <f t="shared" ref="E123:E186" si="15">IF(D123=1,0,1)</f>
        <v>1</v>
      </c>
      <c r="F123" s="31">
        <f t="shared" si="13"/>
        <v>6.4</v>
      </c>
      <c r="G123" s="31">
        <f t="shared" ca="1" si="9"/>
        <v>0</v>
      </c>
      <c r="H123" s="30">
        <f t="shared" ca="1" si="10"/>
        <v>6.4</v>
      </c>
      <c r="I123" s="31">
        <f t="shared" ca="1" si="11"/>
        <v>6.4</v>
      </c>
      <c r="Q123" s="80"/>
      <c r="R123" s="42"/>
      <c r="S123" s="90">
        <f t="shared" ref="S123:S186" si="16">S122+(B122 / RTC_to_seconds)</f>
        <v>6.4999999999999929</v>
      </c>
      <c r="T123" s="42"/>
      <c r="U123" s="42"/>
      <c r="V123" s="42"/>
      <c r="W123" s="42"/>
      <c r="X123" s="81"/>
    </row>
    <row r="124" spans="2:24" x14ac:dyDescent="0.25">
      <c r="B124" s="2">
        <v>1</v>
      </c>
      <c r="C124" s="1">
        <f t="shared" si="14"/>
        <v>30.705882352941174</v>
      </c>
      <c r="D124" s="1">
        <f t="shared" si="12"/>
        <v>0</v>
      </c>
      <c r="E124" s="1">
        <f t="shared" si="15"/>
        <v>1</v>
      </c>
      <c r="F124" s="31">
        <f t="shared" si="13"/>
        <v>6.4</v>
      </c>
      <c r="G124" s="31">
        <f t="shared" ca="1" si="9"/>
        <v>0</v>
      </c>
      <c r="H124" s="30">
        <f t="shared" ca="1" si="10"/>
        <v>6.4</v>
      </c>
      <c r="I124" s="31">
        <f t="shared" ca="1" si="11"/>
        <v>6.4</v>
      </c>
      <c r="Q124" s="80"/>
      <c r="R124" s="42"/>
      <c r="S124" s="90">
        <f t="shared" si="16"/>
        <v>6.5999999999999925</v>
      </c>
      <c r="T124" s="42"/>
      <c r="U124" s="42"/>
      <c r="V124" s="42"/>
      <c r="W124" s="42"/>
      <c r="X124" s="81"/>
    </row>
    <row r="125" spans="2:24" x14ac:dyDescent="0.25">
      <c r="B125" s="2">
        <v>1</v>
      </c>
      <c r="C125" s="1">
        <f t="shared" si="14"/>
        <v>31.705882352941174</v>
      </c>
      <c r="D125" s="1">
        <f t="shared" si="12"/>
        <v>0</v>
      </c>
      <c r="E125" s="1">
        <f t="shared" si="15"/>
        <v>1</v>
      </c>
      <c r="F125" s="31">
        <f t="shared" si="13"/>
        <v>6.4</v>
      </c>
      <c r="G125" s="31">
        <f t="shared" ca="1" si="9"/>
        <v>0</v>
      </c>
      <c r="H125" s="30">
        <f t="shared" ca="1" si="10"/>
        <v>6.4</v>
      </c>
      <c r="I125" s="31">
        <f t="shared" ca="1" si="11"/>
        <v>6.4</v>
      </c>
      <c r="Q125" s="80"/>
      <c r="R125" s="42"/>
      <c r="S125" s="90">
        <f t="shared" si="16"/>
        <v>6.6999999999999922</v>
      </c>
      <c r="T125" s="42"/>
      <c r="U125" s="42"/>
      <c r="V125" s="42"/>
      <c r="W125" s="42"/>
      <c r="X125" s="81"/>
    </row>
    <row r="126" spans="2:24" x14ac:dyDescent="0.25">
      <c r="B126" s="2">
        <v>1</v>
      </c>
      <c r="C126" s="1">
        <f t="shared" si="14"/>
        <v>32.705882352941174</v>
      </c>
      <c r="D126" s="1">
        <f t="shared" si="12"/>
        <v>0</v>
      </c>
      <c r="E126" s="1">
        <f t="shared" si="15"/>
        <v>1</v>
      </c>
      <c r="F126" s="31">
        <f t="shared" si="13"/>
        <v>6.4</v>
      </c>
      <c r="G126" s="31">
        <f t="shared" ca="1" si="9"/>
        <v>0</v>
      </c>
      <c r="H126" s="30">
        <f t="shared" ca="1" si="10"/>
        <v>6.4</v>
      </c>
      <c r="I126" s="31">
        <f t="shared" ca="1" si="11"/>
        <v>6.4</v>
      </c>
      <c r="Q126" s="80"/>
      <c r="R126" s="42"/>
      <c r="S126" s="90">
        <f t="shared" si="16"/>
        <v>6.7999999999999918</v>
      </c>
      <c r="T126" s="42"/>
      <c r="U126" s="42"/>
      <c r="V126" s="42"/>
      <c r="W126" s="42"/>
      <c r="X126" s="81"/>
    </row>
    <row r="127" spans="2:24" x14ac:dyDescent="0.25">
      <c r="B127" s="2">
        <v>1</v>
      </c>
      <c r="C127" s="1">
        <f t="shared" si="14"/>
        <v>33.705882352941174</v>
      </c>
      <c r="D127" s="1">
        <f t="shared" si="12"/>
        <v>0</v>
      </c>
      <c r="E127" s="1">
        <f t="shared" si="15"/>
        <v>1</v>
      </c>
      <c r="F127" s="31">
        <f t="shared" si="13"/>
        <v>6.4</v>
      </c>
      <c r="G127" s="31">
        <f t="shared" ca="1" si="9"/>
        <v>0</v>
      </c>
      <c r="H127" s="30">
        <f t="shared" ca="1" si="10"/>
        <v>6.4</v>
      </c>
      <c r="I127" s="31">
        <f t="shared" ca="1" si="11"/>
        <v>6.4</v>
      </c>
      <c r="Q127" s="80"/>
      <c r="R127" s="42"/>
      <c r="S127" s="90">
        <f t="shared" si="16"/>
        <v>6.8999999999999915</v>
      </c>
      <c r="T127" s="42"/>
      <c r="U127" s="42"/>
      <c r="V127" s="42"/>
      <c r="W127" s="42"/>
      <c r="X127" s="81"/>
    </row>
    <row r="128" spans="2:24" x14ac:dyDescent="0.25">
      <c r="B128" s="2">
        <v>1</v>
      </c>
      <c r="C128" s="1">
        <f t="shared" si="14"/>
        <v>34.705882352941174</v>
      </c>
      <c r="D128" s="1">
        <f t="shared" si="12"/>
        <v>0</v>
      </c>
      <c r="E128" s="1">
        <f t="shared" si="15"/>
        <v>1</v>
      </c>
      <c r="F128" s="31">
        <f t="shared" si="13"/>
        <v>6.4</v>
      </c>
      <c r="G128" s="31">
        <f t="shared" ca="1" si="9"/>
        <v>0</v>
      </c>
      <c r="H128" s="30">
        <f t="shared" ca="1" si="10"/>
        <v>6.4</v>
      </c>
      <c r="I128" s="31">
        <f t="shared" ca="1" si="11"/>
        <v>6.4</v>
      </c>
      <c r="Q128" s="80"/>
      <c r="R128" s="42"/>
      <c r="S128" s="90">
        <f t="shared" si="16"/>
        <v>6.9999999999999911</v>
      </c>
      <c r="T128" s="42"/>
      <c r="U128" s="42"/>
      <c r="V128" s="42"/>
      <c r="W128" s="42"/>
      <c r="X128" s="81"/>
    </row>
    <row r="129" spans="2:24" x14ac:dyDescent="0.25">
      <c r="B129" s="2">
        <v>1</v>
      </c>
      <c r="C129" s="1">
        <f t="shared" si="14"/>
        <v>0.41176470588234793</v>
      </c>
      <c r="D129" s="1">
        <f t="shared" si="12"/>
        <v>1</v>
      </c>
      <c r="E129" s="1">
        <f t="shared" si="15"/>
        <v>0</v>
      </c>
      <c r="F129" s="31">
        <f t="shared" si="13"/>
        <v>14.6</v>
      </c>
      <c r="G129" s="31">
        <f t="shared" ca="1" si="9"/>
        <v>6.4</v>
      </c>
      <c r="H129" s="30">
        <f t="shared" ca="1" si="10"/>
        <v>0</v>
      </c>
      <c r="I129" s="31">
        <f t="shared" ca="1" si="11"/>
        <v>6.4</v>
      </c>
      <c r="Q129" s="80"/>
      <c r="R129" s="42"/>
      <c r="S129" s="90">
        <f t="shared" si="16"/>
        <v>7.0999999999999908</v>
      </c>
      <c r="T129" s="42"/>
      <c r="U129" s="42"/>
      <c r="V129" s="42"/>
      <c r="W129" s="42"/>
      <c r="X129" s="81"/>
    </row>
    <row r="130" spans="2:24" x14ac:dyDescent="0.25">
      <c r="B130" s="2">
        <v>1</v>
      </c>
      <c r="C130" s="1">
        <f t="shared" si="14"/>
        <v>1.4117647058823479</v>
      </c>
      <c r="D130" s="1">
        <f t="shared" si="12"/>
        <v>1</v>
      </c>
      <c r="E130" s="1">
        <f t="shared" si="15"/>
        <v>0</v>
      </c>
      <c r="F130" s="31">
        <f t="shared" si="13"/>
        <v>14.6</v>
      </c>
      <c r="G130" s="31">
        <f t="shared" ca="1" si="9"/>
        <v>8.4500000000000011</v>
      </c>
      <c r="H130" s="30">
        <f t="shared" ca="1" si="10"/>
        <v>0</v>
      </c>
      <c r="I130" s="31">
        <f t="shared" ca="1" si="11"/>
        <v>8.4500000000000011</v>
      </c>
      <c r="Q130" s="80"/>
      <c r="R130" s="42"/>
      <c r="S130" s="90">
        <f t="shared" si="16"/>
        <v>7.1999999999999904</v>
      </c>
      <c r="T130" s="42"/>
      <c r="U130" s="42"/>
      <c r="V130" s="42"/>
      <c r="W130" s="42"/>
      <c r="X130" s="81"/>
    </row>
    <row r="131" spans="2:24" x14ac:dyDescent="0.25">
      <c r="B131" s="2">
        <v>1</v>
      </c>
      <c r="C131" s="1">
        <f t="shared" si="14"/>
        <v>2.4117647058823479</v>
      </c>
      <c r="D131" s="1">
        <f t="shared" si="12"/>
        <v>1</v>
      </c>
      <c r="E131" s="1">
        <f t="shared" si="15"/>
        <v>0</v>
      </c>
      <c r="F131" s="31">
        <f t="shared" si="13"/>
        <v>14.6</v>
      </c>
      <c r="G131" s="31">
        <f t="shared" ca="1" si="9"/>
        <v>10.5</v>
      </c>
      <c r="H131" s="30">
        <f t="shared" ca="1" si="10"/>
        <v>0</v>
      </c>
      <c r="I131" s="31">
        <f t="shared" ca="1" si="11"/>
        <v>10.5</v>
      </c>
      <c r="Q131" s="80"/>
      <c r="R131" s="42"/>
      <c r="S131" s="90">
        <f t="shared" si="16"/>
        <v>7.2999999999999901</v>
      </c>
      <c r="T131" s="42"/>
      <c r="U131" s="42"/>
      <c r="V131" s="42"/>
      <c r="W131" s="42"/>
      <c r="X131" s="81"/>
    </row>
    <row r="132" spans="2:24" x14ac:dyDescent="0.25">
      <c r="B132" s="2">
        <v>1</v>
      </c>
      <c r="C132" s="1">
        <f t="shared" si="14"/>
        <v>3.4117647058823479</v>
      </c>
      <c r="D132" s="1">
        <f t="shared" si="12"/>
        <v>1</v>
      </c>
      <c r="E132" s="1">
        <f t="shared" si="15"/>
        <v>0</v>
      </c>
      <c r="F132" s="31">
        <f t="shared" si="13"/>
        <v>14.6</v>
      </c>
      <c r="G132" s="31">
        <f t="shared" ca="1" si="9"/>
        <v>12.55</v>
      </c>
      <c r="H132" s="30">
        <f t="shared" ca="1" si="10"/>
        <v>0</v>
      </c>
      <c r="I132" s="31">
        <f t="shared" ca="1" si="11"/>
        <v>12.55</v>
      </c>
      <c r="Q132" s="80"/>
      <c r="R132" s="42"/>
      <c r="S132" s="90">
        <f t="shared" si="16"/>
        <v>7.3999999999999897</v>
      </c>
      <c r="T132" s="42"/>
      <c r="U132" s="42"/>
      <c r="V132" s="42"/>
      <c r="W132" s="42"/>
      <c r="X132" s="81"/>
    </row>
    <row r="133" spans="2:24" x14ac:dyDescent="0.25">
      <c r="B133" s="2">
        <v>1</v>
      </c>
      <c r="C133" s="1">
        <f t="shared" si="14"/>
        <v>4.4117647058823479</v>
      </c>
      <c r="D133" s="1">
        <f t="shared" si="12"/>
        <v>1</v>
      </c>
      <c r="E133" s="1">
        <f t="shared" si="15"/>
        <v>0</v>
      </c>
      <c r="F133" s="31">
        <f t="shared" si="13"/>
        <v>14.6</v>
      </c>
      <c r="G133" s="31">
        <f t="shared" ca="1" si="9"/>
        <v>14.6</v>
      </c>
      <c r="H133" s="30">
        <f t="shared" ca="1" si="10"/>
        <v>0</v>
      </c>
      <c r="I133" s="31">
        <f t="shared" ca="1" si="11"/>
        <v>14.6</v>
      </c>
      <c r="Q133" s="80"/>
      <c r="R133" s="42"/>
      <c r="S133" s="90">
        <f t="shared" si="16"/>
        <v>7.4999999999999893</v>
      </c>
      <c r="T133" s="42"/>
      <c r="U133" s="42"/>
      <c r="V133" s="42"/>
      <c r="W133" s="42"/>
      <c r="X133" s="81"/>
    </row>
    <row r="134" spans="2:24" x14ac:dyDescent="0.25">
      <c r="B134" s="2">
        <v>1</v>
      </c>
      <c r="C134" s="1">
        <f t="shared" si="14"/>
        <v>5.4117647058823479</v>
      </c>
      <c r="D134" s="1">
        <f t="shared" si="12"/>
        <v>1</v>
      </c>
      <c r="E134" s="1">
        <f t="shared" si="15"/>
        <v>0</v>
      </c>
      <c r="F134" s="31">
        <f t="shared" si="13"/>
        <v>14.6</v>
      </c>
      <c r="G134" s="31">
        <f t="shared" ca="1" si="9"/>
        <v>14.6</v>
      </c>
      <c r="H134" s="30">
        <f t="shared" ca="1" si="10"/>
        <v>0</v>
      </c>
      <c r="I134" s="31">
        <f t="shared" ca="1" si="11"/>
        <v>14.6</v>
      </c>
      <c r="Q134" s="80"/>
      <c r="R134" s="42"/>
      <c r="S134" s="90">
        <f t="shared" si="16"/>
        <v>7.599999999999989</v>
      </c>
      <c r="T134" s="42"/>
      <c r="U134" s="42"/>
      <c r="V134" s="42"/>
      <c r="W134" s="42"/>
      <c r="X134" s="81"/>
    </row>
    <row r="135" spans="2:24" x14ac:dyDescent="0.25">
      <c r="B135" s="2">
        <v>1</v>
      </c>
      <c r="C135" s="1">
        <f t="shared" si="14"/>
        <v>6.4117647058823479</v>
      </c>
      <c r="D135" s="1">
        <f t="shared" si="12"/>
        <v>1</v>
      </c>
      <c r="E135" s="1">
        <f t="shared" si="15"/>
        <v>0</v>
      </c>
      <c r="F135" s="31">
        <f t="shared" si="13"/>
        <v>14.6</v>
      </c>
      <c r="G135" s="31">
        <f t="shared" ca="1" si="9"/>
        <v>14.6</v>
      </c>
      <c r="H135" s="30">
        <f t="shared" ca="1" si="10"/>
        <v>0</v>
      </c>
      <c r="I135" s="31">
        <f t="shared" ca="1" si="11"/>
        <v>14.6</v>
      </c>
      <c r="Q135" s="80"/>
      <c r="R135" s="42"/>
      <c r="S135" s="90">
        <f t="shared" si="16"/>
        <v>7.6999999999999886</v>
      </c>
      <c r="T135" s="42"/>
      <c r="U135" s="42"/>
      <c r="V135" s="42"/>
      <c r="W135" s="42"/>
      <c r="X135" s="81"/>
    </row>
    <row r="136" spans="2:24" x14ac:dyDescent="0.25">
      <c r="B136" s="2">
        <v>1</v>
      </c>
      <c r="C136" s="1">
        <f t="shared" si="14"/>
        <v>7.4117647058823479</v>
      </c>
      <c r="D136" s="1">
        <f t="shared" si="12"/>
        <v>1</v>
      </c>
      <c r="E136" s="1">
        <f t="shared" si="15"/>
        <v>0</v>
      </c>
      <c r="F136" s="31">
        <f t="shared" si="13"/>
        <v>14.6</v>
      </c>
      <c r="G136" s="31">
        <f t="shared" ca="1" si="9"/>
        <v>14.6</v>
      </c>
      <c r="H136" s="30">
        <f t="shared" ca="1" si="10"/>
        <v>0</v>
      </c>
      <c r="I136" s="31">
        <f t="shared" ca="1" si="11"/>
        <v>14.6</v>
      </c>
      <c r="Q136" s="80"/>
      <c r="R136" s="42"/>
      <c r="S136" s="90">
        <f t="shared" si="16"/>
        <v>7.7999999999999883</v>
      </c>
      <c r="T136" s="42"/>
      <c r="U136" s="42"/>
      <c r="V136" s="42"/>
      <c r="W136" s="42"/>
      <c r="X136" s="81"/>
    </row>
    <row r="137" spans="2:24" x14ac:dyDescent="0.25">
      <c r="B137" s="2">
        <v>1</v>
      </c>
      <c r="C137" s="1">
        <f t="shared" si="14"/>
        <v>8.4117647058823479</v>
      </c>
      <c r="D137" s="1">
        <f t="shared" si="12"/>
        <v>1</v>
      </c>
      <c r="E137" s="1">
        <f t="shared" si="15"/>
        <v>0</v>
      </c>
      <c r="F137" s="31">
        <f t="shared" si="13"/>
        <v>14.6</v>
      </c>
      <c r="G137" s="31">
        <f t="shared" ca="1" si="9"/>
        <v>14.6</v>
      </c>
      <c r="H137" s="30">
        <f t="shared" ca="1" si="10"/>
        <v>0</v>
      </c>
      <c r="I137" s="31">
        <f t="shared" ca="1" si="11"/>
        <v>14.6</v>
      </c>
      <c r="Q137" s="80"/>
      <c r="R137" s="42"/>
      <c r="S137" s="90">
        <f t="shared" si="16"/>
        <v>7.8999999999999879</v>
      </c>
      <c r="T137" s="42"/>
      <c r="U137" s="42"/>
      <c r="V137" s="42"/>
      <c r="W137" s="42"/>
      <c r="X137" s="81"/>
    </row>
    <row r="138" spans="2:24" x14ac:dyDescent="0.25">
      <c r="B138" s="2">
        <v>1</v>
      </c>
      <c r="C138" s="1">
        <f t="shared" si="14"/>
        <v>9.4117647058823479</v>
      </c>
      <c r="D138" s="1">
        <f t="shared" si="12"/>
        <v>1</v>
      </c>
      <c r="E138" s="1">
        <f t="shared" si="15"/>
        <v>0</v>
      </c>
      <c r="F138" s="31">
        <f t="shared" si="13"/>
        <v>14.6</v>
      </c>
      <c r="G138" s="31">
        <f t="shared" ca="1" si="9"/>
        <v>14.6</v>
      </c>
      <c r="H138" s="30">
        <f t="shared" ca="1" si="10"/>
        <v>0</v>
      </c>
      <c r="I138" s="31">
        <f t="shared" ca="1" si="11"/>
        <v>14.6</v>
      </c>
      <c r="Q138" s="80"/>
      <c r="R138" s="42"/>
      <c r="S138" s="90">
        <f t="shared" si="16"/>
        <v>7.9999999999999876</v>
      </c>
      <c r="T138" s="42"/>
      <c r="U138" s="42"/>
      <c r="V138" s="42"/>
      <c r="W138" s="42"/>
      <c r="X138" s="81"/>
    </row>
    <row r="139" spans="2:24" x14ac:dyDescent="0.25">
      <c r="B139" s="2">
        <v>1</v>
      </c>
      <c r="C139" s="1">
        <f t="shared" si="14"/>
        <v>10.411764705882348</v>
      </c>
      <c r="D139" s="1">
        <f t="shared" si="12"/>
        <v>1</v>
      </c>
      <c r="E139" s="1">
        <f t="shared" si="15"/>
        <v>0</v>
      </c>
      <c r="F139" s="31">
        <f t="shared" si="13"/>
        <v>14.6</v>
      </c>
      <c r="G139" s="31">
        <f t="shared" ref="G139:G202" ca="1" si="17">IF(D139=1, AVERAGE(OFFSET(F139,-$L$27,0,$L$27,1)),0)</f>
        <v>14.6</v>
      </c>
      <c r="H139" s="30">
        <f t="shared" ref="H139:H202" ca="1" si="18">IF(D139=0, AVERAGE(OFFSET(F139,-$L$28,0,$L$28,1)),0)</f>
        <v>0</v>
      </c>
      <c r="I139" s="31">
        <f t="shared" ref="I139:I202" ca="1" si="19">G139+H139</f>
        <v>14.6</v>
      </c>
      <c r="Q139" s="80"/>
      <c r="R139" s="42"/>
      <c r="S139" s="90">
        <f t="shared" si="16"/>
        <v>8.0999999999999872</v>
      </c>
      <c r="T139" s="42"/>
      <c r="U139" s="42"/>
      <c r="V139" s="42"/>
      <c r="W139" s="42"/>
      <c r="X139" s="81"/>
    </row>
    <row r="140" spans="2:24" x14ac:dyDescent="0.25">
      <c r="B140" s="2">
        <v>1</v>
      </c>
      <c r="C140" s="1">
        <f t="shared" si="14"/>
        <v>11.411764705882348</v>
      </c>
      <c r="D140" s="1">
        <f t="shared" si="12"/>
        <v>1</v>
      </c>
      <c r="E140" s="1">
        <f t="shared" si="15"/>
        <v>0</v>
      </c>
      <c r="F140" s="31">
        <f t="shared" si="13"/>
        <v>14.6</v>
      </c>
      <c r="G140" s="31">
        <f t="shared" ca="1" si="17"/>
        <v>14.6</v>
      </c>
      <c r="H140" s="30">
        <f t="shared" ca="1" si="18"/>
        <v>0</v>
      </c>
      <c r="I140" s="31">
        <f t="shared" ca="1" si="19"/>
        <v>14.6</v>
      </c>
      <c r="Q140" s="80"/>
      <c r="R140" s="42"/>
      <c r="S140" s="90">
        <f t="shared" si="16"/>
        <v>8.1999999999999869</v>
      </c>
      <c r="T140" s="42"/>
      <c r="U140" s="42"/>
      <c r="V140" s="42"/>
      <c r="W140" s="42"/>
      <c r="X140" s="81"/>
    </row>
    <row r="141" spans="2:24" x14ac:dyDescent="0.25">
      <c r="B141" s="2">
        <v>1</v>
      </c>
      <c r="C141" s="1">
        <f t="shared" si="14"/>
        <v>12.411764705882348</v>
      </c>
      <c r="D141" s="1">
        <f t="shared" si="12"/>
        <v>1</v>
      </c>
      <c r="E141" s="1">
        <f t="shared" si="15"/>
        <v>0</v>
      </c>
      <c r="F141" s="31">
        <f t="shared" si="13"/>
        <v>14.6</v>
      </c>
      <c r="G141" s="31">
        <f t="shared" ca="1" si="17"/>
        <v>14.6</v>
      </c>
      <c r="H141" s="30">
        <f t="shared" ca="1" si="18"/>
        <v>0</v>
      </c>
      <c r="I141" s="31">
        <f t="shared" ca="1" si="19"/>
        <v>14.6</v>
      </c>
      <c r="Q141" s="80"/>
      <c r="R141" s="42"/>
      <c r="S141" s="90">
        <f t="shared" si="16"/>
        <v>8.2999999999999865</v>
      </c>
      <c r="T141" s="42"/>
      <c r="U141" s="42"/>
      <c r="V141" s="42"/>
      <c r="W141" s="42"/>
      <c r="X141" s="81"/>
    </row>
    <row r="142" spans="2:24" x14ac:dyDescent="0.25">
      <c r="B142" s="2">
        <v>1</v>
      </c>
      <c r="C142" s="1">
        <f t="shared" si="14"/>
        <v>13.411764705882348</v>
      </c>
      <c r="D142" s="1">
        <f t="shared" si="12"/>
        <v>1</v>
      </c>
      <c r="E142" s="1">
        <f t="shared" si="15"/>
        <v>0</v>
      </c>
      <c r="F142" s="31">
        <f t="shared" si="13"/>
        <v>14.6</v>
      </c>
      <c r="G142" s="31">
        <f t="shared" ca="1" si="17"/>
        <v>14.6</v>
      </c>
      <c r="H142" s="30">
        <f t="shared" ca="1" si="18"/>
        <v>0</v>
      </c>
      <c r="I142" s="31">
        <f t="shared" ca="1" si="19"/>
        <v>14.6</v>
      </c>
      <c r="Q142" s="80"/>
      <c r="R142" s="42"/>
      <c r="S142" s="90">
        <f t="shared" si="16"/>
        <v>8.3999999999999861</v>
      </c>
      <c r="T142" s="42"/>
      <c r="U142" s="42"/>
      <c r="V142" s="42"/>
      <c r="W142" s="42"/>
      <c r="X142" s="81"/>
    </row>
    <row r="143" spans="2:24" x14ac:dyDescent="0.25">
      <c r="B143" s="2">
        <v>1</v>
      </c>
      <c r="C143" s="1">
        <f t="shared" si="14"/>
        <v>14.411764705882348</v>
      </c>
      <c r="D143" s="1">
        <f t="shared" si="12"/>
        <v>1</v>
      </c>
      <c r="E143" s="1">
        <f t="shared" si="15"/>
        <v>0</v>
      </c>
      <c r="F143" s="31">
        <f t="shared" si="13"/>
        <v>14.6</v>
      </c>
      <c r="G143" s="31">
        <f t="shared" ca="1" si="17"/>
        <v>14.6</v>
      </c>
      <c r="H143" s="30">
        <f t="shared" ca="1" si="18"/>
        <v>0</v>
      </c>
      <c r="I143" s="31">
        <f t="shared" ca="1" si="19"/>
        <v>14.6</v>
      </c>
      <c r="Q143" s="80"/>
      <c r="R143" s="42"/>
      <c r="S143" s="90">
        <f t="shared" si="16"/>
        <v>8.4999999999999858</v>
      </c>
      <c r="T143" s="42"/>
      <c r="U143" s="42"/>
      <c r="V143" s="42"/>
      <c r="W143" s="42"/>
      <c r="X143" s="81"/>
    </row>
    <row r="144" spans="2:24" x14ac:dyDescent="0.25">
      <c r="B144" s="2">
        <v>1</v>
      </c>
      <c r="C144" s="1">
        <f t="shared" si="14"/>
        <v>15.411764705882348</v>
      </c>
      <c r="D144" s="1">
        <f t="shared" si="12"/>
        <v>1</v>
      </c>
      <c r="E144" s="1">
        <f t="shared" si="15"/>
        <v>0</v>
      </c>
      <c r="F144" s="31">
        <f t="shared" si="13"/>
        <v>14.6</v>
      </c>
      <c r="G144" s="31">
        <f t="shared" ca="1" si="17"/>
        <v>14.6</v>
      </c>
      <c r="H144" s="30">
        <f t="shared" ca="1" si="18"/>
        <v>0</v>
      </c>
      <c r="I144" s="31">
        <f t="shared" ca="1" si="19"/>
        <v>14.6</v>
      </c>
      <c r="Q144" s="80"/>
      <c r="R144" s="42"/>
      <c r="S144" s="90">
        <f t="shared" si="16"/>
        <v>8.5999999999999854</v>
      </c>
      <c r="T144" s="42"/>
      <c r="U144" s="42"/>
      <c r="V144" s="42"/>
      <c r="W144" s="42"/>
      <c r="X144" s="81"/>
    </row>
    <row r="145" spans="2:24" x14ac:dyDescent="0.25">
      <c r="B145" s="2">
        <v>1</v>
      </c>
      <c r="C145" s="1">
        <f t="shared" si="14"/>
        <v>16.411764705882348</v>
      </c>
      <c r="D145" s="1">
        <f t="shared" si="12"/>
        <v>1</v>
      </c>
      <c r="E145" s="1">
        <f t="shared" si="15"/>
        <v>0</v>
      </c>
      <c r="F145" s="31">
        <f t="shared" si="13"/>
        <v>14.6</v>
      </c>
      <c r="G145" s="31">
        <f t="shared" ca="1" si="17"/>
        <v>14.6</v>
      </c>
      <c r="H145" s="30">
        <f t="shared" ca="1" si="18"/>
        <v>0</v>
      </c>
      <c r="I145" s="31">
        <f t="shared" ca="1" si="19"/>
        <v>14.6</v>
      </c>
      <c r="Q145" s="80"/>
      <c r="R145" s="42"/>
      <c r="S145" s="90">
        <f t="shared" si="16"/>
        <v>8.6999999999999851</v>
      </c>
      <c r="T145" s="42"/>
      <c r="U145" s="42"/>
      <c r="V145" s="42"/>
      <c r="W145" s="42"/>
      <c r="X145" s="81"/>
    </row>
    <row r="146" spans="2:24" x14ac:dyDescent="0.25">
      <c r="B146" s="2">
        <v>1</v>
      </c>
      <c r="C146" s="1">
        <f t="shared" si="14"/>
        <v>17.411764705882348</v>
      </c>
      <c r="D146" s="1">
        <f t="shared" si="12"/>
        <v>1</v>
      </c>
      <c r="E146" s="1">
        <f t="shared" si="15"/>
        <v>0</v>
      </c>
      <c r="F146" s="31">
        <f t="shared" si="13"/>
        <v>14.6</v>
      </c>
      <c r="G146" s="31">
        <f t="shared" ca="1" si="17"/>
        <v>14.6</v>
      </c>
      <c r="H146" s="30">
        <f t="shared" ca="1" si="18"/>
        <v>0</v>
      </c>
      <c r="I146" s="31">
        <f t="shared" ca="1" si="19"/>
        <v>14.6</v>
      </c>
      <c r="Q146" s="80"/>
      <c r="R146" s="42"/>
      <c r="S146" s="90">
        <f t="shared" si="16"/>
        <v>8.7999999999999847</v>
      </c>
      <c r="T146" s="42"/>
      <c r="U146" s="42"/>
      <c r="V146" s="42"/>
      <c r="W146" s="42"/>
      <c r="X146" s="81"/>
    </row>
    <row r="147" spans="2:24" x14ac:dyDescent="0.25">
      <c r="B147" s="2">
        <v>1</v>
      </c>
      <c r="C147" s="1">
        <f t="shared" si="14"/>
        <v>18.411764705882348</v>
      </c>
      <c r="D147" s="1">
        <f t="shared" si="12"/>
        <v>1</v>
      </c>
      <c r="E147" s="1">
        <f t="shared" si="15"/>
        <v>0</v>
      </c>
      <c r="F147" s="31">
        <f t="shared" si="13"/>
        <v>14.6</v>
      </c>
      <c r="G147" s="31">
        <f t="shared" ca="1" si="17"/>
        <v>14.6</v>
      </c>
      <c r="H147" s="30">
        <f t="shared" ca="1" si="18"/>
        <v>0</v>
      </c>
      <c r="I147" s="31">
        <f t="shared" ca="1" si="19"/>
        <v>14.6</v>
      </c>
      <c r="Q147" s="80"/>
      <c r="R147" s="42"/>
      <c r="S147" s="90">
        <f t="shared" si="16"/>
        <v>8.8999999999999844</v>
      </c>
      <c r="T147" s="42"/>
      <c r="U147" s="42"/>
      <c r="V147" s="42"/>
      <c r="W147" s="42"/>
      <c r="X147" s="81"/>
    </row>
    <row r="148" spans="2:24" x14ac:dyDescent="0.25">
      <c r="B148" s="2">
        <v>1</v>
      </c>
      <c r="C148" s="1">
        <f t="shared" si="14"/>
        <v>19.411764705882348</v>
      </c>
      <c r="D148" s="1">
        <f t="shared" si="12"/>
        <v>1</v>
      </c>
      <c r="E148" s="1">
        <f t="shared" si="15"/>
        <v>0</v>
      </c>
      <c r="F148" s="31">
        <f t="shared" si="13"/>
        <v>14.6</v>
      </c>
      <c r="G148" s="31">
        <f t="shared" ca="1" si="17"/>
        <v>14.6</v>
      </c>
      <c r="H148" s="30">
        <f t="shared" ca="1" si="18"/>
        <v>0</v>
      </c>
      <c r="I148" s="31">
        <f t="shared" ca="1" si="19"/>
        <v>14.6</v>
      </c>
      <c r="Q148" s="80"/>
      <c r="R148" s="42"/>
      <c r="S148" s="90">
        <f t="shared" si="16"/>
        <v>8.999999999999984</v>
      </c>
      <c r="T148" s="42"/>
      <c r="U148" s="42"/>
      <c r="V148" s="42"/>
      <c r="W148" s="42"/>
      <c r="X148" s="81"/>
    </row>
    <row r="149" spans="2:24" x14ac:dyDescent="0.25">
      <c r="B149" s="2">
        <v>1</v>
      </c>
      <c r="C149" s="1">
        <f t="shared" si="14"/>
        <v>20.411764705882348</v>
      </c>
      <c r="D149" s="1">
        <f t="shared" si="12"/>
        <v>1</v>
      </c>
      <c r="E149" s="1">
        <f t="shared" si="15"/>
        <v>0</v>
      </c>
      <c r="F149" s="31">
        <f t="shared" si="13"/>
        <v>14.6</v>
      </c>
      <c r="G149" s="31">
        <f t="shared" ca="1" si="17"/>
        <v>14.6</v>
      </c>
      <c r="H149" s="30">
        <f t="shared" ca="1" si="18"/>
        <v>0</v>
      </c>
      <c r="I149" s="31">
        <f t="shared" ca="1" si="19"/>
        <v>14.6</v>
      </c>
      <c r="Q149" s="80"/>
      <c r="R149" s="42"/>
      <c r="S149" s="90">
        <f t="shared" si="16"/>
        <v>9.0999999999999837</v>
      </c>
      <c r="T149" s="42"/>
      <c r="U149" s="42"/>
      <c r="V149" s="42"/>
      <c r="W149" s="42"/>
      <c r="X149" s="81"/>
    </row>
    <row r="150" spans="2:24" x14ac:dyDescent="0.25">
      <c r="B150" s="2">
        <v>1</v>
      </c>
      <c r="C150" s="1">
        <f t="shared" si="14"/>
        <v>21.411764705882348</v>
      </c>
      <c r="D150" s="1">
        <f t="shared" si="12"/>
        <v>1</v>
      </c>
      <c r="E150" s="1">
        <f t="shared" si="15"/>
        <v>0</v>
      </c>
      <c r="F150" s="31">
        <f t="shared" si="13"/>
        <v>14.6</v>
      </c>
      <c r="G150" s="31">
        <f t="shared" ca="1" si="17"/>
        <v>14.6</v>
      </c>
      <c r="H150" s="30">
        <f t="shared" ca="1" si="18"/>
        <v>0</v>
      </c>
      <c r="I150" s="31">
        <f t="shared" ca="1" si="19"/>
        <v>14.6</v>
      </c>
      <c r="Q150" s="80"/>
      <c r="R150" s="42"/>
      <c r="S150" s="90">
        <f t="shared" si="16"/>
        <v>9.1999999999999833</v>
      </c>
      <c r="T150" s="42"/>
      <c r="U150" s="42"/>
      <c r="V150" s="42"/>
      <c r="W150" s="42"/>
      <c r="X150" s="81"/>
    </row>
    <row r="151" spans="2:24" x14ac:dyDescent="0.25">
      <c r="B151" s="2">
        <v>1</v>
      </c>
      <c r="C151" s="1">
        <f t="shared" si="14"/>
        <v>22.411764705882348</v>
      </c>
      <c r="D151" s="1">
        <f t="shared" si="12"/>
        <v>1</v>
      </c>
      <c r="E151" s="1">
        <f t="shared" si="15"/>
        <v>0</v>
      </c>
      <c r="F151" s="31">
        <f t="shared" si="13"/>
        <v>14.6</v>
      </c>
      <c r="G151" s="31">
        <f t="shared" ca="1" si="17"/>
        <v>14.6</v>
      </c>
      <c r="H151" s="30">
        <f t="shared" ca="1" si="18"/>
        <v>0</v>
      </c>
      <c r="I151" s="31">
        <f t="shared" ca="1" si="19"/>
        <v>14.6</v>
      </c>
      <c r="Q151" s="80"/>
      <c r="R151" s="42"/>
      <c r="S151" s="90">
        <f t="shared" si="16"/>
        <v>9.2999999999999829</v>
      </c>
      <c r="T151" s="42"/>
      <c r="U151" s="42"/>
      <c r="V151" s="42"/>
      <c r="W151" s="42"/>
      <c r="X151" s="81"/>
    </row>
    <row r="152" spans="2:24" x14ac:dyDescent="0.25">
      <c r="B152" s="2">
        <v>1</v>
      </c>
      <c r="C152" s="1">
        <f t="shared" si="14"/>
        <v>23.411764705882348</v>
      </c>
      <c r="D152" s="1">
        <f t="shared" si="12"/>
        <v>0</v>
      </c>
      <c r="E152" s="1">
        <f t="shared" si="15"/>
        <v>1</v>
      </c>
      <c r="F152" s="31">
        <f t="shared" si="13"/>
        <v>6.4</v>
      </c>
      <c r="G152" s="31">
        <f t="shared" ca="1" si="17"/>
        <v>0</v>
      </c>
      <c r="H152" s="30">
        <f t="shared" ca="1" si="18"/>
        <v>14.6</v>
      </c>
      <c r="I152" s="31">
        <f t="shared" ca="1" si="19"/>
        <v>14.6</v>
      </c>
      <c r="Q152" s="80"/>
      <c r="R152" s="42"/>
      <c r="S152" s="90">
        <f t="shared" si="16"/>
        <v>9.3999999999999826</v>
      </c>
      <c r="T152" s="42"/>
      <c r="U152" s="42"/>
      <c r="V152" s="42"/>
      <c r="W152" s="42"/>
      <c r="X152" s="81"/>
    </row>
    <row r="153" spans="2:24" x14ac:dyDescent="0.25">
      <c r="B153" s="2">
        <v>1</v>
      </c>
      <c r="C153" s="1">
        <f t="shared" si="14"/>
        <v>24.411764705882348</v>
      </c>
      <c r="D153" s="1">
        <f t="shared" si="12"/>
        <v>0</v>
      </c>
      <c r="E153" s="1">
        <f t="shared" si="15"/>
        <v>1</v>
      </c>
      <c r="F153" s="31">
        <f t="shared" si="13"/>
        <v>6.4</v>
      </c>
      <c r="G153" s="31">
        <f t="shared" ca="1" si="17"/>
        <v>0</v>
      </c>
      <c r="H153" s="30">
        <f t="shared" ca="1" si="18"/>
        <v>6.4</v>
      </c>
      <c r="I153" s="31">
        <f t="shared" ca="1" si="19"/>
        <v>6.4</v>
      </c>
      <c r="Q153" s="80"/>
      <c r="R153" s="42"/>
      <c r="S153" s="90">
        <f t="shared" si="16"/>
        <v>9.4999999999999822</v>
      </c>
      <c r="T153" s="42"/>
      <c r="U153" s="42"/>
      <c r="V153" s="42"/>
      <c r="W153" s="42"/>
      <c r="X153" s="81"/>
    </row>
    <row r="154" spans="2:24" x14ac:dyDescent="0.25">
      <c r="B154" s="2">
        <v>1</v>
      </c>
      <c r="C154" s="1">
        <f t="shared" si="14"/>
        <v>25.411764705882348</v>
      </c>
      <c r="D154" s="1">
        <f t="shared" si="12"/>
        <v>0</v>
      </c>
      <c r="E154" s="1">
        <f t="shared" si="15"/>
        <v>1</v>
      </c>
      <c r="F154" s="31">
        <f t="shared" si="13"/>
        <v>6.4</v>
      </c>
      <c r="G154" s="31">
        <f t="shared" ca="1" si="17"/>
        <v>0</v>
      </c>
      <c r="H154" s="30">
        <f t="shared" ca="1" si="18"/>
        <v>6.4</v>
      </c>
      <c r="I154" s="31">
        <f t="shared" ca="1" si="19"/>
        <v>6.4</v>
      </c>
      <c r="Q154" s="80"/>
      <c r="R154" s="42"/>
      <c r="S154" s="90">
        <f t="shared" si="16"/>
        <v>9.5999999999999819</v>
      </c>
      <c r="T154" s="42"/>
      <c r="U154" s="42"/>
      <c r="V154" s="42"/>
      <c r="W154" s="42"/>
      <c r="X154" s="81"/>
    </row>
    <row r="155" spans="2:24" x14ac:dyDescent="0.25">
      <c r="B155" s="2">
        <v>1</v>
      </c>
      <c r="C155" s="1">
        <f t="shared" si="14"/>
        <v>26.411764705882348</v>
      </c>
      <c r="D155" s="1">
        <f t="shared" si="12"/>
        <v>0</v>
      </c>
      <c r="E155" s="1">
        <f t="shared" si="15"/>
        <v>1</v>
      </c>
      <c r="F155" s="31">
        <f t="shared" si="13"/>
        <v>6.4</v>
      </c>
      <c r="G155" s="31">
        <f t="shared" ca="1" si="17"/>
        <v>0</v>
      </c>
      <c r="H155" s="30">
        <f t="shared" ca="1" si="18"/>
        <v>6.4</v>
      </c>
      <c r="I155" s="31">
        <f t="shared" ca="1" si="19"/>
        <v>6.4</v>
      </c>
      <c r="Q155" s="80"/>
      <c r="R155" s="42"/>
      <c r="S155" s="90">
        <f t="shared" si="16"/>
        <v>9.6999999999999815</v>
      </c>
      <c r="T155" s="42"/>
      <c r="U155" s="42"/>
      <c r="V155" s="42"/>
      <c r="W155" s="42"/>
      <c r="X155" s="81"/>
    </row>
    <row r="156" spans="2:24" x14ac:dyDescent="0.25">
      <c r="B156" s="2">
        <v>1</v>
      </c>
      <c r="C156" s="1">
        <f t="shared" si="14"/>
        <v>27.411764705882348</v>
      </c>
      <c r="D156" s="1">
        <f t="shared" si="12"/>
        <v>0</v>
      </c>
      <c r="E156" s="1">
        <f t="shared" si="15"/>
        <v>1</v>
      </c>
      <c r="F156" s="31">
        <f t="shared" si="13"/>
        <v>6.4</v>
      </c>
      <c r="G156" s="31">
        <f t="shared" ca="1" si="17"/>
        <v>0</v>
      </c>
      <c r="H156" s="30">
        <f t="shared" ca="1" si="18"/>
        <v>6.4</v>
      </c>
      <c r="I156" s="31">
        <f t="shared" ca="1" si="19"/>
        <v>6.4</v>
      </c>
      <c r="Q156" s="80"/>
      <c r="R156" s="42"/>
      <c r="S156" s="90">
        <f t="shared" si="16"/>
        <v>9.7999999999999812</v>
      </c>
      <c r="T156" s="42"/>
      <c r="U156" s="42"/>
      <c r="V156" s="42"/>
      <c r="W156" s="42"/>
      <c r="X156" s="81"/>
    </row>
    <row r="157" spans="2:24" x14ac:dyDescent="0.25">
      <c r="B157" s="2">
        <v>1</v>
      </c>
      <c r="C157" s="1">
        <f t="shared" si="14"/>
        <v>28.411764705882348</v>
      </c>
      <c r="D157" s="1">
        <f t="shared" si="12"/>
        <v>0</v>
      </c>
      <c r="E157" s="1">
        <f t="shared" si="15"/>
        <v>1</v>
      </c>
      <c r="F157" s="31">
        <f t="shared" si="13"/>
        <v>6.4</v>
      </c>
      <c r="G157" s="31">
        <f t="shared" ca="1" si="17"/>
        <v>0</v>
      </c>
      <c r="H157" s="30">
        <f t="shared" ca="1" si="18"/>
        <v>6.4</v>
      </c>
      <c r="I157" s="31">
        <f t="shared" ca="1" si="19"/>
        <v>6.4</v>
      </c>
      <c r="Q157" s="80"/>
      <c r="R157" s="42"/>
      <c r="S157" s="90">
        <f t="shared" si="16"/>
        <v>9.8999999999999808</v>
      </c>
      <c r="T157" s="42"/>
      <c r="U157" s="42"/>
      <c r="V157" s="42"/>
      <c r="W157" s="42"/>
      <c r="X157" s="81"/>
    </row>
    <row r="158" spans="2:24" x14ac:dyDescent="0.25">
      <c r="B158" s="2">
        <v>1</v>
      </c>
      <c r="C158" s="1">
        <f t="shared" si="14"/>
        <v>29.411764705882348</v>
      </c>
      <c r="D158" s="1">
        <f t="shared" si="12"/>
        <v>0</v>
      </c>
      <c r="E158" s="1">
        <f t="shared" si="15"/>
        <v>1</v>
      </c>
      <c r="F158" s="31">
        <f t="shared" si="13"/>
        <v>6.4</v>
      </c>
      <c r="G158" s="31">
        <f t="shared" ca="1" si="17"/>
        <v>0</v>
      </c>
      <c r="H158" s="30">
        <f t="shared" ca="1" si="18"/>
        <v>6.4</v>
      </c>
      <c r="I158" s="31">
        <f t="shared" ca="1" si="19"/>
        <v>6.4</v>
      </c>
      <c r="Q158" s="80"/>
      <c r="R158" s="42"/>
      <c r="S158" s="90">
        <f t="shared" si="16"/>
        <v>9.9999999999999805</v>
      </c>
      <c r="T158" s="42"/>
      <c r="U158" s="42"/>
      <c r="V158" s="42"/>
      <c r="W158" s="42"/>
      <c r="X158" s="81"/>
    </row>
    <row r="159" spans="2:24" x14ac:dyDescent="0.25">
      <c r="B159" s="2">
        <v>1</v>
      </c>
      <c r="C159" s="1">
        <f t="shared" si="14"/>
        <v>30.411764705882348</v>
      </c>
      <c r="D159" s="1">
        <f t="shared" si="12"/>
        <v>0</v>
      </c>
      <c r="E159" s="1">
        <f t="shared" si="15"/>
        <v>1</v>
      </c>
      <c r="F159" s="31">
        <f t="shared" si="13"/>
        <v>6.4</v>
      </c>
      <c r="G159" s="31">
        <f t="shared" ca="1" si="17"/>
        <v>0</v>
      </c>
      <c r="H159" s="30">
        <f t="shared" ca="1" si="18"/>
        <v>6.4</v>
      </c>
      <c r="I159" s="31">
        <f t="shared" ca="1" si="19"/>
        <v>6.4</v>
      </c>
      <c r="Q159" s="80"/>
      <c r="R159" s="42"/>
      <c r="S159" s="90">
        <f t="shared" si="16"/>
        <v>10.09999999999998</v>
      </c>
      <c r="T159" s="42"/>
      <c r="U159" s="42"/>
      <c r="V159" s="42"/>
      <c r="W159" s="42"/>
      <c r="X159" s="81"/>
    </row>
    <row r="160" spans="2:24" x14ac:dyDescent="0.25">
      <c r="B160" s="2">
        <v>1</v>
      </c>
      <c r="C160" s="1">
        <f t="shared" si="14"/>
        <v>31.411764705882348</v>
      </c>
      <c r="D160" s="1">
        <f t="shared" si="12"/>
        <v>0</v>
      </c>
      <c r="E160" s="1">
        <f t="shared" si="15"/>
        <v>1</v>
      </c>
      <c r="F160" s="31">
        <f t="shared" si="13"/>
        <v>6.4</v>
      </c>
      <c r="G160" s="31">
        <f t="shared" ca="1" si="17"/>
        <v>0</v>
      </c>
      <c r="H160" s="30">
        <f t="shared" ca="1" si="18"/>
        <v>6.4</v>
      </c>
      <c r="I160" s="31">
        <f t="shared" ca="1" si="19"/>
        <v>6.4</v>
      </c>
      <c r="Q160" s="80"/>
      <c r="R160" s="42"/>
      <c r="S160" s="90">
        <f t="shared" si="16"/>
        <v>10.19999999999998</v>
      </c>
      <c r="T160" s="42"/>
      <c r="U160" s="42"/>
      <c r="V160" s="42"/>
      <c r="W160" s="42"/>
      <c r="X160" s="81"/>
    </row>
    <row r="161" spans="2:24" x14ac:dyDescent="0.25">
      <c r="B161" s="2">
        <v>1</v>
      </c>
      <c r="C161" s="1">
        <f t="shared" si="14"/>
        <v>32.411764705882348</v>
      </c>
      <c r="D161" s="1">
        <f t="shared" si="12"/>
        <v>0</v>
      </c>
      <c r="E161" s="1">
        <f t="shared" si="15"/>
        <v>1</v>
      </c>
      <c r="F161" s="31">
        <f t="shared" si="13"/>
        <v>6.4</v>
      </c>
      <c r="G161" s="31">
        <f t="shared" ca="1" si="17"/>
        <v>0</v>
      </c>
      <c r="H161" s="30">
        <f t="shared" ca="1" si="18"/>
        <v>6.4</v>
      </c>
      <c r="I161" s="31">
        <f t="shared" ca="1" si="19"/>
        <v>6.4</v>
      </c>
      <c r="Q161" s="80"/>
      <c r="R161" s="42"/>
      <c r="S161" s="90">
        <f t="shared" si="16"/>
        <v>10.299999999999979</v>
      </c>
      <c r="T161" s="42"/>
      <c r="U161" s="42"/>
      <c r="V161" s="42"/>
      <c r="W161" s="42"/>
      <c r="X161" s="81"/>
    </row>
    <row r="162" spans="2:24" x14ac:dyDescent="0.25">
      <c r="B162" s="2">
        <v>1</v>
      </c>
      <c r="C162" s="1">
        <f t="shared" si="14"/>
        <v>33.411764705882348</v>
      </c>
      <c r="D162" s="1">
        <f t="shared" si="12"/>
        <v>0</v>
      </c>
      <c r="E162" s="1">
        <f t="shared" si="15"/>
        <v>1</v>
      </c>
      <c r="F162" s="31">
        <f t="shared" si="13"/>
        <v>6.4</v>
      </c>
      <c r="G162" s="31">
        <f t="shared" ca="1" si="17"/>
        <v>0</v>
      </c>
      <c r="H162" s="30">
        <f t="shared" ca="1" si="18"/>
        <v>6.4</v>
      </c>
      <c r="I162" s="31">
        <f t="shared" ca="1" si="19"/>
        <v>6.4</v>
      </c>
      <c r="Q162" s="80"/>
      <c r="R162" s="42"/>
      <c r="S162" s="90">
        <f t="shared" si="16"/>
        <v>10.399999999999979</v>
      </c>
      <c r="T162" s="42"/>
      <c r="U162" s="42"/>
      <c r="V162" s="42"/>
      <c r="W162" s="42"/>
      <c r="X162" s="81"/>
    </row>
    <row r="163" spans="2:24" x14ac:dyDescent="0.25">
      <c r="B163" s="2">
        <v>1</v>
      </c>
      <c r="C163" s="1">
        <f t="shared" si="14"/>
        <v>34.411764705882348</v>
      </c>
      <c r="D163" s="1">
        <f t="shared" si="12"/>
        <v>0</v>
      </c>
      <c r="E163" s="1">
        <f t="shared" si="15"/>
        <v>1</v>
      </c>
      <c r="F163" s="31">
        <f t="shared" si="13"/>
        <v>6.4</v>
      </c>
      <c r="G163" s="31">
        <f t="shared" ca="1" si="17"/>
        <v>0</v>
      </c>
      <c r="H163" s="30">
        <f t="shared" ca="1" si="18"/>
        <v>6.4</v>
      </c>
      <c r="I163" s="31">
        <f t="shared" ca="1" si="19"/>
        <v>6.4</v>
      </c>
      <c r="Q163" s="80"/>
      <c r="R163" s="42"/>
      <c r="S163" s="90">
        <f t="shared" si="16"/>
        <v>10.499999999999979</v>
      </c>
      <c r="T163" s="42"/>
      <c r="U163" s="42"/>
      <c r="V163" s="42"/>
      <c r="W163" s="42"/>
      <c r="X163" s="81"/>
    </row>
    <row r="164" spans="2:24" x14ac:dyDescent="0.25">
      <c r="B164" s="2">
        <v>1</v>
      </c>
      <c r="C164" s="1">
        <f t="shared" si="14"/>
        <v>0.11764705882352189</v>
      </c>
      <c r="D164" s="1">
        <f t="shared" si="12"/>
        <v>1</v>
      </c>
      <c r="E164" s="1">
        <f t="shared" si="15"/>
        <v>0</v>
      </c>
      <c r="F164" s="31">
        <f t="shared" si="13"/>
        <v>14.6</v>
      </c>
      <c r="G164" s="31">
        <f t="shared" ca="1" si="17"/>
        <v>6.4</v>
      </c>
      <c r="H164" s="30">
        <f t="shared" ca="1" si="18"/>
        <v>0</v>
      </c>
      <c r="I164" s="31">
        <f t="shared" ca="1" si="19"/>
        <v>6.4</v>
      </c>
      <c r="Q164" s="80"/>
      <c r="R164" s="42"/>
      <c r="S164" s="90">
        <f t="shared" si="16"/>
        <v>10.599999999999978</v>
      </c>
      <c r="T164" s="42"/>
      <c r="U164" s="42"/>
      <c r="V164" s="42"/>
      <c r="W164" s="42"/>
      <c r="X164" s="81"/>
    </row>
    <row r="165" spans="2:24" x14ac:dyDescent="0.25">
      <c r="B165" s="2">
        <v>1</v>
      </c>
      <c r="C165" s="1">
        <f t="shared" si="14"/>
        <v>1.1176470588235219</v>
      </c>
      <c r="D165" s="1">
        <f t="shared" si="12"/>
        <v>1</v>
      </c>
      <c r="E165" s="1">
        <f t="shared" si="15"/>
        <v>0</v>
      </c>
      <c r="F165" s="31">
        <f t="shared" si="13"/>
        <v>14.6</v>
      </c>
      <c r="G165" s="31">
        <f t="shared" ca="1" si="17"/>
        <v>8.4500000000000011</v>
      </c>
      <c r="H165" s="30">
        <f t="shared" ca="1" si="18"/>
        <v>0</v>
      </c>
      <c r="I165" s="31">
        <f t="shared" ca="1" si="19"/>
        <v>8.4500000000000011</v>
      </c>
      <c r="Q165" s="80"/>
      <c r="R165" s="42"/>
      <c r="S165" s="90">
        <f t="shared" si="16"/>
        <v>10.699999999999978</v>
      </c>
      <c r="T165" s="42"/>
      <c r="U165" s="42"/>
      <c r="V165" s="42"/>
      <c r="W165" s="42"/>
      <c r="X165" s="81"/>
    </row>
    <row r="166" spans="2:24" x14ac:dyDescent="0.25">
      <c r="B166" s="2">
        <v>1</v>
      </c>
      <c r="C166" s="1">
        <f t="shared" si="14"/>
        <v>2.1176470588235219</v>
      </c>
      <c r="D166" s="1">
        <f t="shared" si="12"/>
        <v>1</v>
      </c>
      <c r="E166" s="1">
        <f t="shared" si="15"/>
        <v>0</v>
      </c>
      <c r="F166" s="31">
        <f t="shared" si="13"/>
        <v>14.6</v>
      </c>
      <c r="G166" s="31">
        <f t="shared" ca="1" si="17"/>
        <v>10.5</v>
      </c>
      <c r="H166" s="30">
        <f t="shared" ca="1" si="18"/>
        <v>0</v>
      </c>
      <c r="I166" s="31">
        <f t="shared" ca="1" si="19"/>
        <v>10.5</v>
      </c>
      <c r="Q166" s="80"/>
      <c r="R166" s="42"/>
      <c r="S166" s="90">
        <f t="shared" si="16"/>
        <v>10.799999999999978</v>
      </c>
      <c r="T166" s="42"/>
      <c r="U166" s="42"/>
      <c r="V166" s="42"/>
      <c r="W166" s="42"/>
      <c r="X166" s="81"/>
    </row>
    <row r="167" spans="2:24" x14ac:dyDescent="0.25">
      <c r="B167" s="2">
        <v>1</v>
      </c>
      <c r="C167" s="1">
        <f t="shared" si="14"/>
        <v>3.1176470588235219</v>
      </c>
      <c r="D167" s="1">
        <f t="shared" si="12"/>
        <v>1</v>
      </c>
      <c r="E167" s="1">
        <f t="shared" si="15"/>
        <v>0</v>
      </c>
      <c r="F167" s="31">
        <f t="shared" si="13"/>
        <v>14.6</v>
      </c>
      <c r="G167" s="31">
        <f t="shared" ca="1" si="17"/>
        <v>12.55</v>
      </c>
      <c r="H167" s="30">
        <f t="shared" ca="1" si="18"/>
        <v>0</v>
      </c>
      <c r="I167" s="31">
        <f t="shared" ca="1" si="19"/>
        <v>12.55</v>
      </c>
      <c r="Q167" s="80"/>
      <c r="R167" s="42"/>
      <c r="S167" s="90">
        <f t="shared" si="16"/>
        <v>10.899999999999977</v>
      </c>
      <c r="T167" s="42"/>
      <c r="U167" s="42"/>
      <c r="V167" s="42"/>
      <c r="W167" s="42"/>
      <c r="X167" s="81"/>
    </row>
    <row r="168" spans="2:24" x14ac:dyDescent="0.25">
      <c r="B168" s="2">
        <v>1</v>
      </c>
      <c r="C168" s="1">
        <f t="shared" si="14"/>
        <v>4.1176470588235219</v>
      </c>
      <c r="D168" s="1">
        <f t="shared" si="12"/>
        <v>1</v>
      </c>
      <c r="E168" s="1">
        <f t="shared" si="15"/>
        <v>0</v>
      </c>
      <c r="F168" s="31">
        <f t="shared" si="13"/>
        <v>14.6</v>
      </c>
      <c r="G168" s="31">
        <f t="shared" ca="1" si="17"/>
        <v>14.6</v>
      </c>
      <c r="H168" s="30">
        <f t="shared" ca="1" si="18"/>
        <v>0</v>
      </c>
      <c r="I168" s="31">
        <f t="shared" ca="1" si="19"/>
        <v>14.6</v>
      </c>
      <c r="Q168" s="80"/>
      <c r="R168" s="42"/>
      <c r="S168" s="90">
        <f t="shared" si="16"/>
        <v>10.999999999999977</v>
      </c>
      <c r="T168" s="42"/>
      <c r="U168" s="42"/>
      <c r="V168" s="42"/>
      <c r="W168" s="42"/>
      <c r="X168" s="81"/>
    </row>
    <row r="169" spans="2:24" x14ac:dyDescent="0.25">
      <c r="B169" s="2">
        <v>1</v>
      </c>
      <c r="C169" s="1">
        <f t="shared" si="14"/>
        <v>5.1176470588235219</v>
      </c>
      <c r="D169" s="1">
        <f t="shared" si="12"/>
        <v>1</v>
      </c>
      <c r="E169" s="1">
        <f t="shared" si="15"/>
        <v>0</v>
      </c>
      <c r="F169" s="31">
        <f t="shared" si="13"/>
        <v>14.6</v>
      </c>
      <c r="G169" s="31">
        <f t="shared" ca="1" si="17"/>
        <v>14.6</v>
      </c>
      <c r="H169" s="30">
        <f t="shared" ca="1" si="18"/>
        <v>0</v>
      </c>
      <c r="I169" s="31">
        <f t="shared" ca="1" si="19"/>
        <v>14.6</v>
      </c>
      <c r="Q169" s="80"/>
      <c r="R169" s="42"/>
      <c r="S169" s="90">
        <f t="shared" si="16"/>
        <v>11.099999999999977</v>
      </c>
      <c r="T169" s="42"/>
      <c r="U169" s="42"/>
      <c r="V169" s="42"/>
      <c r="W169" s="42"/>
      <c r="X169" s="81"/>
    </row>
    <row r="170" spans="2:24" x14ac:dyDescent="0.25">
      <c r="B170" s="2">
        <v>1</v>
      </c>
      <c r="C170" s="1">
        <f t="shared" si="14"/>
        <v>6.1176470588235219</v>
      </c>
      <c r="D170" s="1">
        <f t="shared" si="12"/>
        <v>1</v>
      </c>
      <c r="E170" s="1">
        <f t="shared" si="15"/>
        <v>0</v>
      </c>
      <c r="F170" s="31">
        <f t="shared" si="13"/>
        <v>14.6</v>
      </c>
      <c r="G170" s="31">
        <f t="shared" ca="1" si="17"/>
        <v>14.6</v>
      </c>
      <c r="H170" s="30">
        <f t="shared" ca="1" si="18"/>
        <v>0</v>
      </c>
      <c r="I170" s="31">
        <f t="shared" ca="1" si="19"/>
        <v>14.6</v>
      </c>
      <c r="Q170" s="80"/>
      <c r="R170" s="42"/>
      <c r="S170" s="90">
        <f t="shared" si="16"/>
        <v>11.199999999999976</v>
      </c>
      <c r="T170" s="42"/>
      <c r="U170" s="42"/>
      <c r="V170" s="42"/>
      <c r="W170" s="42"/>
      <c r="X170" s="81"/>
    </row>
    <row r="171" spans="2:24" x14ac:dyDescent="0.25">
      <c r="B171" s="2">
        <v>1</v>
      </c>
      <c r="C171" s="1">
        <f t="shared" si="14"/>
        <v>7.1176470588235219</v>
      </c>
      <c r="D171" s="1">
        <f t="shared" si="12"/>
        <v>1</v>
      </c>
      <c r="E171" s="1">
        <f t="shared" si="15"/>
        <v>0</v>
      </c>
      <c r="F171" s="31">
        <f t="shared" si="13"/>
        <v>14.6</v>
      </c>
      <c r="G171" s="31">
        <f t="shared" ca="1" si="17"/>
        <v>14.6</v>
      </c>
      <c r="H171" s="30">
        <f t="shared" ca="1" si="18"/>
        <v>0</v>
      </c>
      <c r="I171" s="31">
        <f t="shared" ca="1" si="19"/>
        <v>14.6</v>
      </c>
      <c r="Q171" s="80"/>
      <c r="R171" s="42"/>
      <c r="S171" s="90">
        <f t="shared" si="16"/>
        <v>11.299999999999976</v>
      </c>
      <c r="T171" s="42"/>
      <c r="U171" s="42"/>
      <c r="V171" s="42"/>
      <c r="W171" s="42"/>
      <c r="X171" s="81"/>
    </row>
    <row r="172" spans="2:24" x14ac:dyDescent="0.25">
      <c r="B172" s="2">
        <v>1</v>
      </c>
      <c r="C172" s="1">
        <f t="shared" si="14"/>
        <v>8.1176470588235219</v>
      </c>
      <c r="D172" s="1">
        <f t="shared" si="12"/>
        <v>1</v>
      </c>
      <c r="E172" s="1">
        <f t="shared" si="15"/>
        <v>0</v>
      </c>
      <c r="F172" s="31">
        <f t="shared" si="13"/>
        <v>14.6</v>
      </c>
      <c r="G172" s="31">
        <f t="shared" ca="1" si="17"/>
        <v>14.6</v>
      </c>
      <c r="H172" s="30">
        <f t="shared" ca="1" si="18"/>
        <v>0</v>
      </c>
      <c r="I172" s="31">
        <f t="shared" ca="1" si="19"/>
        <v>14.6</v>
      </c>
      <c r="Q172" s="80"/>
      <c r="R172" s="42"/>
      <c r="S172" s="90">
        <f t="shared" si="16"/>
        <v>11.399999999999975</v>
      </c>
      <c r="T172" s="42"/>
      <c r="U172" s="42"/>
      <c r="V172" s="42"/>
      <c r="W172" s="42"/>
      <c r="X172" s="81"/>
    </row>
    <row r="173" spans="2:24" x14ac:dyDescent="0.25">
      <c r="B173" s="2">
        <v>1</v>
      </c>
      <c r="C173" s="1">
        <f t="shared" si="14"/>
        <v>9.1176470588235219</v>
      </c>
      <c r="D173" s="1">
        <f t="shared" si="12"/>
        <v>1</v>
      </c>
      <c r="E173" s="1">
        <f t="shared" si="15"/>
        <v>0</v>
      </c>
      <c r="F173" s="31">
        <f t="shared" si="13"/>
        <v>14.6</v>
      </c>
      <c r="G173" s="31">
        <f t="shared" ca="1" si="17"/>
        <v>14.6</v>
      </c>
      <c r="H173" s="30">
        <f t="shared" ca="1" si="18"/>
        <v>0</v>
      </c>
      <c r="I173" s="31">
        <f t="shared" ca="1" si="19"/>
        <v>14.6</v>
      </c>
      <c r="Q173" s="80"/>
      <c r="R173" s="42"/>
      <c r="S173" s="90">
        <f t="shared" si="16"/>
        <v>11.499999999999975</v>
      </c>
      <c r="T173" s="42"/>
      <c r="U173" s="42"/>
      <c r="V173" s="42"/>
      <c r="W173" s="42"/>
      <c r="X173" s="81"/>
    </row>
    <row r="174" spans="2:24" x14ac:dyDescent="0.25">
      <c r="B174" s="2">
        <v>1</v>
      </c>
      <c r="C174" s="1">
        <f t="shared" si="14"/>
        <v>10.117647058823522</v>
      </c>
      <c r="D174" s="1">
        <f t="shared" si="12"/>
        <v>1</v>
      </c>
      <c r="E174" s="1">
        <f t="shared" si="15"/>
        <v>0</v>
      </c>
      <c r="F174" s="31">
        <f t="shared" si="13"/>
        <v>14.6</v>
      </c>
      <c r="G174" s="31">
        <f t="shared" ca="1" si="17"/>
        <v>14.6</v>
      </c>
      <c r="H174" s="30">
        <f t="shared" ca="1" si="18"/>
        <v>0</v>
      </c>
      <c r="I174" s="31">
        <f t="shared" ca="1" si="19"/>
        <v>14.6</v>
      </c>
      <c r="Q174" s="80"/>
      <c r="R174" s="42"/>
      <c r="S174" s="90">
        <f t="shared" si="16"/>
        <v>11.599999999999975</v>
      </c>
      <c r="T174" s="42"/>
      <c r="U174" s="42"/>
      <c r="V174" s="42"/>
      <c r="W174" s="42"/>
      <c r="X174" s="81"/>
    </row>
    <row r="175" spans="2:24" x14ac:dyDescent="0.25">
      <c r="B175" s="2">
        <v>1</v>
      </c>
      <c r="C175" s="1">
        <f t="shared" si="14"/>
        <v>11.117647058823522</v>
      </c>
      <c r="D175" s="1">
        <f t="shared" si="12"/>
        <v>1</v>
      </c>
      <c r="E175" s="1">
        <f t="shared" si="15"/>
        <v>0</v>
      </c>
      <c r="F175" s="31">
        <f t="shared" si="13"/>
        <v>14.6</v>
      </c>
      <c r="G175" s="31">
        <f t="shared" ca="1" si="17"/>
        <v>14.6</v>
      </c>
      <c r="H175" s="30">
        <f t="shared" ca="1" si="18"/>
        <v>0</v>
      </c>
      <c r="I175" s="31">
        <f t="shared" ca="1" si="19"/>
        <v>14.6</v>
      </c>
      <c r="Q175" s="80"/>
      <c r="R175" s="42"/>
      <c r="S175" s="90">
        <f t="shared" si="16"/>
        <v>11.699999999999974</v>
      </c>
      <c r="T175" s="42"/>
      <c r="U175" s="42"/>
      <c r="V175" s="42"/>
      <c r="W175" s="42"/>
      <c r="X175" s="81"/>
    </row>
    <row r="176" spans="2:24" x14ac:dyDescent="0.25">
      <c r="B176" s="2">
        <v>1</v>
      </c>
      <c r="C176" s="1">
        <f t="shared" si="14"/>
        <v>12.117647058823522</v>
      </c>
      <c r="D176" s="1">
        <f t="shared" si="12"/>
        <v>1</v>
      </c>
      <c r="E176" s="1">
        <f t="shared" si="15"/>
        <v>0</v>
      </c>
      <c r="F176" s="31">
        <f t="shared" si="13"/>
        <v>14.6</v>
      </c>
      <c r="G176" s="31">
        <f t="shared" ca="1" si="17"/>
        <v>14.6</v>
      </c>
      <c r="H176" s="30">
        <f t="shared" ca="1" si="18"/>
        <v>0</v>
      </c>
      <c r="I176" s="31">
        <f t="shared" ca="1" si="19"/>
        <v>14.6</v>
      </c>
      <c r="Q176" s="80"/>
      <c r="R176" s="42"/>
      <c r="S176" s="90">
        <f t="shared" si="16"/>
        <v>11.799999999999974</v>
      </c>
      <c r="T176" s="42"/>
      <c r="U176" s="42"/>
      <c r="V176" s="42"/>
      <c r="W176" s="42"/>
      <c r="X176" s="81"/>
    </row>
    <row r="177" spans="2:24" x14ac:dyDescent="0.25">
      <c r="B177" s="2">
        <v>1</v>
      </c>
      <c r="C177" s="1">
        <f t="shared" si="14"/>
        <v>13.117647058823522</v>
      </c>
      <c r="D177" s="1">
        <f t="shared" si="12"/>
        <v>1</v>
      </c>
      <c r="E177" s="1">
        <f t="shared" si="15"/>
        <v>0</v>
      </c>
      <c r="F177" s="31">
        <f t="shared" si="13"/>
        <v>14.6</v>
      </c>
      <c r="G177" s="31">
        <f t="shared" ca="1" si="17"/>
        <v>14.6</v>
      </c>
      <c r="H177" s="30">
        <f t="shared" ca="1" si="18"/>
        <v>0</v>
      </c>
      <c r="I177" s="31">
        <f t="shared" ca="1" si="19"/>
        <v>14.6</v>
      </c>
      <c r="Q177" s="80"/>
      <c r="R177" s="42"/>
      <c r="S177" s="90">
        <f t="shared" si="16"/>
        <v>11.899999999999974</v>
      </c>
      <c r="T177" s="42"/>
      <c r="U177" s="42"/>
      <c r="V177" s="42"/>
      <c r="W177" s="42"/>
      <c r="X177" s="81"/>
    </row>
    <row r="178" spans="2:24" x14ac:dyDescent="0.25">
      <c r="B178" s="2">
        <v>1</v>
      </c>
      <c r="C178" s="1">
        <f t="shared" si="14"/>
        <v>14.117647058823522</v>
      </c>
      <c r="D178" s="1">
        <f t="shared" si="12"/>
        <v>1</v>
      </c>
      <c r="E178" s="1">
        <f t="shared" si="15"/>
        <v>0</v>
      </c>
      <c r="F178" s="31">
        <f t="shared" si="13"/>
        <v>14.6</v>
      </c>
      <c r="G178" s="31">
        <f t="shared" ca="1" si="17"/>
        <v>14.6</v>
      </c>
      <c r="H178" s="30">
        <f t="shared" ca="1" si="18"/>
        <v>0</v>
      </c>
      <c r="I178" s="31">
        <f t="shared" ca="1" si="19"/>
        <v>14.6</v>
      </c>
      <c r="Q178" s="80"/>
      <c r="R178" s="42"/>
      <c r="S178" s="90">
        <f t="shared" si="16"/>
        <v>11.999999999999973</v>
      </c>
      <c r="T178" s="42"/>
      <c r="U178" s="42"/>
      <c r="V178" s="42"/>
      <c r="W178" s="42"/>
      <c r="X178" s="81"/>
    </row>
    <row r="179" spans="2:24" x14ac:dyDescent="0.25">
      <c r="B179" s="2">
        <v>1</v>
      </c>
      <c r="C179" s="1">
        <f t="shared" si="14"/>
        <v>15.117647058823522</v>
      </c>
      <c r="D179" s="1">
        <f t="shared" si="12"/>
        <v>1</v>
      </c>
      <c r="E179" s="1">
        <f t="shared" si="15"/>
        <v>0</v>
      </c>
      <c r="F179" s="31">
        <f t="shared" si="13"/>
        <v>14.6</v>
      </c>
      <c r="G179" s="31">
        <f t="shared" ca="1" si="17"/>
        <v>14.6</v>
      </c>
      <c r="H179" s="30">
        <f t="shared" ca="1" si="18"/>
        <v>0</v>
      </c>
      <c r="I179" s="31">
        <f t="shared" ca="1" si="19"/>
        <v>14.6</v>
      </c>
      <c r="Q179" s="80"/>
      <c r="R179" s="42"/>
      <c r="S179" s="90">
        <f t="shared" si="16"/>
        <v>12.099999999999973</v>
      </c>
      <c r="T179" s="42"/>
      <c r="U179" s="42"/>
      <c r="V179" s="42"/>
      <c r="W179" s="42"/>
      <c r="X179" s="81"/>
    </row>
    <row r="180" spans="2:24" x14ac:dyDescent="0.25">
      <c r="B180" s="2">
        <v>1</v>
      </c>
      <c r="C180" s="1">
        <f t="shared" si="14"/>
        <v>16.117647058823522</v>
      </c>
      <c r="D180" s="1">
        <f t="shared" si="12"/>
        <v>1</v>
      </c>
      <c r="E180" s="1">
        <f t="shared" si="15"/>
        <v>0</v>
      </c>
      <c r="F180" s="31">
        <f t="shared" si="13"/>
        <v>14.6</v>
      </c>
      <c r="G180" s="31">
        <f t="shared" ca="1" si="17"/>
        <v>14.6</v>
      </c>
      <c r="H180" s="30">
        <f t="shared" ca="1" si="18"/>
        <v>0</v>
      </c>
      <c r="I180" s="31">
        <f t="shared" ca="1" si="19"/>
        <v>14.6</v>
      </c>
      <c r="Q180" s="80"/>
      <c r="R180" s="42"/>
      <c r="S180" s="90">
        <f t="shared" si="16"/>
        <v>12.199999999999973</v>
      </c>
      <c r="T180" s="42"/>
      <c r="U180" s="42"/>
      <c r="V180" s="42"/>
      <c r="W180" s="42"/>
      <c r="X180" s="81"/>
    </row>
    <row r="181" spans="2:24" x14ac:dyDescent="0.25">
      <c r="B181" s="2">
        <v>1</v>
      </c>
      <c r="C181" s="1">
        <f t="shared" si="14"/>
        <v>17.117647058823522</v>
      </c>
      <c r="D181" s="1">
        <f t="shared" si="12"/>
        <v>1</v>
      </c>
      <c r="E181" s="1">
        <f t="shared" si="15"/>
        <v>0</v>
      </c>
      <c r="F181" s="31">
        <f t="shared" si="13"/>
        <v>14.6</v>
      </c>
      <c r="G181" s="31">
        <f t="shared" ca="1" si="17"/>
        <v>14.6</v>
      </c>
      <c r="H181" s="30">
        <f t="shared" ca="1" si="18"/>
        <v>0</v>
      </c>
      <c r="I181" s="31">
        <f t="shared" ca="1" si="19"/>
        <v>14.6</v>
      </c>
      <c r="Q181" s="80"/>
      <c r="R181" s="42"/>
      <c r="S181" s="90">
        <f t="shared" si="16"/>
        <v>12.299999999999972</v>
      </c>
      <c r="T181" s="42"/>
      <c r="U181" s="42"/>
      <c r="V181" s="42"/>
      <c r="W181" s="42"/>
      <c r="X181" s="81"/>
    </row>
    <row r="182" spans="2:24" x14ac:dyDescent="0.25">
      <c r="B182" s="2">
        <v>1</v>
      </c>
      <c r="C182" s="1">
        <f t="shared" si="14"/>
        <v>18.117647058823522</v>
      </c>
      <c r="D182" s="1">
        <f t="shared" si="12"/>
        <v>1</v>
      </c>
      <c r="E182" s="1">
        <f t="shared" si="15"/>
        <v>0</v>
      </c>
      <c r="F182" s="31">
        <f t="shared" si="13"/>
        <v>14.6</v>
      </c>
      <c r="G182" s="31">
        <f t="shared" ca="1" si="17"/>
        <v>14.6</v>
      </c>
      <c r="H182" s="30">
        <f t="shared" ca="1" si="18"/>
        <v>0</v>
      </c>
      <c r="I182" s="31">
        <f t="shared" ca="1" si="19"/>
        <v>14.6</v>
      </c>
      <c r="Q182" s="80"/>
      <c r="R182" s="42"/>
      <c r="S182" s="90">
        <f t="shared" si="16"/>
        <v>12.399999999999972</v>
      </c>
      <c r="T182" s="42"/>
      <c r="U182" s="42"/>
      <c r="V182" s="42"/>
      <c r="W182" s="42"/>
      <c r="X182" s="81"/>
    </row>
    <row r="183" spans="2:24" x14ac:dyDescent="0.25">
      <c r="B183" s="2">
        <v>1</v>
      </c>
      <c r="C183" s="1">
        <f t="shared" si="14"/>
        <v>19.117647058823522</v>
      </c>
      <c r="D183" s="1">
        <f t="shared" si="12"/>
        <v>1</v>
      </c>
      <c r="E183" s="1">
        <f t="shared" si="15"/>
        <v>0</v>
      </c>
      <c r="F183" s="31">
        <f t="shared" si="13"/>
        <v>14.6</v>
      </c>
      <c r="G183" s="31">
        <f t="shared" ca="1" si="17"/>
        <v>14.6</v>
      </c>
      <c r="H183" s="30">
        <f t="shared" ca="1" si="18"/>
        <v>0</v>
      </c>
      <c r="I183" s="31">
        <f t="shared" ca="1" si="19"/>
        <v>14.6</v>
      </c>
      <c r="Q183" s="80"/>
      <c r="R183" s="42"/>
      <c r="S183" s="90">
        <f t="shared" si="16"/>
        <v>12.499999999999972</v>
      </c>
      <c r="T183" s="42"/>
      <c r="U183" s="42"/>
      <c r="V183" s="42"/>
      <c r="W183" s="42"/>
      <c r="X183" s="81"/>
    </row>
    <row r="184" spans="2:24" x14ac:dyDescent="0.25">
      <c r="B184" s="2">
        <v>1</v>
      </c>
      <c r="C184" s="1">
        <f t="shared" si="14"/>
        <v>20.117647058823522</v>
      </c>
      <c r="D184" s="1">
        <f t="shared" si="12"/>
        <v>1</v>
      </c>
      <c r="E184" s="1">
        <f t="shared" si="15"/>
        <v>0</v>
      </c>
      <c r="F184" s="31">
        <f t="shared" si="13"/>
        <v>14.6</v>
      </c>
      <c r="G184" s="31">
        <f t="shared" ca="1" si="17"/>
        <v>14.6</v>
      </c>
      <c r="H184" s="30">
        <f t="shared" ca="1" si="18"/>
        <v>0</v>
      </c>
      <c r="I184" s="31">
        <f t="shared" ca="1" si="19"/>
        <v>14.6</v>
      </c>
      <c r="Q184" s="80"/>
      <c r="R184" s="42"/>
      <c r="S184" s="90">
        <f t="shared" si="16"/>
        <v>12.599999999999971</v>
      </c>
      <c r="T184" s="42"/>
      <c r="U184" s="42"/>
      <c r="V184" s="42"/>
      <c r="W184" s="42"/>
      <c r="X184" s="81"/>
    </row>
    <row r="185" spans="2:24" x14ac:dyDescent="0.25">
      <c r="B185" s="2">
        <v>1</v>
      </c>
      <c r="C185" s="1">
        <f t="shared" si="14"/>
        <v>21.117647058823522</v>
      </c>
      <c r="D185" s="1">
        <f t="shared" si="12"/>
        <v>1</v>
      </c>
      <c r="E185" s="1">
        <f t="shared" si="15"/>
        <v>0</v>
      </c>
      <c r="F185" s="31">
        <f t="shared" si="13"/>
        <v>14.6</v>
      </c>
      <c r="G185" s="31">
        <f t="shared" ca="1" si="17"/>
        <v>14.6</v>
      </c>
      <c r="H185" s="30">
        <f t="shared" ca="1" si="18"/>
        <v>0</v>
      </c>
      <c r="I185" s="31">
        <f t="shared" ca="1" si="19"/>
        <v>14.6</v>
      </c>
      <c r="Q185" s="80"/>
      <c r="R185" s="42"/>
      <c r="S185" s="90">
        <f t="shared" si="16"/>
        <v>12.699999999999971</v>
      </c>
      <c r="T185" s="42"/>
      <c r="U185" s="42"/>
      <c r="V185" s="42"/>
      <c r="W185" s="42"/>
      <c r="X185" s="81"/>
    </row>
    <row r="186" spans="2:24" x14ac:dyDescent="0.25">
      <c r="B186" s="2">
        <v>1</v>
      </c>
      <c r="C186" s="1">
        <f t="shared" si="14"/>
        <v>22.117647058823522</v>
      </c>
      <c r="D186" s="1">
        <f t="shared" ref="D186:D249" si="20">IF(C186&lt;=Inhelation_Time_RT,1,0)</f>
        <v>1</v>
      </c>
      <c r="E186" s="1">
        <f t="shared" si="15"/>
        <v>0</v>
      </c>
      <c r="F186" s="31">
        <f t="shared" ref="F186:F249" si="21">(D186*Inspiratory_pressure_level) + (E186*PEEP)</f>
        <v>14.6</v>
      </c>
      <c r="G186" s="31">
        <f t="shared" ca="1" si="17"/>
        <v>14.6</v>
      </c>
      <c r="H186" s="30">
        <f t="shared" ca="1" si="18"/>
        <v>0</v>
      </c>
      <c r="I186" s="31">
        <f t="shared" ca="1" si="19"/>
        <v>14.6</v>
      </c>
      <c r="Q186" s="80"/>
      <c r="R186" s="42"/>
      <c r="S186" s="90">
        <f t="shared" si="16"/>
        <v>12.799999999999971</v>
      </c>
      <c r="T186" s="42"/>
      <c r="U186" s="42"/>
      <c r="V186" s="42"/>
      <c r="W186" s="42"/>
      <c r="X186" s="81"/>
    </row>
    <row r="187" spans="2:24" x14ac:dyDescent="0.25">
      <c r="B187" s="2">
        <v>1</v>
      </c>
      <c r="C187" s="1">
        <f t="shared" ref="C187:C250" si="22">MOD(C186+B187,time_for_breath_RT)</f>
        <v>23.117647058823522</v>
      </c>
      <c r="D187" s="1">
        <f t="shared" si="20"/>
        <v>0</v>
      </c>
      <c r="E187" s="1">
        <f t="shared" ref="E187:E250" si="23">IF(D187=1,0,1)</f>
        <v>1</v>
      </c>
      <c r="F187" s="31">
        <f t="shared" si="21"/>
        <v>6.4</v>
      </c>
      <c r="G187" s="31">
        <f t="shared" ca="1" si="17"/>
        <v>0</v>
      </c>
      <c r="H187" s="30">
        <f t="shared" ca="1" si="18"/>
        <v>14.6</v>
      </c>
      <c r="I187" s="31">
        <f t="shared" ca="1" si="19"/>
        <v>14.6</v>
      </c>
      <c r="Q187" s="80"/>
      <c r="R187" s="42"/>
      <c r="S187" s="90">
        <f t="shared" ref="S187:S250" si="24">S186+(B186 / RTC_to_seconds)</f>
        <v>12.89999999999997</v>
      </c>
      <c r="T187" s="42"/>
      <c r="U187" s="42"/>
      <c r="V187" s="42"/>
      <c r="W187" s="42"/>
      <c r="X187" s="81"/>
    </row>
    <row r="188" spans="2:24" x14ac:dyDescent="0.25">
      <c r="B188" s="2">
        <v>1</v>
      </c>
      <c r="C188" s="1">
        <f t="shared" si="22"/>
        <v>24.117647058823522</v>
      </c>
      <c r="D188" s="1">
        <f t="shared" si="20"/>
        <v>0</v>
      </c>
      <c r="E188" s="1">
        <f t="shared" si="23"/>
        <v>1</v>
      </c>
      <c r="F188" s="31">
        <f t="shared" si="21"/>
        <v>6.4</v>
      </c>
      <c r="G188" s="31">
        <f t="shared" ca="1" si="17"/>
        <v>0</v>
      </c>
      <c r="H188" s="30">
        <f t="shared" ca="1" si="18"/>
        <v>6.4</v>
      </c>
      <c r="I188" s="31">
        <f t="shared" ca="1" si="19"/>
        <v>6.4</v>
      </c>
      <c r="Q188" s="80"/>
      <c r="R188" s="42"/>
      <c r="S188" s="90">
        <f t="shared" si="24"/>
        <v>12.99999999999997</v>
      </c>
      <c r="T188" s="42"/>
      <c r="U188" s="42"/>
      <c r="V188" s="42"/>
      <c r="W188" s="42"/>
      <c r="X188" s="81"/>
    </row>
    <row r="189" spans="2:24" x14ac:dyDescent="0.25">
      <c r="B189" s="2">
        <v>1</v>
      </c>
      <c r="C189" s="1">
        <f t="shared" si="22"/>
        <v>25.117647058823522</v>
      </c>
      <c r="D189" s="1">
        <f t="shared" si="20"/>
        <v>0</v>
      </c>
      <c r="E189" s="1">
        <f t="shared" si="23"/>
        <v>1</v>
      </c>
      <c r="F189" s="31">
        <f t="shared" si="21"/>
        <v>6.4</v>
      </c>
      <c r="G189" s="31">
        <f t="shared" ca="1" si="17"/>
        <v>0</v>
      </c>
      <c r="H189" s="30">
        <f t="shared" ca="1" si="18"/>
        <v>6.4</v>
      </c>
      <c r="I189" s="31">
        <f t="shared" ca="1" si="19"/>
        <v>6.4</v>
      </c>
      <c r="Q189" s="80"/>
      <c r="R189" s="42"/>
      <c r="S189" s="90">
        <f t="shared" si="24"/>
        <v>13.099999999999969</v>
      </c>
      <c r="T189" s="42"/>
      <c r="U189" s="42"/>
      <c r="V189" s="42"/>
      <c r="W189" s="42"/>
      <c r="X189" s="81"/>
    </row>
    <row r="190" spans="2:24" x14ac:dyDescent="0.25">
      <c r="B190" s="2">
        <v>1</v>
      </c>
      <c r="C190" s="1">
        <f t="shared" si="22"/>
        <v>26.117647058823522</v>
      </c>
      <c r="D190" s="1">
        <f t="shared" si="20"/>
        <v>0</v>
      </c>
      <c r="E190" s="1">
        <f t="shared" si="23"/>
        <v>1</v>
      </c>
      <c r="F190" s="31">
        <f t="shared" si="21"/>
        <v>6.4</v>
      </c>
      <c r="G190" s="31">
        <f t="shared" ca="1" si="17"/>
        <v>0</v>
      </c>
      <c r="H190" s="30">
        <f t="shared" ca="1" si="18"/>
        <v>6.4</v>
      </c>
      <c r="I190" s="31">
        <f t="shared" ca="1" si="19"/>
        <v>6.4</v>
      </c>
      <c r="Q190" s="80"/>
      <c r="R190" s="42"/>
      <c r="S190" s="90">
        <f t="shared" si="24"/>
        <v>13.199999999999969</v>
      </c>
      <c r="T190" s="42"/>
      <c r="U190" s="42"/>
      <c r="V190" s="42"/>
      <c r="W190" s="42"/>
      <c r="X190" s="81"/>
    </row>
    <row r="191" spans="2:24" x14ac:dyDescent="0.25">
      <c r="B191" s="2">
        <v>1</v>
      </c>
      <c r="C191" s="1">
        <f t="shared" si="22"/>
        <v>27.117647058823522</v>
      </c>
      <c r="D191" s="1">
        <f t="shared" si="20"/>
        <v>0</v>
      </c>
      <c r="E191" s="1">
        <f t="shared" si="23"/>
        <v>1</v>
      </c>
      <c r="F191" s="31">
        <f t="shared" si="21"/>
        <v>6.4</v>
      </c>
      <c r="G191" s="31">
        <f t="shared" ca="1" si="17"/>
        <v>0</v>
      </c>
      <c r="H191" s="30">
        <f t="shared" ca="1" si="18"/>
        <v>6.4</v>
      </c>
      <c r="I191" s="31">
        <f t="shared" ca="1" si="19"/>
        <v>6.4</v>
      </c>
      <c r="Q191" s="80"/>
      <c r="R191" s="42"/>
      <c r="S191" s="90">
        <f t="shared" si="24"/>
        <v>13.299999999999969</v>
      </c>
      <c r="T191" s="42"/>
      <c r="U191" s="42"/>
      <c r="V191" s="42"/>
      <c r="W191" s="42"/>
      <c r="X191" s="81"/>
    </row>
    <row r="192" spans="2:24" x14ac:dyDescent="0.25">
      <c r="B192" s="2">
        <v>1</v>
      </c>
      <c r="C192" s="1">
        <f t="shared" si="22"/>
        <v>28.117647058823522</v>
      </c>
      <c r="D192" s="1">
        <f t="shared" si="20"/>
        <v>0</v>
      </c>
      <c r="E192" s="1">
        <f t="shared" si="23"/>
        <v>1</v>
      </c>
      <c r="F192" s="31">
        <f t="shared" si="21"/>
        <v>6.4</v>
      </c>
      <c r="G192" s="31">
        <f t="shared" ca="1" si="17"/>
        <v>0</v>
      </c>
      <c r="H192" s="30">
        <f t="shared" ca="1" si="18"/>
        <v>6.4</v>
      </c>
      <c r="I192" s="31">
        <f t="shared" ca="1" si="19"/>
        <v>6.4</v>
      </c>
      <c r="Q192" s="80"/>
      <c r="R192" s="42"/>
      <c r="S192" s="90">
        <f t="shared" si="24"/>
        <v>13.399999999999968</v>
      </c>
      <c r="T192" s="42"/>
      <c r="U192" s="42"/>
      <c r="V192" s="42"/>
      <c r="W192" s="42"/>
      <c r="X192" s="81"/>
    </row>
    <row r="193" spans="2:24" x14ac:dyDescent="0.25">
      <c r="B193" s="2">
        <v>1</v>
      </c>
      <c r="C193" s="1">
        <f t="shared" si="22"/>
        <v>29.117647058823522</v>
      </c>
      <c r="D193" s="1">
        <f t="shared" si="20"/>
        <v>0</v>
      </c>
      <c r="E193" s="1">
        <f t="shared" si="23"/>
        <v>1</v>
      </c>
      <c r="F193" s="31">
        <f t="shared" si="21"/>
        <v>6.4</v>
      </c>
      <c r="G193" s="31">
        <f t="shared" ca="1" si="17"/>
        <v>0</v>
      </c>
      <c r="H193" s="30">
        <f t="shared" ca="1" si="18"/>
        <v>6.4</v>
      </c>
      <c r="I193" s="31">
        <f t="shared" ca="1" si="19"/>
        <v>6.4</v>
      </c>
      <c r="Q193" s="80"/>
      <c r="R193" s="42"/>
      <c r="S193" s="90">
        <f t="shared" si="24"/>
        <v>13.499999999999968</v>
      </c>
      <c r="T193" s="42"/>
      <c r="U193" s="42"/>
      <c r="V193" s="42"/>
      <c r="W193" s="42"/>
      <c r="X193" s="81"/>
    </row>
    <row r="194" spans="2:24" x14ac:dyDescent="0.25">
      <c r="B194" s="2">
        <v>1</v>
      </c>
      <c r="C194" s="1">
        <f t="shared" si="22"/>
        <v>30.117647058823522</v>
      </c>
      <c r="D194" s="1">
        <f t="shared" si="20"/>
        <v>0</v>
      </c>
      <c r="E194" s="1">
        <f t="shared" si="23"/>
        <v>1</v>
      </c>
      <c r="F194" s="31">
        <f t="shared" si="21"/>
        <v>6.4</v>
      </c>
      <c r="G194" s="31">
        <f t="shared" ca="1" si="17"/>
        <v>0</v>
      </c>
      <c r="H194" s="30">
        <f t="shared" ca="1" si="18"/>
        <v>6.4</v>
      </c>
      <c r="I194" s="31">
        <f t="shared" ca="1" si="19"/>
        <v>6.4</v>
      </c>
      <c r="Q194" s="80"/>
      <c r="R194" s="42"/>
      <c r="S194" s="90">
        <f t="shared" si="24"/>
        <v>13.599999999999968</v>
      </c>
      <c r="T194" s="42"/>
      <c r="U194" s="42"/>
      <c r="V194" s="42"/>
      <c r="W194" s="42"/>
      <c r="X194" s="81"/>
    </row>
    <row r="195" spans="2:24" x14ac:dyDescent="0.25">
      <c r="B195" s="2">
        <v>1</v>
      </c>
      <c r="C195" s="1">
        <f t="shared" si="22"/>
        <v>31.117647058823522</v>
      </c>
      <c r="D195" s="1">
        <f t="shared" si="20"/>
        <v>0</v>
      </c>
      <c r="E195" s="1">
        <f t="shared" si="23"/>
        <v>1</v>
      </c>
      <c r="F195" s="31">
        <f t="shared" si="21"/>
        <v>6.4</v>
      </c>
      <c r="G195" s="31">
        <f t="shared" ca="1" si="17"/>
        <v>0</v>
      </c>
      <c r="H195" s="30">
        <f t="shared" ca="1" si="18"/>
        <v>6.4</v>
      </c>
      <c r="I195" s="31">
        <f t="shared" ca="1" si="19"/>
        <v>6.4</v>
      </c>
      <c r="Q195" s="80"/>
      <c r="R195" s="42"/>
      <c r="S195" s="90">
        <f t="shared" si="24"/>
        <v>13.699999999999967</v>
      </c>
      <c r="T195" s="42"/>
      <c r="U195" s="42"/>
      <c r="V195" s="42"/>
      <c r="W195" s="42"/>
      <c r="X195" s="81"/>
    </row>
    <row r="196" spans="2:24" x14ac:dyDescent="0.25">
      <c r="B196" s="2">
        <v>1</v>
      </c>
      <c r="C196" s="1">
        <f t="shared" si="22"/>
        <v>32.117647058823522</v>
      </c>
      <c r="D196" s="1">
        <f t="shared" si="20"/>
        <v>0</v>
      </c>
      <c r="E196" s="1">
        <f t="shared" si="23"/>
        <v>1</v>
      </c>
      <c r="F196" s="31">
        <f t="shared" si="21"/>
        <v>6.4</v>
      </c>
      <c r="G196" s="31">
        <f t="shared" ca="1" si="17"/>
        <v>0</v>
      </c>
      <c r="H196" s="30">
        <f t="shared" ca="1" si="18"/>
        <v>6.4</v>
      </c>
      <c r="I196" s="31">
        <f t="shared" ca="1" si="19"/>
        <v>6.4</v>
      </c>
      <c r="Q196" s="80"/>
      <c r="R196" s="42"/>
      <c r="S196" s="90">
        <f t="shared" si="24"/>
        <v>13.799999999999967</v>
      </c>
      <c r="T196" s="42"/>
      <c r="U196" s="42"/>
      <c r="V196" s="42"/>
      <c r="W196" s="42"/>
      <c r="X196" s="81"/>
    </row>
    <row r="197" spans="2:24" x14ac:dyDescent="0.25">
      <c r="B197" s="2">
        <v>1</v>
      </c>
      <c r="C197" s="1">
        <f t="shared" si="22"/>
        <v>33.117647058823522</v>
      </c>
      <c r="D197" s="1">
        <f t="shared" si="20"/>
        <v>0</v>
      </c>
      <c r="E197" s="1">
        <f t="shared" si="23"/>
        <v>1</v>
      </c>
      <c r="F197" s="31">
        <f t="shared" si="21"/>
        <v>6.4</v>
      </c>
      <c r="G197" s="31">
        <f t="shared" ca="1" si="17"/>
        <v>0</v>
      </c>
      <c r="H197" s="30">
        <f t="shared" ca="1" si="18"/>
        <v>6.4</v>
      </c>
      <c r="I197" s="31">
        <f t="shared" ca="1" si="19"/>
        <v>6.4</v>
      </c>
      <c r="Q197" s="80"/>
      <c r="R197" s="42"/>
      <c r="S197" s="90">
        <f t="shared" si="24"/>
        <v>13.899999999999967</v>
      </c>
      <c r="T197" s="42"/>
      <c r="U197" s="42"/>
      <c r="V197" s="42"/>
      <c r="W197" s="42"/>
      <c r="X197" s="81"/>
    </row>
    <row r="198" spans="2:24" x14ac:dyDescent="0.25">
      <c r="B198" s="2">
        <v>1</v>
      </c>
      <c r="C198" s="1">
        <f t="shared" si="22"/>
        <v>34.117647058823522</v>
      </c>
      <c r="D198" s="1">
        <f t="shared" si="20"/>
        <v>0</v>
      </c>
      <c r="E198" s="1">
        <f t="shared" si="23"/>
        <v>1</v>
      </c>
      <c r="F198" s="31">
        <f t="shared" si="21"/>
        <v>6.4</v>
      </c>
      <c r="G198" s="31">
        <f t="shared" ca="1" si="17"/>
        <v>0</v>
      </c>
      <c r="H198" s="30">
        <f t="shared" ca="1" si="18"/>
        <v>6.4</v>
      </c>
      <c r="I198" s="31">
        <f t="shared" ca="1" si="19"/>
        <v>6.4</v>
      </c>
      <c r="Q198" s="80"/>
      <c r="R198" s="42"/>
      <c r="S198" s="90">
        <f t="shared" si="24"/>
        <v>13.999999999999966</v>
      </c>
      <c r="T198" s="42"/>
      <c r="U198" s="42"/>
      <c r="V198" s="42"/>
      <c r="W198" s="42"/>
      <c r="X198" s="81"/>
    </row>
    <row r="199" spans="2:24" x14ac:dyDescent="0.25">
      <c r="B199" s="2">
        <v>1</v>
      </c>
      <c r="C199" s="1">
        <f t="shared" si="22"/>
        <v>35.117647058823522</v>
      </c>
      <c r="D199" s="1">
        <f t="shared" si="20"/>
        <v>0</v>
      </c>
      <c r="E199" s="1">
        <f t="shared" si="23"/>
        <v>1</v>
      </c>
      <c r="F199" s="31">
        <f t="shared" si="21"/>
        <v>6.4</v>
      </c>
      <c r="G199" s="31">
        <f t="shared" ca="1" si="17"/>
        <v>0</v>
      </c>
      <c r="H199" s="30">
        <f t="shared" ca="1" si="18"/>
        <v>6.4</v>
      </c>
      <c r="I199" s="31">
        <f t="shared" ca="1" si="19"/>
        <v>6.4</v>
      </c>
      <c r="Q199" s="80"/>
      <c r="R199" s="42"/>
      <c r="S199" s="90">
        <f t="shared" si="24"/>
        <v>14.099999999999966</v>
      </c>
      <c r="T199" s="42"/>
      <c r="U199" s="42"/>
      <c r="V199" s="42"/>
      <c r="W199" s="42"/>
      <c r="X199" s="81"/>
    </row>
    <row r="200" spans="2:24" x14ac:dyDescent="0.25">
      <c r="B200" s="2">
        <v>1</v>
      </c>
      <c r="C200" s="1">
        <f t="shared" si="22"/>
        <v>0.82352941176469585</v>
      </c>
      <c r="D200" s="1">
        <f t="shared" si="20"/>
        <v>1</v>
      </c>
      <c r="E200" s="1">
        <f t="shared" si="23"/>
        <v>0</v>
      </c>
      <c r="F200" s="31">
        <f t="shared" si="21"/>
        <v>14.6</v>
      </c>
      <c r="G200" s="31">
        <f t="shared" ca="1" si="17"/>
        <v>6.4</v>
      </c>
      <c r="H200" s="30">
        <f t="shared" ca="1" si="18"/>
        <v>0</v>
      </c>
      <c r="I200" s="31">
        <f t="shared" ca="1" si="19"/>
        <v>6.4</v>
      </c>
      <c r="Q200" s="80"/>
      <c r="R200" s="42"/>
      <c r="S200" s="90">
        <f t="shared" si="24"/>
        <v>14.199999999999966</v>
      </c>
      <c r="T200" s="42"/>
      <c r="U200" s="42"/>
      <c r="V200" s="42"/>
      <c r="W200" s="42"/>
      <c r="X200" s="81"/>
    </row>
    <row r="201" spans="2:24" x14ac:dyDescent="0.25">
      <c r="B201" s="2">
        <v>1</v>
      </c>
      <c r="C201" s="1">
        <f t="shared" si="22"/>
        <v>1.8235294117646959</v>
      </c>
      <c r="D201" s="1">
        <f t="shared" si="20"/>
        <v>1</v>
      </c>
      <c r="E201" s="1">
        <f t="shared" si="23"/>
        <v>0</v>
      </c>
      <c r="F201" s="31">
        <f t="shared" si="21"/>
        <v>14.6</v>
      </c>
      <c r="G201" s="31">
        <f t="shared" ca="1" si="17"/>
        <v>8.4500000000000011</v>
      </c>
      <c r="H201" s="30">
        <f t="shared" ca="1" si="18"/>
        <v>0</v>
      </c>
      <c r="I201" s="31">
        <f t="shared" ca="1" si="19"/>
        <v>8.4500000000000011</v>
      </c>
      <c r="Q201" s="80"/>
      <c r="R201" s="42"/>
      <c r="S201" s="90">
        <f t="shared" si="24"/>
        <v>14.299999999999965</v>
      </c>
      <c r="T201" s="42"/>
      <c r="U201" s="42"/>
      <c r="V201" s="42"/>
      <c r="W201" s="42"/>
      <c r="X201" s="81"/>
    </row>
    <row r="202" spans="2:24" x14ac:dyDescent="0.25">
      <c r="B202" s="2">
        <v>1</v>
      </c>
      <c r="C202" s="1">
        <f t="shared" si="22"/>
        <v>2.8235294117646959</v>
      </c>
      <c r="D202" s="1">
        <f t="shared" si="20"/>
        <v>1</v>
      </c>
      <c r="E202" s="1">
        <f t="shared" si="23"/>
        <v>0</v>
      </c>
      <c r="F202" s="31">
        <f t="shared" si="21"/>
        <v>14.6</v>
      </c>
      <c r="G202" s="31">
        <f t="shared" ca="1" si="17"/>
        <v>10.5</v>
      </c>
      <c r="H202" s="30">
        <f t="shared" ca="1" si="18"/>
        <v>0</v>
      </c>
      <c r="I202" s="31">
        <f t="shared" ca="1" si="19"/>
        <v>10.5</v>
      </c>
      <c r="Q202" s="80"/>
      <c r="R202" s="42"/>
      <c r="S202" s="90">
        <f t="shared" si="24"/>
        <v>14.399999999999965</v>
      </c>
      <c r="T202" s="42"/>
      <c r="U202" s="42"/>
      <c r="V202" s="42"/>
      <c r="W202" s="42"/>
      <c r="X202" s="81"/>
    </row>
    <row r="203" spans="2:24" x14ac:dyDescent="0.25">
      <c r="B203" s="2">
        <v>1</v>
      </c>
      <c r="C203" s="1">
        <f t="shared" si="22"/>
        <v>3.8235294117646959</v>
      </c>
      <c r="D203" s="1">
        <f t="shared" si="20"/>
        <v>1</v>
      </c>
      <c r="E203" s="1">
        <f t="shared" si="23"/>
        <v>0</v>
      </c>
      <c r="F203" s="31">
        <f t="shared" si="21"/>
        <v>14.6</v>
      </c>
      <c r="G203" s="31">
        <f t="shared" ref="G203:G266" ca="1" si="25">IF(D203=1, AVERAGE(OFFSET(F203,-$L$27,0,$L$27,1)),0)</f>
        <v>12.55</v>
      </c>
      <c r="H203" s="30">
        <f t="shared" ref="H203:H266" ca="1" si="26">IF(D203=0, AVERAGE(OFFSET(F203,-$L$28,0,$L$28,1)),0)</f>
        <v>0</v>
      </c>
      <c r="I203" s="31">
        <f t="shared" ref="I203:I266" ca="1" si="27">G203+H203</f>
        <v>12.55</v>
      </c>
      <c r="Q203" s="80"/>
      <c r="R203" s="42"/>
      <c r="S203" s="90">
        <f t="shared" si="24"/>
        <v>14.499999999999964</v>
      </c>
      <c r="T203" s="42"/>
      <c r="U203" s="42"/>
      <c r="V203" s="42"/>
      <c r="W203" s="42"/>
      <c r="X203" s="81"/>
    </row>
    <row r="204" spans="2:24" x14ac:dyDescent="0.25">
      <c r="B204" s="2">
        <v>1</v>
      </c>
      <c r="C204" s="1">
        <f t="shared" si="22"/>
        <v>4.8235294117646959</v>
      </c>
      <c r="D204" s="1">
        <f t="shared" si="20"/>
        <v>1</v>
      </c>
      <c r="E204" s="1">
        <f t="shared" si="23"/>
        <v>0</v>
      </c>
      <c r="F204" s="31">
        <f t="shared" si="21"/>
        <v>14.6</v>
      </c>
      <c r="G204" s="31">
        <f t="shared" ca="1" si="25"/>
        <v>14.6</v>
      </c>
      <c r="H204" s="30">
        <f t="shared" ca="1" si="26"/>
        <v>0</v>
      </c>
      <c r="I204" s="31">
        <f t="shared" ca="1" si="27"/>
        <v>14.6</v>
      </c>
      <c r="Q204" s="80"/>
      <c r="R204" s="42"/>
      <c r="S204" s="90">
        <f t="shared" si="24"/>
        <v>14.599999999999964</v>
      </c>
      <c r="T204" s="42"/>
      <c r="U204" s="42"/>
      <c r="V204" s="42"/>
      <c r="W204" s="42"/>
      <c r="X204" s="81"/>
    </row>
    <row r="205" spans="2:24" x14ac:dyDescent="0.25">
      <c r="B205" s="2">
        <v>1</v>
      </c>
      <c r="C205" s="1">
        <f t="shared" si="22"/>
        <v>5.8235294117646959</v>
      </c>
      <c r="D205" s="1">
        <f t="shared" si="20"/>
        <v>1</v>
      </c>
      <c r="E205" s="1">
        <f t="shared" si="23"/>
        <v>0</v>
      </c>
      <c r="F205" s="31">
        <f t="shared" si="21"/>
        <v>14.6</v>
      </c>
      <c r="G205" s="31">
        <f t="shared" ca="1" si="25"/>
        <v>14.6</v>
      </c>
      <c r="H205" s="30">
        <f t="shared" ca="1" si="26"/>
        <v>0</v>
      </c>
      <c r="I205" s="31">
        <f t="shared" ca="1" si="27"/>
        <v>14.6</v>
      </c>
      <c r="Q205" s="80"/>
      <c r="R205" s="42"/>
      <c r="S205" s="90">
        <f t="shared" si="24"/>
        <v>14.699999999999964</v>
      </c>
      <c r="T205" s="42"/>
      <c r="U205" s="42"/>
      <c r="V205" s="42"/>
      <c r="W205" s="42"/>
      <c r="X205" s="81"/>
    </row>
    <row r="206" spans="2:24" x14ac:dyDescent="0.25">
      <c r="B206" s="2">
        <v>1</v>
      </c>
      <c r="C206" s="1">
        <f t="shared" si="22"/>
        <v>6.8235294117646959</v>
      </c>
      <c r="D206" s="1">
        <f t="shared" si="20"/>
        <v>1</v>
      </c>
      <c r="E206" s="1">
        <f t="shared" si="23"/>
        <v>0</v>
      </c>
      <c r="F206" s="31">
        <f t="shared" si="21"/>
        <v>14.6</v>
      </c>
      <c r="G206" s="31">
        <f t="shared" ca="1" si="25"/>
        <v>14.6</v>
      </c>
      <c r="H206" s="30">
        <f t="shared" ca="1" si="26"/>
        <v>0</v>
      </c>
      <c r="I206" s="31">
        <f t="shared" ca="1" si="27"/>
        <v>14.6</v>
      </c>
      <c r="Q206" s="80"/>
      <c r="R206" s="42"/>
      <c r="S206" s="90">
        <f t="shared" si="24"/>
        <v>14.799999999999963</v>
      </c>
      <c r="T206" s="42"/>
      <c r="U206" s="42"/>
      <c r="V206" s="42"/>
      <c r="W206" s="42"/>
      <c r="X206" s="81"/>
    </row>
    <row r="207" spans="2:24" x14ac:dyDescent="0.25">
      <c r="B207" s="2">
        <v>1</v>
      </c>
      <c r="C207" s="1">
        <f t="shared" si="22"/>
        <v>7.8235294117646959</v>
      </c>
      <c r="D207" s="1">
        <f t="shared" si="20"/>
        <v>1</v>
      </c>
      <c r="E207" s="1">
        <f t="shared" si="23"/>
        <v>0</v>
      </c>
      <c r="F207" s="31">
        <f t="shared" si="21"/>
        <v>14.6</v>
      </c>
      <c r="G207" s="31">
        <f t="shared" ca="1" si="25"/>
        <v>14.6</v>
      </c>
      <c r="H207" s="30">
        <f t="shared" ca="1" si="26"/>
        <v>0</v>
      </c>
      <c r="I207" s="31">
        <f t="shared" ca="1" si="27"/>
        <v>14.6</v>
      </c>
      <c r="Q207" s="80"/>
      <c r="R207" s="42"/>
      <c r="S207" s="90">
        <f t="shared" si="24"/>
        <v>14.899999999999963</v>
      </c>
      <c r="T207" s="42"/>
      <c r="U207" s="42"/>
      <c r="V207" s="42"/>
      <c r="W207" s="42"/>
      <c r="X207" s="81"/>
    </row>
    <row r="208" spans="2:24" x14ac:dyDescent="0.25">
      <c r="B208" s="2">
        <v>1</v>
      </c>
      <c r="C208" s="1">
        <f t="shared" si="22"/>
        <v>8.8235294117646959</v>
      </c>
      <c r="D208" s="1">
        <f t="shared" si="20"/>
        <v>1</v>
      </c>
      <c r="E208" s="1">
        <f t="shared" si="23"/>
        <v>0</v>
      </c>
      <c r="F208" s="31">
        <f t="shared" si="21"/>
        <v>14.6</v>
      </c>
      <c r="G208" s="31">
        <f t="shared" ca="1" si="25"/>
        <v>14.6</v>
      </c>
      <c r="H208" s="30">
        <f t="shared" ca="1" si="26"/>
        <v>0</v>
      </c>
      <c r="I208" s="31">
        <f t="shared" ca="1" si="27"/>
        <v>14.6</v>
      </c>
      <c r="Q208" s="80"/>
      <c r="R208" s="42"/>
      <c r="S208" s="90">
        <f t="shared" si="24"/>
        <v>14.999999999999963</v>
      </c>
      <c r="T208" s="42"/>
      <c r="U208" s="42"/>
      <c r="V208" s="42"/>
      <c r="W208" s="42"/>
      <c r="X208" s="81"/>
    </row>
    <row r="209" spans="2:24" x14ac:dyDescent="0.25">
      <c r="B209" s="2">
        <v>1</v>
      </c>
      <c r="C209" s="1">
        <f t="shared" si="22"/>
        <v>9.8235294117646959</v>
      </c>
      <c r="D209" s="1">
        <f t="shared" si="20"/>
        <v>1</v>
      </c>
      <c r="E209" s="1">
        <f t="shared" si="23"/>
        <v>0</v>
      </c>
      <c r="F209" s="31">
        <f t="shared" si="21"/>
        <v>14.6</v>
      </c>
      <c r="G209" s="31">
        <f t="shared" ca="1" si="25"/>
        <v>14.6</v>
      </c>
      <c r="H209" s="30">
        <f t="shared" ca="1" si="26"/>
        <v>0</v>
      </c>
      <c r="I209" s="31">
        <f t="shared" ca="1" si="27"/>
        <v>14.6</v>
      </c>
      <c r="Q209" s="80"/>
      <c r="R209" s="42"/>
      <c r="S209" s="90">
        <f t="shared" si="24"/>
        <v>15.099999999999962</v>
      </c>
      <c r="T209" s="42"/>
      <c r="U209" s="42"/>
      <c r="V209" s="42"/>
      <c r="W209" s="42"/>
      <c r="X209" s="81"/>
    </row>
    <row r="210" spans="2:24" x14ac:dyDescent="0.25">
      <c r="B210" s="2">
        <v>1</v>
      </c>
      <c r="C210" s="1">
        <f t="shared" si="22"/>
        <v>10.823529411764696</v>
      </c>
      <c r="D210" s="1">
        <f t="shared" si="20"/>
        <v>1</v>
      </c>
      <c r="E210" s="1">
        <f t="shared" si="23"/>
        <v>0</v>
      </c>
      <c r="F210" s="31">
        <f t="shared" si="21"/>
        <v>14.6</v>
      </c>
      <c r="G210" s="31">
        <f t="shared" ca="1" si="25"/>
        <v>14.6</v>
      </c>
      <c r="H210" s="30">
        <f t="shared" ca="1" si="26"/>
        <v>0</v>
      </c>
      <c r="I210" s="31">
        <f t="shared" ca="1" si="27"/>
        <v>14.6</v>
      </c>
      <c r="Q210" s="80"/>
      <c r="R210" s="42"/>
      <c r="S210" s="90">
        <f t="shared" si="24"/>
        <v>15.199999999999962</v>
      </c>
      <c r="T210" s="42"/>
      <c r="U210" s="42"/>
      <c r="V210" s="42"/>
      <c r="W210" s="42"/>
      <c r="X210" s="81"/>
    </row>
    <row r="211" spans="2:24" x14ac:dyDescent="0.25">
      <c r="B211" s="2">
        <v>1</v>
      </c>
      <c r="C211" s="1">
        <f t="shared" si="22"/>
        <v>11.823529411764696</v>
      </c>
      <c r="D211" s="1">
        <f t="shared" si="20"/>
        <v>1</v>
      </c>
      <c r="E211" s="1">
        <f t="shared" si="23"/>
        <v>0</v>
      </c>
      <c r="F211" s="31">
        <f t="shared" si="21"/>
        <v>14.6</v>
      </c>
      <c r="G211" s="31">
        <f t="shared" ca="1" si="25"/>
        <v>14.6</v>
      </c>
      <c r="H211" s="30">
        <f t="shared" ca="1" si="26"/>
        <v>0</v>
      </c>
      <c r="I211" s="31">
        <f t="shared" ca="1" si="27"/>
        <v>14.6</v>
      </c>
      <c r="Q211" s="80"/>
      <c r="R211" s="42"/>
      <c r="S211" s="90">
        <f t="shared" si="24"/>
        <v>15.299999999999962</v>
      </c>
      <c r="T211" s="42"/>
      <c r="U211" s="42"/>
      <c r="V211" s="42"/>
      <c r="W211" s="42"/>
      <c r="X211" s="81"/>
    </row>
    <row r="212" spans="2:24" x14ac:dyDescent="0.25">
      <c r="B212" s="2">
        <v>1</v>
      </c>
      <c r="C212" s="1">
        <f t="shared" si="22"/>
        <v>12.823529411764696</v>
      </c>
      <c r="D212" s="1">
        <f t="shared" si="20"/>
        <v>1</v>
      </c>
      <c r="E212" s="1">
        <f t="shared" si="23"/>
        <v>0</v>
      </c>
      <c r="F212" s="31">
        <f t="shared" si="21"/>
        <v>14.6</v>
      </c>
      <c r="G212" s="31">
        <f t="shared" ca="1" si="25"/>
        <v>14.6</v>
      </c>
      <c r="H212" s="30">
        <f t="shared" ca="1" si="26"/>
        <v>0</v>
      </c>
      <c r="I212" s="31">
        <f t="shared" ca="1" si="27"/>
        <v>14.6</v>
      </c>
      <c r="Q212" s="80"/>
      <c r="R212" s="42"/>
      <c r="S212" s="90">
        <f t="shared" si="24"/>
        <v>15.399999999999961</v>
      </c>
      <c r="T212" s="42"/>
      <c r="U212" s="42"/>
      <c r="V212" s="42"/>
      <c r="W212" s="42"/>
      <c r="X212" s="81"/>
    </row>
    <row r="213" spans="2:24" x14ac:dyDescent="0.25">
      <c r="B213" s="2">
        <v>1</v>
      </c>
      <c r="C213" s="1">
        <f t="shared" si="22"/>
        <v>13.823529411764696</v>
      </c>
      <c r="D213" s="1">
        <f t="shared" si="20"/>
        <v>1</v>
      </c>
      <c r="E213" s="1">
        <f t="shared" si="23"/>
        <v>0</v>
      </c>
      <c r="F213" s="31">
        <f t="shared" si="21"/>
        <v>14.6</v>
      </c>
      <c r="G213" s="31">
        <f t="shared" ca="1" si="25"/>
        <v>14.6</v>
      </c>
      <c r="H213" s="30">
        <f t="shared" ca="1" si="26"/>
        <v>0</v>
      </c>
      <c r="I213" s="31">
        <f t="shared" ca="1" si="27"/>
        <v>14.6</v>
      </c>
      <c r="Q213" s="80"/>
      <c r="R213" s="42"/>
      <c r="S213" s="90">
        <f t="shared" si="24"/>
        <v>15.499999999999961</v>
      </c>
      <c r="T213" s="42"/>
      <c r="U213" s="42"/>
      <c r="V213" s="42"/>
      <c r="W213" s="42"/>
      <c r="X213" s="81"/>
    </row>
    <row r="214" spans="2:24" x14ac:dyDescent="0.25">
      <c r="B214" s="2">
        <v>1</v>
      </c>
      <c r="C214" s="1">
        <f t="shared" si="22"/>
        <v>14.823529411764696</v>
      </c>
      <c r="D214" s="1">
        <f t="shared" si="20"/>
        <v>1</v>
      </c>
      <c r="E214" s="1">
        <f t="shared" si="23"/>
        <v>0</v>
      </c>
      <c r="F214" s="31">
        <f t="shared" si="21"/>
        <v>14.6</v>
      </c>
      <c r="G214" s="31">
        <f t="shared" ca="1" si="25"/>
        <v>14.6</v>
      </c>
      <c r="H214" s="30">
        <f t="shared" ca="1" si="26"/>
        <v>0</v>
      </c>
      <c r="I214" s="31">
        <f t="shared" ca="1" si="27"/>
        <v>14.6</v>
      </c>
      <c r="Q214" s="80"/>
      <c r="R214" s="42"/>
      <c r="S214" s="90">
        <f t="shared" si="24"/>
        <v>15.599999999999961</v>
      </c>
      <c r="T214" s="42"/>
      <c r="U214" s="42"/>
      <c r="V214" s="42"/>
      <c r="W214" s="42"/>
      <c r="X214" s="81"/>
    </row>
    <row r="215" spans="2:24" x14ac:dyDescent="0.25">
      <c r="B215" s="2">
        <v>1</v>
      </c>
      <c r="C215" s="1">
        <f t="shared" si="22"/>
        <v>15.823529411764696</v>
      </c>
      <c r="D215" s="1">
        <f t="shared" si="20"/>
        <v>1</v>
      </c>
      <c r="E215" s="1">
        <f t="shared" si="23"/>
        <v>0</v>
      </c>
      <c r="F215" s="31">
        <f t="shared" si="21"/>
        <v>14.6</v>
      </c>
      <c r="G215" s="31">
        <f t="shared" ca="1" si="25"/>
        <v>14.6</v>
      </c>
      <c r="H215" s="30">
        <f t="shared" ca="1" si="26"/>
        <v>0</v>
      </c>
      <c r="I215" s="31">
        <f t="shared" ca="1" si="27"/>
        <v>14.6</v>
      </c>
      <c r="Q215" s="80"/>
      <c r="R215" s="42"/>
      <c r="S215" s="90">
        <f t="shared" si="24"/>
        <v>15.69999999999996</v>
      </c>
      <c r="T215" s="42"/>
      <c r="U215" s="42"/>
      <c r="V215" s="42"/>
      <c r="W215" s="42"/>
      <c r="X215" s="81"/>
    </row>
    <row r="216" spans="2:24" x14ac:dyDescent="0.25">
      <c r="B216" s="2">
        <v>1</v>
      </c>
      <c r="C216" s="1">
        <f t="shared" si="22"/>
        <v>16.823529411764696</v>
      </c>
      <c r="D216" s="1">
        <f t="shared" si="20"/>
        <v>1</v>
      </c>
      <c r="E216" s="1">
        <f t="shared" si="23"/>
        <v>0</v>
      </c>
      <c r="F216" s="31">
        <f t="shared" si="21"/>
        <v>14.6</v>
      </c>
      <c r="G216" s="31">
        <f t="shared" ca="1" si="25"/>
        <v>14.6</v>
      </c>
      <c r="H216" s="30">
        <f t="shared" ca="1" si="26"/>
        <v>0</v>
      </c>
      <c r="I216" s="31">
        <f t="shared" ca="1" si="27"/>
        <v>14.6</v>
      </c>
      <c r="Q216" s="80"/>
      <c r="R216" s="42"/>
      <c r="S216" s="90">
        <f t="shared" si="24"/>
        <v>15.79999999999996</v>
      </c>
      <c r="T216" s="42"/>
      <c r="U216" s="42"/>
      <c r="V216" s="42"/>
      <c r="W216" s="42"/>
      <c r="X216" s="81"/>
    </row>
    <row r="217" spans="2:24" x14ac:dyDescent="0.25">
      <c r="B217" s="2">
        <v>1</v>
      </c>
      <c r="C217" s="1">
        <f t="shared" si="22"/>
        <v>17.823529411764696</v>
      </c>
      <c r="D217" s="1">
        <f t="shared" si="20"/>
        <v>1</v>
      </c>
      <c r="E217" s="1">
        <f t="shared" si="23"/>
        <v>0</v>
      </c>
      <c r="F217" s="31">
        <f t="shared" si="21"/>
        <v>14.6</v>
      </c>
      <c r="G217" s="31">
        <f t="shared" ca="1" si="25"/>
        <v>14.6</v>
      </c>
      <c r="H217" s="30">
        <f t="shared" ca="1" si="26"/>
        <v>0</v>
      </c>
      <c r="I217" s="31">
        <f t="shared" ca="1" si="27"/>
        <v>14.6</v>
      </c>
      <c r="Q217" s="80"/>
      <c r="R217" s="42"/>
      <c r="S217" s="90">
        <f t="shared" si="24"/>
        <v>15.899999999999959</v>
      </c>
      <c r="T217" s="42"/>
      <c r="U217" s="42"/>
      <c r="V217" s="42"/>
      <c r="W217" s="42"/>
      <c r="X217" s="81"/>
    </row>
    <row r="218" spans="2:24" x14ac:dyDescent="0.25">
      <c r="B218" s="2">
        <v>1</v>
      </c>
      <c r="C218" s="1">
        <f t="shared" si="22"/>
        <v>18.823529411764696</v>
      </c>
      <c r="D218" s="1">
        <f t="shared" si="20"/>
        <v>1</v>
      </c>
      <c r="E218" s="1">
        <f t="shared" si="23"/>
        <v>0</v>
      </c>
      <c r="F218" s="31">
        <f t="shared" si="21"/>
        <v>14.6</v>
      </c>
      <c r="G218" s="31">
        <f t="shared" ca="1" si="25"/>
        <v>14.6</v>
      </c>
      <c r="H218" s="30">
        <f t="shared" ca="1" si="26"/>
        <v>0</v>
      </c>
      <c r="I218" s="31">
        <f t="shared" ca="1" si="27"/>
        <v>14.6</v>
      </c>
      <c r="Q218" s="80"/>
      <c r="R218" s="42"/>
      <c r="S218" s="90">
        <f t="shared" si="24"/>
        <v>15.999999999999959</v>
      </c>
      <c r="T218" s="42"/>
      <c r="U218" s="42"/>
      <c r="V218" s="42"/>
      <c r="W218" s="42"/>
      <c r="X218" s="81"/>
    </row>
    <row r="219" spans="2:24" x14ac:dyDescent="0.25">
      <c r="B219" s="2">
        <v>1</v>
      </c>
      <c r="C219" s="1">
        <f t="shared" si="22"/>
        <v>19.823529411764696</v>
      </c>
      <c r="D219" s="1">
        <f t="shared" si="20"/>
        <v>1</v>
      </c>
      <c r="E219" s="1">
        <f t="shared" si="23"/>
        <v>0</v>
      </c>
      <c r="F219" s="31">
        <f t="shared" si="21"/>
        <v>14.6</v>
      </c>
      <c r="G219" s="31">
        <f t="shared" ca="1" si="25"/>
        <v>14.6</v>
      </c>
      <c r="H219" s="30">
        <f t="shared" ca="1" si="26"/>
        <v>0</v>
      </c>
      <c r="I219" s="31">
        <f t="shared" ca="1" si="27"/>
        <v>14.6</v>
      </c>
      <c r="Q219" s="80"/>
      <c r="R219" s="42"/>
      <c r="S219" s="90">
        <f t="shared" si="24"/>
        <v>16.099999999999959</v>
      </c>
      <c r="T219" s="42"/>
      <c r="U219" s="42"/>
      <c r="V219" s="42"/>
      <c r="W219" s="42"/>
      <c r="X219" s="81"/>
    </row>
    <row r="220" spans="2:24" x14ac:dyDescent="0.25">
      <c r="B220" s="2">
        <v>1</v>
      </c>
      <c r="C220" s="1">
        <f t="shared" si="22"/>
        <v>20.823529411764696</v>
      </c>
      <c r="D220" s="1">
        <f t="shared" si="20"/>
        <v>1</v>
      </c>
      <c r="E220" s="1">
        <f t="shared" si="23"/>
        <v>0</v>
      </c>
      <c r="F220" s="31">
        <f t="shared" si="21"/>
        <v>14.6</v>
      </c>
      <c r="G220" s="31">
        <f t="shared" ca="1" si="25"/>
        <v>14.6</v>
      </c>
      <c r="H220" s="30">
        <f t="shared" ca="1" si="26"/>
        <v>0</v>
      </c>
      <c r="I220" s="31">
        <f t="shared" ca="1" si="27"/>
        <v>14.6</v>
      </c>
      <c r="Q220" s="80"/>
      <c r="R220" s="42"/>
      <c r="S220" s="90">
        <f t="shared" si="24"/>
        <v>16.19999999999996</v>
      </c>
      <c r="T220" s="42"/>
      <c r="U220" s="42"/>
      <c r="V220" s="42"/>
      <c r="W220" s="42"/>
      <c r="X220" s="81"/>
    </row>
    <row r="221" spans="2:24" x14ac:dyDescent="0.25">
      <c r="B221" s="2">
        <v>1</v>
      </c>
      <c r="C221" s="1">
        <f t="shared" si="22"/>
        <v>21.823529411764696</v>
      </c>
      <c r="D221" s="1">
        <f t="shared" si="20"/>
        <v>1</v>
      </c>
      <c r="E221" s="1">
        <f t="shared" si="23"/>
        <v>0</v>
      </c>
      <c r="F221" s="31">
        <f t="shared" si="21"/>
        <v>14.6</v>
      </c>
      <c r="G221" s="31">
        <f t="shared" ca="1" si="25"/>
        <v>14.6</v>
      </c>
      <c r="H221" s="30">
        <f t="shared" ca="1" si="26"/>
        <v>0</v>
      </c>
      <c r="I221" s="31">
        <f t="shared" ca="1" si="27"/>
        <v>14.6</v>
      </c>
      <c r="Q221" s="80"/>
      <c r="R221" s="42"/>
      <c r="S221" s="90">
        <f t="shared" si="24"/>
        <v>16.299999999999962</v>
      </c>
      <c r="T221" s="42"/>
      <c r="U221" s="42"/>
      <c r="V221" s="42"/>
      <c r="W221" s="42"/>
      <c r="X221" s="81"/>
    </row>
    <row r="222" spans="2:24" x14ac:dyDescent="0.25">
      <c r="B222" s="2">
        <v>1</v>
      </c>
      <c r="C222" s="1">
        <f t="shared" si="22"/>
        <v>22.823529411764696</v>
      </c>
      <c r="D222" s="1">
        <f t="shared" si="20"/>
        <v>0</v>
      </c>
      <c r="E222" s="1">
        <f t="shared" si="23"/>
        <v>1</v>
      </c>
      <c r="F222" s="31">
        <f t="shared" si="21"/>
        <v>6.4</v>
      </c>
      <c r="G222" s="31">
        <f t="shared" ca="1" si="25"/>
        <v>0</v>
      </c>
      <c r="H222" s="30">
        <f t="shared" ca="1" si="26"/>
        <v>14.6</v>
      </c>
      <c r="I222" s="31">
        <f t="shared" ca="1" si="27"/>
        <v>14.6</v>
      </c>
      <c r="Q222" s="80"/>
      <c r="R222" s="42"/>
      <c r="S222" s="90">
        <f t="shared" si="24"/>
        <v>16.399999999999963</v>
      </c>
      <c r="T222" s="42"/>
      <c r="U222" s="42"/>
      <c r="V222" s="42"/>
      <c r="W222" s="42"/>
      <c r="X222" s="81"/>
    </row>
    <row r="223" spans="2:24" x14ac:dyDescent="0.25">
      <c r="B223" s="2">
        <v>1</v>
      </c>
      <c r="C223" s="1">
        <f t="shared" si="22"/>
        <v>23.823529411764696</v>
      </c>
      <c r="D223" s="1">
        <f t="shared" si="20"/>
        <v>0</v>
      </c>
      <c r="E223" s="1">
        <f t="shared" si="23"/>
        <v>1</v>
      </c>
      <c r="F223" s="31">
        <f t="shared" si="21"/>
        <v>6.4</v>
      </c>
      <c r="G223" s="31">
        <f t="shared" ca="1" si="25"/>
        <v>0</v>
      </c>
      <c r="H223" s="30">
        <f t="shared" ca="1" si="26"/>
        <v>6.4</v>
      </c>
      <c r="I223" s="31">
        <f t="shared" ca="1" si="27"/>
        <v>6.4</v>
      </c>
      <c r="Q223" s="80"/>
      <c r="R223" s="42"/>
      <c r="S223" s="90">
        <f t="shared" si="24"/>
        <v>16.499999999999964</v>
      </c>
      <c r="T223" s="42"/>
      <c r="U223" s="42"/>
      <c r="V223" s="42"/>
      <c r="W223" s="42"/>
      <c r="X223" s="81"/>
    </row>
    <row r="224" spans="2:24" x14ac:dyDescent="0.25">
      <c r="B224" s="2">
        <v>1</v>
      </c>
      <c r="C224" s="1">
        <f t="shared" si="22"/>
        <v>24.823529411764696</v>
      </c>
      <c r="D224" s="1">
        <f t="shared" si="20"/>
        <v>0</v>
      </c>
      <c r="E224" s="1">
        <f t="shared" si="23"/>
        <v>1</v>
      </c>
      <c r="F224" s="31">
        <f t="shared" si="21"/>
        <v>6.4</v>
      </c>
      <c r="G224" s="31">
        <f t="shared" ca="1" si="25"/>
        <v>0</v>
      </c>
      <c r="H224" s="30">
        <f t="shared" ca="1" si="26"/>
        <v>6.4</v>
      </c>
      <c r="I224" s="31">
        <f t="shared" ca="1" si="27"/>
        <v>6.4</v>
      </c>
      <c r="Q224" s="80"/>
      <c r="R224" s="42"/>
      <c r="S224" s="90">
        <f t="shared" si="24"/>
        <v>16.599999999999966</v>
      </c>
      <c r="T224" s="42"/>
      <c r="U224" s="42"/>
      <c r="V224" s="42"/>
      <c r="W224" s="42"/>
      <c r="X224" s="81"/>
    </row>
    <row r="225" spans="2:24" x14ac:dyDescent="0.25">
      <c r="B225" s="2">
        <v>1</v>
      </c>
      <c r="C225" s="1">
        <f t="shared" si="22"/>
        <v>25.823529411764696</v>
      </c>
      <c r="D225" s="1">
        <f t="shared" si="20"/>
        <v>0</v>
      </c>
      <c r="E225" s="1">
        <f t="shared" si="23"/>
        <v>1</v>
      </c>
      <c r="F225" s="31">
        <f t="shared" si="21"/>
        <v>6.4</v>
      </c>
      <c r="G225" s="31">
        <f t="shared" ca="1" si="25"/>
        <v>0</v>
      </c>
      <c r="H225" s="30">
        <f t="shared" ca="1" si="26"/>
        <v>6.4</v>
      </c>
      <c r="I225" s="31">
        <f t="shared" ca="1" si="27"/>
        <v>6.4</v>
      </c>
      <c r="Q225" s="80"/>
      <c r="R225" s="42"/>
      <c r="S225" s="90">
        <f t="shared" si="24"/>
        <v>16.699999999999967</v>
      </c>
      <c r="T225" s="42"/>
      <c r="U225" s="42"/>
      <c r="V225" s="42"/>
      <c r="W225" s="42"/>
      <c r="X225" s="81"/>
    </row>
    <row r="226" spans="2:24" x14ac:dyDescent="0.25">
      <c r="B226" s="2">
        <v>1</v>
      </c>
      <c r="C226" s="1">
        <f t="shared" si="22"/>
        <v>26.823529411764696</v>
      </c>
      <c r="D226" s="1">
        <f t="shared" si="20"/>
        <v>0</v>
      </c>
      <c r="E226" s="1">
        <f t="shared" si="23"/>
        <v>1</v>
      </c>
      <c r="F226" s="31">
        <f t="shared" si="21"/>
        <v>6.4</v>
      </c>
      <c r="G226" s="31">
        <f t="shared" ca="1" si="25"/>
        <v>0</v>
      </c>
      <c r="H226" s="30">
        <f t="shared" ca="1" si="26"/>
        <v>6.4</v>
      </c>
      <c r="I226" s="31">
        <f t="shared" ca="1" si="27"/>
        <v>6.4</v>
      </c>
      <c r="Q226" s="80"/>
      <c r="R226" s="42"/>
      <c r="S226" s="90">
        <f t="shared" si="24"/>
        <v>16.799999999999969</v>
      </c>
      <c r="T226" s="42"/>
      <c r="U226" s="42"/>
      <c r="V226" s="42"/>
      <c r="W226" s="42"/>
      <c r="X226" s="81"/>
    </row>
    <row r="227" spans="2:24" x14ac:dyDescent="0.25">
      <c r="B227" s="2">
        <v>1</v>
      </c>
      <c r="C227" s="1">
        <f t="shared" si="22"/>
        <v>27.823529411764696</v>
      </c>
      <c r="D227" s="1">
        <f t="shared" si="20"/>
        <v>0</v>
      </c>
      <c r="E227" s="1">
        <f t="shared" si="23"/>
        <v>1</v>
      </c>
      <c r="F227" s="31">
        <f t="shared" si="21"/>
        <v>6.4</v>
      </c>
      <c r="G227" s="31">
        <f t="shared" ca="1" si="25"/>
        <v>0</v>
      </c>
      <c r="H227" s="30">
        <f t="shared" ca="1" si="26"/>
        <v>6.4</v>
      </c>
      <c r="I227" s="31">
        <f t="shared" ca="1" si="27"/>
        <v>6.4</v>
      </c>
      <c r="Q227" s="80"/>
      <c r="R227" s="42"/>
      <c r="S227" s="90">
        <f t="shared" si="24"/>
        <v>16.89999999999997</v>
      </c>
      <c r="T227" s="42"/>
      <c r="U227" s="42"/>
      <c r="V227" s="42"/>
      <c r="W227" s="42"/>
      <c r="X227" s="81"/>
    </row>
    <row r="228" spans="2:24" x14ac:dyDescent="0.25">
      <c r="B228" s="2">
        <v>1</v>
      </c>
      <c r="C228" s="1">
        <f t="shared" si="22"/>
        <v>28.823529411764696</v>
      </c>
      <c r="D228" s="1">
        <f t="shared" si="20"/>
        <v>0</v>
      </c>
      <c r="E228" s="1">
        <f t="shared" si="23"/>
        <v>1</v>
      </c>
      <c r="F228" s="31">
        <f t="shared" si="21"/>
        <v>6.4</v>
      </c>
      <c r="G228" s="31">
        <f t="shared" ca="1" si="25"/>
        <v>0</v>
      </c>
      <c r="H228" s="30">
        <f t="shared" ca="1" si="26"/>
        <v>6.4</v>
      </c>
      <c r="I228" s="31">
        <f t="shared" ca="1" si="27"/>
        <v>6.4</v>
      </c>
      <c r="Q228" s="80"/>
      <c r="R228" s="42"/>
      <c r="S228" s="90">
        <f t="shared" si="24"/>
        <v>16.999999999999972</v>
      </c>
      <c r="T228" s="42"/>
      <c r="U228" s="42"/>
      <c r="V228" s="42"/>
      <c r="W228" s="42"/>
      <c r="X228" s="81"/>
    </row>
    <row r="229" spans="2:24" x14ac:dyDescent="0.25">
      <c r="B229" s="2">
        <v>1</v>
      </c>
      <c r="C229" s="1">
        <f t="shared" si="22"/>
        <v>29.823529411764696</v>
      </c>
      <c r="D229" s="1">
        <f t="shared" si="20"/>
        <v>0</v>
      </c>
      <c r="E229" s="1">
        <f t="shared" si="23"/>
        <v>1</v>
      </c>
      <c r="F229" s="31">
        <f t="shared" si="21"/>
        <v>6.4</v>
      </c>
      <c r="G229" s="31">
        <f t="shared" ca="1" si="25"/>
        <v>0</v>
      </c>
      <c r="H229" s="30">
        <f t="shared" ca="1" si="26"/>
        <v>6.4</v>
      </c>
      <c r="I229" s="31">
        <f t="shared" ca="1" si="27"/>
        <v>6.4</v>
      </c>
      <c r="Q229" s="80"/>
      <c r="R229" s="42"/>
      <c r="S229" s="90">
        <f t="shared" si="24"/>
        <v>17.099999999999973</v>
      </c>
      <c r="T229" s="42"/>
      <c r="U229" s="42"/>
      <c r="V229" s="42"/>
      <c r="W229" s="42"/>
      <c r="X229" s="81"/>
    </row>
    <row r="230" spans="2:24" x14ac:dyDescent="0.25">
      <c r="B230" s="2">
        <v>1</v>
      </c>
      <c r="C230" s="1">
        <f t="shared" si="22"/>
        <v>30.823529411764696</v>
      </c>
      <c r="D230" s="1">
        <f t="shared" si="20"/>
        <v>0</v>
      </c>
      <c r="E230" s="1">
        <f t="shared" si="23"/>
        <v>1</v>
      </c>
      <c r="F230" s="31">
        <f t="shared" si="21"/>
        <v>6.4</v>
      </c>
      <c r="G230" s="31">
        <f t="shared" ca="1" si="25"/>
        <v>0</v>
      </c>
      <c r="H230" s="30">
        <f t="shared" ca="1" si="26"/>
        <v>6.4</v>
      </c>
      <c r="I230" s="31">
        <f t="shared" ca="1" si="27"/>
        <v>6.4</v>
      </c>
      <c r="Q230" s="80"/>
      <c r="R230" s="42"/>
      <c r="S230" s="90">
        <f t="shared" si="24"/>
        <v>17.199999999999974</v>
      </c>
      <c r="T230" s="42"/>
      <c r="U230" s="42"/>
      <c r="V230" s="42"/>
      <c r="W230" s="42"/>
      <c r="X230" s="81"/>
    </row>
    <row r="231" spans="2:24" x14ac:dyDescent="0.25">
      <c r="B231" s="2">
        <v>1</v>
      </c>
      <c r="C231" s="1">
        <f t="shared" si="22"/>
        <v>31.823529411764696</v>
      </c>
      <c r="D231" s="1">
        <f t="shared" si="20"/>
        <v>0</v>
      </c>
      <c r="E231" s="1">
        <f t="shared" si="23"/>
        <v>1</v>
      </c>
      <c r="F231" s="31">
        <f t="shared" si="21"/>
        <v>6.4</v>
      </c>
      <c r="G231" s="31">
        <f t="shared" ca="1" si="25"/>
        <v>0</v>
      </c>
      <c r="H231" s="30">
        <f t="shared" ca="1" si="26"/>
        <v>6.4</v>
      </c>
      <c r="I231" s="31">
        <f t="shared" ca="1" si="27"/>
        <v>6.4</v>
      </c>
      <c r="Q231" s="80"/>
      <c r="R231" s="42"/>
      <c r="S231" s="90">
        <f t="shared" si="24"/>
        <v>17.299999999999976</v>
      </c>
      <c r="T231" s="42"/>
      <c r="U231" s="42"/>
      <c r="V231" s="42"/>
      <c r="W231" s="42"/>
      <c r="X231" s="81"/>
    </row>
    <row r="232" spans="2:24" x14ac:dyDescent="0.25">
      <c r="B232" s="2">
        <v>1</v>
      </c>
      <c r="C232" s="1">
        <f t="shared" si="22"/>
        <v>32.823529411764696</v>
      </c>
      <c r="D232" s="1">
        <f t="shared" si="20"/>
        <v>0</v>
      </c>
      <c r="E232" s="1">
        <f t="shared" si="23"/>
        <v>1</v>
      </c>
      <c r="F232" s="31">
        <f t="shared" si="21"/>
        <v>6.4</v>
      </c>
      <c r="G232" s="31">
        <f t="shared" ca="1" si="25"/>
        <v>0</v>
      </c>
      <c r="H232" s="30">
        <f t="shared" ca="1" si="26"/>
        <v>6.4</v>
      </c>
      <c r="I232" s="31">
        <f t="shared" ca="1" si="27"/>
        <v>6.4</v>
      </c>
      <c r="Q232" s="80"/>
      <c r="R232" s="42"/>
      <c r="S232" s="90">
        <f t="shared" si="24"/>
        <v>17.399999999999977</v>
      </c>
      <c r="T232" s="42"/>
      <c r="U232" s="42"/>
      <c r="V232" s="42"/>
      <c r="W232" s="42"/>
      <c r="X232" s="81"/>
    </row>
    <row r="233" spans="2:24" x14ac:dyDescent="0.25">
      <c r="B233" s="2">
        <v>1</v>
      </c>
      <c r="C233" s="1">
        <f t="shared" si="22"/>
        <v>33.823529411764696</v>
      </c>
      <c r="D233" s="1">
        <f t="shared" si="20"/>
        <v>0</v>
      </c>
      <c r="E233" s="1">
        <f t="shared" si="23"/>
        <v>1</v>
      </c>
      <c r="F233" s="31">
        <f t="shared" si="21"/>
        <v>6.4</v>
      </c>
      <c r="G233" s="31">
        <f t="shared" ca="1" si="25"/>
        <v>0</v>
      </c>
      <c r="H233" s="30">
        <f t="shared" ca="1" si="26"/>
        <v>6.4</v>
      </c>
      <c r="I233" s="31">
        <f t="shared" ca="1" si="27"/>
        <v>6.4</v>
      </c>
      <c r="Q233" s="80"/>
      <c r="R233" s="42"/>
      <c r="S233" s="90">
        <f t="shared" si="24"/>
        <v>17.499999999999979</v>
      </c>
      <c r="T233" s="42"/>
      <c r="U233" s="42"/>
      <c r="V233" s="42"/>
      <c r="W233" s="42"/>
      <c r="X233" s="81"/>
    </row>
    <row r="234" spans="2:24" x14ac:dyDescent="0.25">
      <c r="B234" s="2">
        <v>1</v>
      </c>
      <c r="C234" s="1">
        <f t="shared" si="22"/>
        <v>34.823529411764696</v>
      </c>
      <c r="D234" s="1">
        <f t="shared" si="20"/>
        <v>0</v>
      </c>
      <c r="E234" s="1">
        <f t="shared" si="23"/>
        <v>1</v>
      </c>
      <c r="F234" s="31">
        <f t="shared" si="21"/>
        <v>6.4</v>
      </c>
      <c r="G234" s="31">
        <f t="shared" ca="1" si="25"/>
        <v>0</v>
      </c>
      <c r="H234" s="30">
        <f t="shared" ca="1" si="26"/>
        <v>6.4</v>
      </c>
      <c r="I234" s="31">
        <f t="shared" ca="1" si="27"/>
        <v>6.4</v>
      </c>
      <c r="Q234" s="80"/>
      <c r="R234" s="42"/>
      <c r="S234" s="90">
        <f t="shared" si="24"/>
        <v>17.59999999999998</v>
      </c>
      <c r="T234" s="42"/>
      <c r="U234" s="42"/>
      <c r="V234" s="42"/>
      <c r="W234" s="42"/>
      <c r="X234" s="81"/>
    </row>
    <row r="235" spans="2:24" x14ac:dyDescent="0.25">
      <c r="B235" s="2">
        <v>1</v>
      </c>
      <c r="C235" s="1">
        <f t="shared" si="22"/>
        <v>0.52941176470586981</v>
      </c>
      <c r="D235" s="1">
        <f t="shared" si="20"/>
        <v>1</v>
      </c>
      <c r="E235" s="1">
        <f t="shared" si="23"/>
        <v>0</v>
      </c>
      <c r="F235" s="31">
        <f t="shared" si="21"/>
        <v>14.6</v>
      </c>
      <c r="G235" s="31">
        <f t="shared" ca="1" si="25"/>
        <v>6.4</v>
      </c>
      <c r="H235" s="30">
        <f t="shared" ca="1" si="26"/>
        <v>0</v>
      </c>
      <c r="I235" s="31">
        <f t="shared" ca="1" si="27"/>
        <v>6.4</v>
      </c>
      <c r="Q235" s="80"/>
      <c r="R235" s="42"/>
      <c r="S235" s="90">
        <f t="shared" si="24"/>
        <v>17.699999999999982</v>
      </c>
      <c r="T235" s="42"/>
      <c r="U235" s="42"/>
      <c r="V235" s="42"/>
      <c r="W235" s="42"/>
      <c r="X235" s="81"/>
    </row>
    <row r="236" spans="2:24" x14ac:dyDescent="0.25">
      <c r="B236" s="2">
        <v>1</v>
      </c>
      <c r="C236" s="1">
        <f t="shared" si="22"/>
        <v>1.5294117647058698</v>
      </c>
      <c r="D236" s="1">
        <f t="shared" si="20"/>
        <v>1</v>
      </c>
      <c r="E236" s="1">
        <f t="shared" si="23"/>
        <v>0</v>
      </c>
      <c r="F236" s="31">
        <f t="shared" si="21"/>
        <v>14.6</v>
      </c>
      <c r="G236" s="31">
        <f t="shared" ca="1" si="25"/>
        <v>8.4500000000000011</v>
      </c>
      <c r="H236" s="30">
        <f t="shared" ca="1" si="26"/>
        <v>0</v>
      </c>
      <c r="I236" s="31">
        <f t="shared" ca="1" si="27"/>
        <v>8.4500000000000011</v>
      </c>
      <c r="Q236" s="80"/>
      <c r="R236" s="42"/>
      <c r="S236" s="90">
        <f t="shared" si="24"/>
        <v>17.799999999999983</v>
      </c>
      <c r="T236" s="42"/>
      <c r="U236" s="42"/>
      <c r="V236" s="42"/>
      <c r="W236" s="42"/>
      <c r="X236" s="81"/>
    </row>
    <row r="237" spans="2:24" x14ac:dyDescent="0.25">
      <c r="B237" s="2">
        <v>1</v>
      </c>
      <c r="C237" s="1">
        <f t="shared" si="22"/>
        <v>2.5294117647058698</v>
      </c>
      <c r="D237" s="1">
        <f t="shared" si="20"/>
        <v>1</v>
      </c>
      <c r="E237" s="1">
        <f t="shared" si="23"/>
        <v>0</v>
      </c>
      <c r="F237" s="31">
        <f t="shared" si="21"/>
        <v>14.6</v>
      </c>
      <c r="G237" s="31">
        <f t="shared" ca="1" si="25"/>
        <v>10.5</v>
      </c>
      <c r="H237" s="30">
        <f t="shared" ca="1" si="26"/>
        <v>0</v>
      </c>
      <c r="I237" s="31">
        <f t="shared" ca="1" si="27"/>
        <v>10.5</v>
      </c>
      <c r="Q237" s="80"/>
      <c r="R237" s="42"/>
      <c r="S237" s="90">
        <f t="shared" si="24"/>
        <v>17.899999999999984</v>
      </c>
      <c r="T237" s="42"/>
      <c r="U237" s="42"/>
      <c r="V237" s="42"/>
      <c r="W237" s="42"/>
      <c r="X237" s="81"/>
    </row>
    <row r="238" spans="2:24" x14ac:dyDescent="0.25">
      <c r="B238" s="2">
        <v>1</v>
      </c>
      <c r="C238" s="1">
        <f t="shared" si="22"/>
        <v>3.5294117647058698</v>
      </c>
      <c r="D238" s="1">
        <f t="shared" si="20"/>
        <v>1</v>
      </c>
      <c r="E238" s="1">
        <f t="shared" si="23"/>
        <v>0</v>
      </c>
      <c r="F238" s="31">
        <f t="shared" si="21"/>
        <v>14.6</v>
      </c>
      <c r="G238" s="31">
        <f t="shared" ca="1" si="25"/>
        <v>12.55</v>
      </c>
      <c r="H238" s="30">
        <f t="shared" ca="1" si="26"/>
        <v>0</v>
      </c>
      <c r="I238" s="31">
        <f t="shared" ca="1" si="27"/>
        <v>12.55</v>
      </c>
      <c r="Q238" s="80"/>
      <c r="R238" s="42"/>
      <c r="S238" s="90">
        <f t="shared" si="24"/>
        <v>17.999999999999986</v>
      </c>
      <c r="T238" s="42"/>
      <c r="U238" s="42"/>
      <c r="V238" s="42"/>
      <c r="W238" s="42"/>
      <c r="X238" s="81"/>
    </row>
    <row r="239" spans="2:24" x14ac:dyDescent="0.25">
      <c r="B239" s="2">
        <v>1</v>
      </c>
      <c r="C239" s="1">
        <f t="shared" si="22"/>
        <v>4.5294117647058698</v>
      </c>
      <c r="D239" s="1">
        <f t="shared" si="20"/>
        <v>1</v>
      </c>
      <c r="E239" s="1">
        <f t="shared" si="23"/>
        <v>0</v>
      </c>
      <c r="F239" s="31">
        <f t="shared" si="21"/>
        <v>14.6</v>
      </c>
      <c r="G239" s="31">
        <f t="shared" ca="1" si="25"/>
        <v>14.6</v>
      </c>
      <c r="H239" s="30">
        <f t="shared" ca="1" si="26"/>
        <v>0</v>
      </c>
      <c r="I239" s="31">
        <f t="shared" ca="1" si="27"/>
        <v>14.6</v>
      </c>
      <c r="Q239" s="80"/>
      <c r="R239" s="42"/>
      <c r="S239" s="90">
        <f t="shared" si="24"/>
        <v>18.099999999999987</v>
      </c>
      <c r="T239" s="42"/>
      <c r="U239" s="42"/>
      <c r="V239" s="42"/>
      <c r="W239" s="42"/>
      <c r="X239" s="81"/>
    </row>
    <row r="240" spans="2:24" x14ac:dyDescent="0.25">
      <c r="B240" s="2">
        <v>1</v>
      </c>
      <c r="C240" s="1">
        <f t="shared" si="22"/>
        <v>5.5294117647058698</v>
      </c>
      <c r="D240" s="1">
        <f t="shared" si="20"/>
        <v>1</v>
      </c>
      <c r="E240" s="1">
        <f t="shared" si="23"/>
        <v>0</v>
      </c>
      <c r="F240" s="31">
        <f t="shared" si="21"/>
        <v>14.6</v>
      </c>
      <c r="G240" s="31">
        <f t="shared" ca="1" si="25"/>
        <v>14.6</v>
      </c>
      <c r="H240" s="30">
        <f t="shared" ca="1" si="26"/>
        <v>0</v>
      </c>
      <c r="I240" s="31">
        <f t="shared" ca="1" si="27"/>
        <v>14.6</v>
      </c>
      <c r="Q240" s="80"/>
      <c r="R240" s="42"/>
      <c r="S240" s="90">
        <f t="shared" si="24"/>
        <v>18.199999999999989</v>
      </c>
      <c r="T240" s="42"/>
      <c r="U240" s="42"/>
      <c r="V240" s="42"/>
      <c r="W240" s="42"/>
      <c r="X240" s="81"/>
    </row>
    <row r="241" spans="2:24" x14ac:dyDescent="0.25">
      <c r="B241" s="2">
        <v>1</v>
      </c>
      <c r="C241" s="1">
        <f t="shared" si="22"/>
        <v>6.5294117647058698</v>
      </c>
      <c r="D241" s="1">
        <f t="shared" si="20"/>
        <v>1</v>
      </c>
      <c r="E241" s="1">
        <f t="shared" si="23"/>
        <v>0</v>
      </c>
      <c r="F241" s="31">
        <f t="shared" si="21"/>
        <v>14.6</v>
      </c>
      <c r="G241" s="31">
        <f t="shared" ca="1" si="25"/>
        <v>14.6</v>
      </c>
      <c r="H241" s="30">
        <f t="shared" ca="1" si="26"/>
        <v>0</v>
      </c>
      <c r="I241" s="31">
        <f t="shared" ca="1" si="27"/>
        <v>14.6</v>
      </c>
      <c r="Q241" s="80"/>
      <c r="R241" s="42"/>
      <c r="S241" s="90">
        <f t="shared" si="24"/>
        <v>18.29999999999999</v>
      </c>
      <c r="T241" s="42"/>
      <c r="U241" s="42"/>
      <c r="V241" s="42"/>
      <c r="W241" s="42"/>
      <c r="X241" s="81"/>
    </row>
    <row r="242" spans="2:24" x14ac:dyDescent="0.25">
      <c r="B242" s="2">
        <v>1</v>
      </c>
      <c r="C242" s="1">
        <f t="shared" si="22"/>
        <v>7.5294117647058698</v>
      </c>
      <c r="D242" s="1">
        <f t="shared" si="20"/>
        <v>1</v>
      </c>
      <c r="E242" s="1">
        <f t="shared" si="23"/>
        <v>0</v>
      </c>
      <c r="F242" s="31">
        <f t="shared" si="21"/>
        <v>14.6</v>
      </c>
      <c r="G242" s="31">
        <f t="shared" ca="1" si="25"/>
        <v>14.6</v>
      </c>
      <c r="H242" s="30">
        <f t="shared" ca="1" si="26"/>
        <v>0</v>
      </c>
      <c r="I242" s="31">
        <f t="shared" ca="1" si="27"/>
        <v>14.6</v>
      </c>
      <c r="Q242" s="80"/>
      <c r="R242" s="42"/>
      <c r="S242" s="90">
        <f t="shared" si="24"/>
        <v>18.399999999999991</v>
      </c>
      <c r="T242" s="42"/>
      <c r="U242" s="42"/>
      <c r="V242" s="42"/>
      <c r="W242" s="42"/>
      <c r="X242" s="81"/>
    </row>
    <row r="243" spans="2:24" x14ac:dyDescent="0.25">
      <c r="B243" s="2">
        <v>1</v>
      </c>
      <c r="C243" s="1">
        <f t="shared" si="22"/>
        <v>8.5294117647058698</v>
      </c>
      <c r="D243" s="1">
        <f t="shared" si="20"/>
        <v>1</v>
      </c>
      <c r="E243" s="1">
        <f t="shared" si="23"/>
        <v>0</v>
      </c>
      <c r="F243" s="31">
        <f t="shared" si="21"/>
        <v>14.6</v>
      </c>
      <c r="G243" s="31">
        <f t="shared" ca="1" si="25"/>
        <v>14.6</v>
      </c>
      <c r="H243" s="30">
        <f t="shared" ca="1" si="26"/>
        <v>0</v>
      </c>
      <c r="I243" s="31">
        <f t="shared" ca="1" si="27"/>
        <v>14.6</v>
      </c>
      <c r="Q243" s="80"/>
      <c r="R243" s="42"/>
      <c r="S243" s="90">
        <f t="shared" si="24"/>
        <v>18.499999999999993</v>
      </c>
      <c r="T243" s="42"/>
      <c r="U243" s="42"/>
      <c r="V243" s="42"/>
      <c r="W243" s="42"/>
      <c r="X243" s="81"/>
    </row>
    <row r="244" spans="2:24" x14ac:dyDescent="0.25">
      <c r="B244" s="2">
        <v>1</v>
      </c>
      <c r="C244" s="1">
        <f t="shared" si="22"/>
        <v>9.5294117647058698</v>
      </c>
      <c r="D244" s="1">
        <f t="shared" si="20"/>
        <v>1</v>
      </c>
      <c r="E244" s="1">
        <f t="shared" si="23"/>
        <v>0</v>
      </c>
      <c r="F244" s="31">
        <f t="shared" si="21"/>
        <v>14.6</v>
      </c>
      <c r="G244" s="31">
        <f t="shared" ca="1" si="25"/>
        <v>14.6</v>
      </c>
      <c r="H244" s="30">
        <f t="shared" ca="1" si="26"/>
        <v>0</v>
      </c>
      <c r="I244" s="31">
        <f t="shared" ca="1" si="27"/>
        <v>14.6</v>
      </c>
      <c r="Q244" s="80"/>
      <c r="R244" s="42"/>
      <c r="S244" s="90">
        <f t="shared" si="24"/>
        <v>18.599999999999994</v>
      </c>
      <c r="T244" s="42"/>
      <c r="U244" s="42"/>
      <c r="V244" s="42"/>
      <c r="W244" s="42"/>
      <c r="X244" s="81"/>
    </row>
    <row r="245" spans="2:24" x14ac:dyDescent="0.25">
      <c r="B245" s="2">
        <v>1</v>
      </c>
      <c r="C245" s="1">
        <f t="shared" si="22"/>
        <v>10.52941176470587</v>
      </c>
      <c r="D245" s="1">
        <f t="shared" si="20"/>
        <v>1</v>
      </c>
      <c r="E245" s="1">
        <f t="shared" si="23"/>
        <v>0</v>
      </c>
      <c r="F245" s="31">
        <f t="shared" si="21"/>
        <v>14.6</v>
      </c>
      <c r="G245" s="31">
        <f t="shared" ca="1" si="25"/>
        <v>14.6</v>
      </c>
      <c r="H245" s="30">
        <f t="shared" ca="1" si="26"/>
        <v>0</v>
      </c>
      <c r="I245" s="31">
        <f t="shared" ca="1" si="27"/>
        <v>14.6</v>
      </c>
      <c r="Q245" s="80"/>
      <c r="R245" s="42"/>
      <c r="S245" s="90">
        <f t="shared" si="24"/>
        <v>18.699999999999996</v>
      </c>
      <c r="T245" s="42"/>
      <c r="U245" s="42"/>
      <c r="V245" s="42"/>
      <c r="W245" s="42"/>
      <c r="X245" s="81"/>
    </row>
    <row r="246" spans="2:24" x14ac:dyDescent="0.25">
      <c r="B246" s="2">
        <v>1</v>
      </c>
      <c r="C246" s="1">
        <f t="shared" si="22"/>
        <v>11.52941176470587</v>
      </c>
      <c r="D246" s="1">
        <f t="shared" si="20"/>
        <v>1</v>
      </c>
      <c r="E246" s="1">
        <f t="shared" si="23"/>
        <v>0</v>
      </c>
      <c r="F246" s="31">
        <f t="shared" si="21"/>
        <v>14.6</v>
      </c>
      <c r="G246" s="31">
        <f t="shared" ca="1" si="25"/>
        <v>14.6</v>
      </c>
      <c r="H246" s="30">
        <f t="shared" ca="1" si="26"/>
        <v>0</v>
      </c>
      <c r="I246" s="31">
        <f t="shared" ca="1" si="27"/>
        <v>14.6</v>
      </c>
      <c r="Q246" s="80"/>
      <c r="R246" s="42"/>
      <c r="S246" s="90">
        <f t="shared" si="24"/>
        <v>18.799999999999997</v>
      </c>
      <c r="T246" s="42"/>
      <c r="U246" s="42"/>
      <c r="V246" s="42"/>
      <c r="W246" s="42"/>
      <c r="X246" s="81"/>
    </row>
    <row r="247" spans="2:24" x14ac:dyDescent="0.25">
      <c r="B247" s="2">
        <v>1</v>
      </c>
      <c r="C247" s="1">
        <f t="shared" si="22"/>
        <v>12.52941176470587</v>
      </c>
      <c r="D247" s="1">
        <f t="shared" si="20"/>
        <v>1</v>
      </c>
      <c r="E247" s="1">
        <f t="shared" si="23"/>
        <v>0</v>
      </c>
      <c r="F247" s="31">
        <f t="shared" si="21"/>
        <v>14.6</v>
      </c>
      <c r="G247" s="31">
        <f t="shared" ca="1" si="25"/>
        <v>14.6</v>
      </c>
      <c r="H247" s="30">
        <f t="shared" ca="1" si="26"/>
        <v>0</v>
      </c>
      <c r="I247" s="31">
        <f t="shared" ca="1" si="27"/>
        <v>14.6</v>
      </c>
      <c r="Q247" s="80"/>
      <c r="R247" s="42"/>
      <c r="S247" s="90">
        <f t="shared" si="24"/>
        <v>18.899999999999999</v>
      </c>
      <c r="T247" s="42"/>
      <c r="U247" s="42"/>
      <c r="V247" s="42"/>
      <c r="W247" s="42"/>
      <c r="X247" s="81"/>
    </row>
    <row r="248" spans="2:24" x14ac:dyDescent="0.25">
      <c r="B248" s="2">
        <v>1</v>
      </c>
      <c r="C248" s="1">
        <f t="shared" si="22"/>
        <v>13.52941176470587</v>
      </c>
      <c r="D248" s="1">
        <f t="shared" si="20"/>
        <v>1</v>
      </c>
      <c r="E248" s="1">
        <f t="shared" si="23"/>
        <v>0</v>
      </c>
      <c r="F248" s="31">
        <f t="shared" si="21"/>
        <v>14.6</v>
      </c>
      <c r="G248" s="31">
        <f t="shared" ca="1" si="25"/>
        <v>14.6</v>
      </c>
      <c r="H248" s="30">
        <f t="shared" ca="1" si="26"/>
        <v>0</v>
      </c>
      <c r="I248" s="31">
        <f t="shared" ca="1" si="27"/>
        <v>14.6</v>
      </c>
      <c r="Q248" s="80"/>
      <c r="R248" s="42"/>
      <c r="S248" s="90">
        <f t="shared" si="24"/>
        <v>19</v>
      </c>
      <c r="T248" s="42"/>
      <c r="U248" s="42"/>
      <c r="V248" s="42"/>
      <c r="W248" s="42"/>
      <c r="X248" s="81"/>
    </row>
    <row r="249" spans="2:24" x14ac:dyDescent="0.25">
      <c r="B249" s="2">
        <v>1</v>
      </c>
      <c r="C249" s="1">
        <f t="shared" si="22"/>
        <v>14.52941176470587</v>
      </c>
      <c r="D249" s="1">
        <f t="shared" si="20"/>
        <v>1</v>
      </c>
      <c r="E249" s="1">
        <f t="shared" si="23"/>
        <v>0</v>
      </c>
      <c r="F249" s="31">
        <f t="shared" si="21"/>
        <v>14.6</v>
      </c>
      <c r="G249" s="31">
        <f t="shared" ca="1" si="25"/>
        <v>14.6</v>
      </c>
      <c r="H249" s="30">
        <f t="shared" ca="1" si="26"/>
        <v>0</v>
      </c>
      <c r="I249" s="31">
        <f t="shared" ca="1" si="27"/>
        <v>14.6</v>
      </c>
      <c r="Q249" s="80"/>
      <c r="R249" s="42"/>
      <c r="S249" s="90">
        <f t="shared" si="24"/>
        <v>19.100000000000001</v>
      </c>
      <c r="T249" s="42"/>
      <c r="U249" s="42"/>
      <c r="V249" s="42"/>
      <c r="W249" s="42"/>
      <c r="X249" s="81"/>
    </row>
    <row r="250" spans="2:24" x14ac:dyDescent="0.25">
      <c r="B250" s="2">
        <v>1</v>
      </c>
      <c r="C250" s="1">
        <f t="shared" si="22"/>
        <v>15.52941176470587</v>
      </c>
      <c r="D250" s="1">
        <f t="shared" ref="D250:D313" si="28">IF(C250&lt;=Inhelation_Time_RT,1,0)</f>
        <v>1</v>
      </c>
      <c r="E250" s="1">
        <f t="shared" si="23"/>
        <v>0</v>
      </c>
      <c r="F250" s="31">
        <f t="shared" ref="F250:F313" si="29">(D250*Inspiratory_pressure_level) + (E250*PEEP)</f>
        <v>14.6</v>
      </c>
      <c r="G250" s="31">
        <f t="shared" ca="1" si="25"/>
        <v>14.6</v>
      </c>
      <c r="H250" s="30">
        <f t="shared" ca="1" si="26"/>
        <v>0</v>
      </c>
      <c r="I250" s="31">
        <f t="shared" ca="1" si="27"/>
        <v>14.6</v>
      </c>
      <c r="Q250" s="80"/>
      <c r="R250" s="42"/>
      <c r="S250" s="90">
        <f t="shared" si="24"/>
        <v>19.200000000000003</v>
      </c>
      <c r="T250" s="42"/>
      <c r="U250" s="42"/>
      <c r="V250" s="42"/>
      <c r="W250" s="42"/>
      <c r="X250" s="81"/>
    </row>
    <row r="251" spans="2:24" x14ac:dyDescent="0.25">
      <c r="B251" s="2">
        <v>1</v>
      </c>
      <c r="C251" s="1">
        <f t="shared" ref="C251:C314" si="30">MOD(C250+B251,time_for_breath_RT)</f>
        <v>16.52941176470587</v>
      </c>
      <c r="D251" s="1">
        <f t="shared" si="28"/>
        <v>1</v>
      </c>
      <c r="E251" s="1">
        <f t="shared" ref="E251:E314" si="31">IF(D251=1,0,1)</f>
        <v>0</v>
      </c>
      <c r="F251" s="31">
        <f t="shared" si="29"/>
        <v>14.6</v>
      </c>
      <c r="G251" s="31">
        <f t="shared" ca="1" si="25"/>
        <v>14.6</v>
      </c>
      <c r="H251" s="30">
        <f t="shared" ca="1" si="26"/>
        <v>0</v>
      </c>
      <c r="I251" s="31">
        <f t="shared" ca="1" si="27"/>
        <v>14.6</v>
      </c>
      <c r="Q251" s="80"/>
      <c r="R251" s="42"/>
      <c r="S251" s="90">
        <f t="shared" ref="S251:S314" si="32">S250+(B250 / RTC_to_seconds)</f>
        <v>19.300000000000004</v>
      </c>
      <c r="T251" s="42"/>
      <c r="U251" s="42"/>
      <c r="V251" s="42"/>
      <c r="W251" s="42"/>
      <c r="X251" s="81"/>
    </row>
    <row r="252" spans="2:24" x14ac:dyDescent="0.25">
      <c r="B252" s="2">
        <v>1</v>
      </c>
      <c r="C252" s="1">
        <f t="shared" si="30"/>
        <v>17.52941176470587</v>
      </c>
      <c r="D252" s="1">
        <f t="shared" si="28"/>
        <v>1</v>
      </c>
      <c r="E252" s="1">
        <f t="shared" si="31"/>
        <v>0</v>
      </c>
      <c r="F252" s="31">
        <f t="shared" si="29"/>
        <v>14.6</v>
      </c>
      <c r="G252" s="31">
        <f t="shared" ca="1" si="25"/>
        <v>14.6</v>
      </c>
      <c r="H252" s="30">
        <f t="shared" ca="1" si="26"/>
        <v>0</v>
      </c>
      <c r="I252" s="31">
        <f t="shared" ca="1" si="27"/>
        <v>14.6</v>
      </c>
      <c r="Q252" s="80"/>
      <c r="R252" s="42"/>
      <c r="S252" s="90">
        <f t="shared" si="32"/>
        <v>19.400000000000006</v>
      </c>
      <c r="T252" s="42"/>
      <c r="U252" s="42"/>
      <c r="V252" s="42"/>
      <c r="W252" s="42"/>
      <c r="X252" s="81"/>
    </row>
    <row r="253" spans="2:24" x14ac:dyDescent="0.25">
      <c r="B253" s="2">
        <v>1</v>
      </c>
      <c r="C253" s="1">
        <f t="shared" si="30"/>
        <v>18.52941176470587</v>
      </c>
      <c r="D253" s="1">
        <f t="shared" si="28"/>
        <v>1</v>
      </c>
      <c r="E253" s="1">
        <f t="shared" si="31"/>
        <v>0</v>
      </c>
      <c r="F253" s="31">
        <f t="shared" si="29"/>
        <v>14.6</v>
      </c>
      <c r="G253" s="31">
        <f t="shared" ca="1" si="25"/>
        <v>14.6</v>
      </c>
      <c r="H253" s="30">
        <f t="shared" ca="1" si="26"/>
        <v>0</v>
      </c>
      <c r="I253" s="31">
        <f t="shared" ca="1" si="27"/>
        <v>14.6</v>
      </c>
      <c r="Q253" s="80"/>
      <c r="R253" s="42"/>
      <c r="S253" s="90">
        <f t="shared" si="32"/>
        <v>19.500000000000007</v>
      </c>
      <c r="T253" s="42"/>
      <c r="U253" s="42"/>
      <c r="V253" s="42"/>
      <c r="W253" s="42"/>
      <c r="X253" s="81"/>
    </row>
    <row r="254" spans="2:24" x14ac:dyDescent="0.25">
      <c r="B254" s="2">
        <v>1</v>
      </c>
      <c r="C254" s="1">
        <f t="shared" si="30"/>
        <v>19.52941176470587</v>
      </c>
      <c r="D254" s="1">
        <f t="shared" si="28"/>
        <v>1</v>
      </c>
      <c r="E254" s="1">
        <f t="shared" si="31"/>
        <v>0</v>
      </c>
      <c r="F254" s="31">
        <f t="shared" si="29"/>
        <v>14.6</v>
      </c>
      <c r="G254" s="31">
        <f t="shared" ca="1" si="25"/>
        <v>14.6</v>
      </c>
      <c r="H254" s="30">
        <f t="shared" ca="1" si="26"/>
        <v>0</v>
      </c>
      <c r="I254" s="31">
        <f t="shared" ca="1" si="27"/>
        <v>14.6</v>
      </c>
      <c r="Q254" s="80"/>
      <c r="R254" s="42"/>
      <c r="S254" s="90">
        <f t="shared" si="32"/>
        <v>19.600000000000009</v>
      </c>
      <c r="T254" s="42"/>
      <c r="U254" s="42"/>
      <c r="V254" s="42"/>
      <c r="W254" s="42"/>
      <c r="X254" s="81"/>
    </row>
    <row r="255" spans="2:24" x14ac:dyDescent="0.25">
      <c r="B255" s="2">
        <v>1</v>
      </c>
      <c r="C255" s="1">
        <f t="shared" si="30"/>
        <v>20.52941176470587</v>
      </c>
      <c r="D255" s="1">
        <f t="shared" si="28"/>
        <v>1</v>
      </c>
      <c r="E255" s="1">
        <f t="shared" si="31"/>
        <v>0</v>
      </c>
      <c r="F255" s="31">
        <f t="shared" si="29"/>
        <v>14.6</v>
      </c>
      <c r="G255" s="31">
        <f t="shared" ca="1" si="25"/>
        <v>14.6</v>
      </c>
      <c r="H255" s="30">
        <f t="shared" ca="1" si="26"/>
        <v>0</v>
      </c>
      <c r="I255" s="31">
        <f t="shared" ca="1" si="27"/>
        <v>14.6</v>
      </c>
      <c r="Q255" s="80"/>
      <c r="R255" s="42"/>
      <c r="S255" s="90">
        <f t="shared" si="32"/>
        <v>19.70000000000001</v>
      </c>
      <c r="T255" s="42"/>
      <c r="U255" s="42"/>
      <c r="V255" s="42"/>
      <c r="W255" s="42"/>
      <c r="X255" s="81"/>
    </row>
    <row r="256" spans="2:24" x14ac:dyDescent="0.25">
      <c r="B256" s="2">
        <v>1</v>
      </c>
      <c r="C256" s="1">
        <f t="shared" si="30"/>
        <v>21.52941176470587</v>
      </c>
      <c r="D256" s="1">
        <f t="shared" si="28"/>
        <v>1</v>
      </c>
      <c r="E256" s="1">
        <f t="shared" si="31"/>
        <v>0</v>
      </c>
      <c r="F256" s="31">
        <f t="shared" si="29"/>
        <v>14.6</v>
      </c>
      <c r="G256" s="31">
        <f t="shared" ca="1" si="25"/>
        <v>14.6</v>
      </c>
      <c r="H256" s="30">
        <f t="shared" ca="1" si="26"/>
        <v>0</v>
      </c>
      <c r="I256" s="31">
        <f t="shared" ca="1" si="27"/>
        <v>14.6</v>
      </c>
      <c r="Q256" s="80"/>
      <c r="R256" s="42"/>
      <c r="S256" s="90">
        <f t="shared" si="32"/>
        <v>19.800000000000011</v>
      </c>
      <c r="T256" s="42"/>
      <c r="U256" s="42"/>
      <c r="V256" s="42"/>
      <c r="W256" s="42"/>
      <c r="X256" s="81"/>
    </row>
    <row r="257" spans="2:24" x14ac:dyDescent="0.25">
      <c r="B257" s="2">
        <v>1</v>
      </c>
      <c r="C257" s="1">
        <f t="shared" si="30"/>
        <v>22.52941176470587</v>
      </c>
      <c r="D257" s="1">
        <f t="shared" si="28"/>
        <v>1</v>
      </c>
      <c r="E257" s="1">
        <f t="shared" si="31"/>
        <v>0</v>
      </c>
      <c r="F257" s="31">
        <f t="shared" si="29"/>
        <v>14.6</v>
      </c>
      <c r="G257" s="31">
        <f t="shared" ca="1" si="25"/>
        <v>14.6</v>
      </c>
      <c r="H257" s="30">
        <f t="shared" ca="1" si="26"/>
        <v>0</v>
      </c>
      <c r="I257" s="31">
        <f t="shared" ca="1" si="27"/>
        <v>14.6</v>
      </c>
      <c r="Q257" s="80"/>
      <c r="R257" s="42"/>
      <c r="S257" s="90">
        <f t="shared" si="32"/>
        <v>19.900000000000013</v>
      </c>
      <c r="T257" s="42"/>
      <c r="U257" s="42"/>
      <c r="V257" s="42"/>
      <c r="W257" s="42"/>
      <c r="X257" s="81"/>
    </row>
    <row r="258" spans="2:24" x14ac:dyDescent="0.25">
      <c r="B258" s="2">
        <v>1</v>
      </c>
      <c r="C258" s="1">
        <f t="shared" si="30"/>
        <v>23.52941176470587</v>
      </c>
      <c r="D258" s="1">
        <f t="shared" si="28"/>
        <v>0</v>
      </c>
      <c r="E258" s="1">
        <f t="shared" si="31"/>
        <v>1</v>
      </c>
      <c r="F258" s="31">
        <f t="shared" si="29"/>
        <v>6.4</v>
      </c>
      <c r="G258" s="31">
        <f t="shared" ca="1" si="25"/>
        <v>0</v>
      </c>
      <c r="H258" s="30">
        <f t="shared" ca="1" si="26"/>
        <v>14.6</v>
      </c>
      <c r="I258" s="31">
        <f t="shared" ca="1" si="27"/>
        <v>14.6</v>
      </c>
      <c r="Q258" s="80"/>
      <c r="R258" s="42"/>
      <c r="S258" s="90">
        <f t="shared" si="32"/>
        <v>20.000000000000014</v>
      </c>
      <c r="T258" s="42"/>
      <c r="U258" s="42"/>
      <c r="V258" s="42"/>
      <c r="W258" s="42"/>
      <c r="X258" s="81"/>
    </row>
    <row r="259" spans="2:24" x14ac:dyDescent="0.25">
      <c r="B259" s="2">
        <v>1</v>
      </c>
      <c r="C259" s="1">
        <f t="shared" si="30"/>
        <v>24.52941176470587</v>
      </c>
      <c r="D259" s="1">
        <f t="shared" si="28"/>
        <v>0</v>
      </c>
      <c r="E259" s="1">
        <f t="shared" si="31"/>
        <v>1</v>
      </c>
      <c r="F259" s="31">
        <f t="shared" si="29"/>
        <v>6.4</v>
      </c>
      <c r="G259" s="31">
        <f t="shared" ca="1" si="25"/>
        <v>0</v>
      </c>
      <c r="H259" s="30">
        <f t="shared" ca="1" si="26"/>
        <v>6.4</v>
      </c>
      <c r="I259" s="31">
        <f t="shared" ca="1" si="27"/>
        <v>6.4</v>
      </c>
      <c r="Q259" s="80"/>
      <c r="R259" s="42"/>
      <c r="S259" s="90">
        <f t="shared" si="32"/>
        <v>20.100000000000016</v>
      </c>
      <c r="T259" s="42"/>
      <c r="U259" s="42"/>
      <c r="V259" s="42"/>
      <c r="W259" s="42"/>
      <c r="X259" s="81"/>
    </row>
    <row r="260" spans="2:24" x14ac:dyDescent="0.25">
      <c r="B260" s="2">
        <v>1</v>
      </c>
      <c r="C260" s="1">
        <f t="shared" si="30"/>
        <v>25.52941176470587</v>
      </c>
      <c r="D260" s="1">
        <f t="shared" si="28"/>
        <v>0</v>
      </c>
      <c r="E260" s="1">
        <f t="shared" si="31"/>
        <v>1</v>
      </c>
      <c r="F260" s="31">
        <f t="shared" si="29"/>
        <v>6.4</v>
      </c>
      <c r="G260" s="31">
        <f t="shared" ca="1" si="25"/>
        <v>0</v>
      </c>
      <c r="H260" s="30">
        <f t="shared" ca="1" si="26"/>
        <v>6.4</v>
      </c>
      <c r="I260" s="31">
        <f t="shared" ca="1" si="27"/>
        <v>6.4</v>
      </c>
      <c r="Q260" s="80"/>
      <c r="R260" s="42"/>
      <c r="S260" s="90">
        <f t="shared" si="32"/>
        <v>20.200000000000017</v>
      </c>
      <c r="T260" s="42"/>
      <c r="U260" s="42"/>
      <c r="V260" s="42"/>
      <c r="W260" s="42"/>
      <c r="X260" s="81"/>
    </row>
    <row r="261" spans="2:24" x14ac:dyDescent="0.25">
      <c r="B261" s="2">
        <v>1</v>
      </c>
      <c r="C261" s="1">
        <f t="shared" si="30"/>
        <v>26.52941176470587</v>
      </c>
      <c r="D261" s="1">
        <f t="shared" si="28"/>
        <v>0</v>
      </c>
      <c r="E261" s="1">
        <f t="shared" si="31"/>
        <v>1</v>
      </c>
      <c r="F261" s="31">
        <f t="shared" si="29"/>
        <v>6.4</v>
      </c>
      <c r="G261" s="31">
        <f t="shared" ca="1" si="25"/>
        <v>0</v>
      </c>
      <c r="H261" s="30">
        <f t="shared" ca="1" si="26"/>
        <v>6.4</v>
      </c>
      <c r="I261" s="31">
        <f t="shared" ca="1" si="27"/>
        <v>6.4</v>
      </c>
      <c r="Q261" s="80"/>
      <c r="R261" s="42"/>
      <c r="S261" s="90">
        <f t="shared" si="32"/>
        <v>20.300000000000018</v>
      </c>
      <c r="T261" s="42"/>
      <c r="U261" s="42"/>
      <c r="V261" s="42"/>
      <c r="W261" s="42"/>
      <c r="X261" s="81"/>
    </row>
    <row r="262" spans="2:24" x14ac:dyDescent="0.25">
      <c r="B262" s="2">
        <v>1</v>
      </c>
      <c r="C262" s="1">
        <f t="shared" si="30"/>
        <v>27.52941176470587</v>
      </c>
      <c r="D262" s="1">
        <f t="shared" si="28"/>
        <v>0</v>
      </c>
      <c r="E262" s="1">
        <f t="shared" si="31"/>
        <v>1</v>
      </c>
      <c r="F262" s="31">
        <f t="shared" si="29"/>
        <v>6.4</v>
      </c>
      <c r="G262" s="31">
        <f t="shared" ca="1" si="25"/>
        <v>0</v>
      </c>
      <c r="H262" s="30">
        <f t="shared" ca="1" si="26"/>
        <v>6.4</v>
      </c>
      <c r="I262" s="31">
        <f t="shared" ca="1" si="27"/>
        <v>6.4</v>
      </c>
      <c r="Q262" s="80"/>
      <c r="R262" s="42"/>
      <c r="S262" s="90">
        <f t="shared" si="32"/>
        <v>20.40000000000002</v>
      </c>
      <c r="T262" s="42"/>
      <c r="U262" s="42"/>
      <c r="V262" s="42"/>
      <c r="W262" s="42"/>
      <c r="X262" s="81"/>
    </row>
    <row r="263" spans="2:24" x14ac:dyDescent="0.25">
      <c r="B263" s="2">
        <v>1</v>
      </c>
      <c r="C263" s="1">
        <f t="shared" si="30"/>
        <v>28.52941176470587</v>
      </c>
      <c r="D263" s="1">
        <f t="shared" si="28"/>
        <v>0</v>
      </c>
      <c r="E263" s="1">
        <f t="shared" si="31"/>
        <v>1</v>
      </c>
      <c r="F263" s="31">
        <f t="shared" si="29"/>
        <v>6.4</v>
      </c>
      <c r="G263" s="31">
        <f t="shared" ca="1" si="25"/>
        <v>0</v>
      </c>
      <c r="H263" s="30">
        <f t="shared" ca="1" si="26"/>
        <v>6.4</v>
      </c>
      <c r="I263" s="31">
        <f t="shared" ca="1" si="27"/>
        <v>6.4</v>
      </c>
      <c r="Q263" s="80"/>
      <c r="R263" s="42"/>
      <c r="S263" s="90">
        <f t="shared" si="32"/>
        <v>20.500000000000021</v>
      </c>
      <c r="T263" s="42"/>
      <c r="U263" s="42"/>
      <c r="V263" s="42"/>
      <c r="W263" s="42"/>
      <c r="X263" s="81"/>
    </row>
    <row r="264" spans="2:24" x14ac:dyDescent="0.25">
      <c r="B264" s="2">
        <v>1</v>
      </c>
      <c r="C264" s="1">
        <f t="shared" si="30"/>
        <v>29.52941176470587</v>
      </c>
      <c r="D264" s="1">
        <f t="shared" si="28"/>
        <v>0</v>
      </c>
      <c r="E264" s="1">
        <f t="shared" si="31"/>
        <v>1</v>
      </c>
      <c r="F264" s="31">
        <f t="shared" si="29"/>
        <v>6.4</v>
      </c>
      <c r="G264" s="31">
        <f t="shared" ca="1" si="25"/>
        <v>0</v>
      </c>
      <c r="H264" s="30">
        <f t="shared" ca="1" si="26"/>
        <v>6.4</v>
      </c>
      <c r="I264" s="31">
        <f t="shared" ca="1" si="27"/>
        <v>6.4</v>
      </c>
      <c r="Q264" s="80"/>
      <c r="R264" s="42"/>
      <c r="S264" s="90">
        <f t="shared" si="32"/>
        <v>20.600000000000023</v>
      </c>
      <c r="T264" s="42"/>
      <c r="U264" s="42"/>
      <c r="V264" s="42"/>
      <c r="W264" s="42"/>
      <c r="X264" s="81"/>
    </row>
    <row r="265" spans="2:24" x14ac:dyDescent="0.25">
      <c r="B265" s="2">
        <v>1</v>
      </c>
      <c r="C265" s="1">
        <f t="shared" si="30"/>
        <v>30.52941176470587</v>
      </c>
      <c r="D265" s="1">
        <f t="shared" si="28"/>
        <v>0</v>
      </c>
      <c r="E265" s="1">
        <f t="shared" si="31"/>
        <v>1</v>
      </c>
      <c r="F265" s="31">
        <f t="shared" si="29"/>
        <v>6.4</v>
      </c>
      <c r="G265" s="31">
        <f t="shared" ca="1" si="25"/>
        <v>0</v>
      </c>
      <c r="H265" s="30">
        <f t="shared" ca="1" si="26"/>
        <v>6.4</v>
      </c>
      <c r="I265" s="31">
        <f t="shared" ca="1" si="27"/>
        <v>6.4</v>
      </c>
      <c r="Q265" s="80"/>
      <c r="R265" s="42"/>
      <c r="S265" s="90">
        <f t="shared" si="32"/>
        <v>20.700000000000024</v>
      </c>
      <c r="T265" s="42"/>
      <c r="U265" s="42"/>
      <c r="V265" s="42"/>
      <c r="W265" s="42"/>
      <c r="X265" s="81"/>
    </row>
    <row r="266" spans="2:24" x14ac:dyDescent="0.25">
      <c r="B266" s="2">
        <v>1</v>
      </c>
      <c r="C266" s="1">
        <f t="shared" si="30"/>
        <v>31.52941176470587</v>
      </c>
      <c r="D266" s="1">
        <f t="shared" si="28"/>
        <v>0</v>
      </c>
      <c r="E266" s="1">
        <f t="shared" si="31"/>
        <v>1</v>
      </c>
      <c r="F266" s="31">
        <f t="shared" si="29"/>
        <v>6.4</v>
      </c>
      <c r="G266" s="31">
        <f t="shared" ca="1" si="25"/>
        <v>0</v>
      </c>
      <c r="H266" s="30">
        <f t="shared" ca="1" si="26"/>
        <v>6.4</v>
      </c>
      <c r="I266" s="31">
        <f t="shared" ca="1" si="27"/>
        <v>6.4</v>
      </c>
      <c r="Q266" s="80"/>
      <c r="R266" s="42"/>
      <c r="S266" s="90">
        <f t="shared" si="32"/>
        <v>20.800000000000026</v>
      </c>
      <c r="T266" s="42"/>
      <c r="U266" s="42"/>
      <c r="V266" s="42"/>
      <c r="W266" s="42"/>
      <c r="X266" s="81"/>
    </row>
    <row r="267" spans="2:24" x14ac:dyDescent="0.25">
      <c r="B267" s="2">
        <v>1</v>
      </c>
      <c r="C267" s="1">
        <f t="shared" si="30"/>
        <v>32.52941176470587</v>
      </c>
      <c r="D267" s="1">
        <f t="shared" si="28"/>
        <v>0</v>
      </c>
      <c r="E267" s="1">
        <f t="shared" si="31"/>
        <v>1</v>
      </c>
      <c r="F267" s="31">
        <f t="shared" si="29"/>
        <v>6.4</v>
      </c>
      <c r="G267" s="31">
        <f t="shared" ref="G267:G330" ca="1" si="33">IF(D267=1, AVERAGE(OFFSET(F267,-$L$27,0,$L$27,1)),0)</f>
        <v>0</v>
      </c>
      <c r="H267" s="30">
        <f t="shared" ref="H267:H330" ca="1" si="34">IF(D267=0, AVERAGE(OFFSET(F267,-$L$28,0,$L$28,1)),0)</f>
        <v>6.4</v>
      </c>
      <c r="I267" s="31">
        <f t="shared" ref="I267:I330" ca="1" si="35">G267+H267</f>
        <v>6.4</v>
      </c>
      <c r="Q267" s="80"/>
      <c r="R267" s="42"/>
      <c r="S267" s="90">
        <f t="shared" si="32"/>
        <v>20.900000000000027</v>
      </c>
      <c r="T267" s="42"/>
      <c r="U267" s="42"/>
      <c r="V267" s="42"/>
      <c r="W267" s="42"/>
      <c r="X267" s="81"/>
    </row>
    <row r="268" spans="2:24" x14ac:dyDescent="0.25">
      <c r="B268" s="2">
        <v>1</v>
      </c>
      <c r="C268" s="1">
        <f t="shared" si="30"/>
        <v>33.52941176470587</v>
      </c>
      <c r="D268" s="1">
        <f t="shared" si="28"/>
        <v>0</v>
      </c>
      <c r="E268" s="1">
        <f t="shared" si="31"/>
        <v>1</v>
      </c>
      <c r="F268" s="31">
        <f t="shared" si="29"/>
        <v>6.4</v>
      </c>
      <c r="G268" s="31">
        <f t="shared" ca="1" si="33"/>
        <v>0</v>
      </c>
      <c r="H268" s="30">
        <f t="shared" ca="1" si="34"/>
        <v>6.4</v>
      </c>
      <c r="I268" s="31">
        <f t="shared" ca="1" si="35"/>
        <v>6.4</v>
      </c>
      <c r="Q268" s="80"/>
      <c r="R268" s="42"/>
      <c r="S268" s="90">
        <f t="shared" si="32"/>
        <v>21.000000000000028</v>
      </c>
      <c r="T268" s="42"/>
      <c r="U268" s="42"/>
      <c r="V268" s="42"/>
      <c r="W268" s="42"/>
      <c r="X268" s="81"/>
    </row>
    <row r="269" spans="2:24" x14ac:dyDescent="0.25">
      <c r="B269" s="2">
        <v>1</v>
      </c>
      <c r="C269" s="1">
        <f t="shared" si="30"/>
        <v>34.52941176470587</v>
      </c>
      <c r="D269" s="1">
        <f t="shared" si="28"/>
        <v>0</v>
      </c>
      <c r="E269" s="1">
        <f t="shared" si="31"/>
        <v>1</v>
      </c>
      <c r="F269" s="31">
        <f t="shared" si="29"/>
        <v>6.4</v>
      </c>
      <c r="G269" s="31">
        <f t="shared" ca="1" si="33"/>
        <v>0</v>
      </c>
      <c r="H269" s="30">
        <f t="shared" ca="1" si="34"/>
        <v>6.4</v>
      </c>
      <c r="I269" s="31">
        <f t="shared" ca="1" si="35"/>
        <v>6.4</v>
      </c>
      <c r="Q269" s="80"/>
      <c r="R269" s="42"/>
      <c r="S269" s="90">
        <f t="shared" si="32"/>
        <v>21.10000000000003</v>
      </c>
      <c r="T269" s="42"/>
      <c r="U269" s="42"/>
      <c r="V269" s="42"/>
      <c r="W269" s="42"/>
      <c r="X269" s="81"/>
    </row>
    <row r="270" spans="2:24" x14ac:dyDescent="0.25">
      <c r="B270" s="2">
        <v>1</v>
      </c>
      <c r="C270" s="1">
        <f t="shared" si="30"/>
        <v>0.23529411764704378</v>
      </c>
      <c r="D270" s="1">
        <f t="shared" si="28"/>
        <v>1</v>
      </c>
      <c r="E270" s="1">
        <f t="shared" si="31"/>
        <v>0</v>
      </c>
      <c r="F270" s="31">
        <f t="shared" si="29"/>
        <v>14.6</v>
      </c>
      <c r="G270" s="31">
        <f t="shared" ca="1" si="33"/>
        <v>6.4</v>
      </c>
      <c r="H270" s="30">
        <f t="shared" ca="1" si="34"/>
        <v>0</v>
      </c>
      <c r="I270" s="31">
        <f t="shared" ca="1" si="35"/>
        <v>6.4</v>
      </c>
      <c r="Q270" s="80"/>
      <c r="R270" s="42"/>
      <c r="S270" s="90">
        <f t="shared" si="32"/>
        <v>21.200000000000031</v>
      </c>
      <c r="T270" s="42"/>
      <c r="U270" s="42"/>
      <c r="V270" s="42"/>
      <c r="W270" s="42"/>
      <c r="X270" s="81"/>
    </row>
    <row r="271" spans="2:24" x14ac:dyDescent="0.25">
      <c r="B271" s="2">
        <v>1</v>
      </c>
      <c r="C271" s="1">
        <f t="shared" si="30"/>
        <v>1.2352941176470438</v>
      </c>
      <c r="D271" s="1">
        <f t="shared" si="28"/>
        <v>1</v>
      </c>
      <c r="E271" s="1">
        <f t="shared" si="31"/>
        <v>0</v>
      </c>
      <c r="F271" s="31">
        <f t="shared" si="29"/>
        <v>14.6</v>
      </c>
      <c r="G271" s="31">
        <f t="shared" ca="1" si="33"/>
        <v>8.4500000000000011</v>
      </c>
      <c r="H271" s="30">
        <f t="shared" ca="1" si="34"/>
        <v>0</v>
      </c>
      <c r="I271" s="31">
        <f t="shared" ca="1" si="35"/>
        <v>8.4500000000000011</v>
      </c>
      <c r="Q271" s="80"/>
      <c r="R271" s="42"/>
      <c r="S271" s="90">
        <f t="shared" si="32"/>
        <v>21.300000000000033</v>
      </c>
      <c r="T271" s="42"/>
      <c r="U271" s="42"/>
      <c r="V271" s="42"/>
      <c r="W271" s="42"/>
      <c r="X271" s="81"/>
    </row>
    <row r="272" spans="2:24" x14ac:dyDescent="0.25">
      <c r="B272" s="2">
        <v>1</v>
      </c>
      <c r="C272" s="1">
        <f t="shared" si="30"/>
        <v>2.2352941176470438</v>
      </c>
      <c r="D272" s="1">
        <f t="shared" si="28"/>
        <v>1</v>
      </c>
      <c r="E272" s="1">
        <f t="shared" si="31"/>
        <v>0</v>
      </c>
      <c r="F272" s="31">
        <f t="shared" si="29"/>
        <v>14.6</v>
      </c>
      <c r="G272" s="31">
        <f t="shared" ca="1" si="33"/>
        <v>10.5</v>
      </c>
      <c r="H272" s="30">
        <f t="shared" ca="1" si="34"/>
        <v>0</v>
      </c>
      <c r="I272" s="31">
        <f t="shared" ca="1" si="35"/>
        <v>10.5</v>
      </c>
      <c r="Q272" s="80"/>
      <c r="R272" s="42"/>
      <c r="S272" s="90">
        <f t="shared" si="32"/>
        <v>21.400000000000034</v>
      </c>
      <c r="T272" s="42"/>
      <c r="U272" s="42"/>
      <c r="V272" s="42"/>
      <c r="W272" s="42"/>
      <c r="X272" s="81"/>
    </row>
    <row r="273" spans="2:24" x14ac:dyDescent="0.25">
      <c r="B273" s="2">
        <v>1</v>
      </c>
      <c r="C273" s="1">
        <f t="shared" si="30"/>
        <v>3.2352941176470438</v>
      </c>
      <c r="D273" s="1">
        <f t="shared" si="28"/>
        <v>1</v>
      </c>
      <c r="E273" s="1">
        <f t="shared" si="31"/>
        <v>0</v>
      </c>
      <c r="F273" s="31">
        <f t="shared" si="29"/>
        <v>14.6</v>
      </c>
      <c r="G273" s="31">
        <f t="shared" ca="1" si="33"/>
        <v>12.55</v>
      </c>
      <c r="H273" s="30">
        <f t="shared" ca="1" si="34"/>
        <v>0</v>
      </c>
      <c r="I273" s="31">
        <f t="shared" ca="1" si="35"/>
        <v>12.55</v>
      </c>
      <c r="Q273" s="80"/>
      <c r="R273" s="42"/>
      <c r="S273" s="90">
        <f t="shared" si="32"/>
        <v>21.500000000000036</v>
      </c>
      <c r="T273" s="42"/>
      <c r="U273" s="42"/>
      <c r="V273" s="42"/>
      <c r="W273" s="42"/>
      <c r="X273" s="81"/>
    </row>
    <row r="274" spans="2:24" x14ac:dyDescent="0.25">
      <c r="B274" s="2">
        <v>1</v>
      </c>
      <c r="C274" s="1">
        <f t="shared" si="30"/>
        <v>4.2352941176470438</v>
      </c>
      <c r="D274" s="1">
        <f t="shared" si="28"/>
        <v>1</v>
      </c>
      <c r="E274" s="1">
        <f t="shared" si="31"/>
        <v>0</v>
      </c>
      <c r="F274" s="31">
        <f t="shared" si="29"/>
        <v>14.6</v>
      </c>
      <c r="G274" s="31">
        <f t="shared" ca="1" si="33"/>
        <v>14.6</v>
      </c>
      <c r="H274" s="30">
        <f t="shared" ca="1" si="34"/>
        <v>0</v>
      </c>
      <c r="I274" s="31">
        <f t="shared" ca="1" si="35"/>
        <v>14.6</v>
      </c>
      <c r="Q274" s="80"/>
      <c r="R274" s="42"/>
      <c r="S274" s="90">
        <f t="shared" si="32"/>
        <v>21.600000000000037</v>
      </c>
      <c r="T274" s="42"/>
      <c r="U274" s="42"/>
      <c r="V274" s="42"/>
      <c r="W274" s="42"/>
      <c r="X274" s="81"/>
    </row>
    <row r="275" spans="2:24" x14ac:dyDescent="0.25">
      <c r="B275" s="2">
        <v>1</v>
      </c>
      <c r="C275" s="1">
        <f t="shared" si="30"/>
        <v>5.2352941176470438</v>
      </c>
      <c r="D275" s="1">
        <f t="shared" si="28"/>
        <v>1</v>
      </c>
      <c r="E275" s="1">
        <f t="shared" si="31"/>
        <v>0</v>
      </c>
      <c r="F275" s="31">
        <f t="shared" si="29"/>
        <v>14.6</v>
      </c>
      <c r="G275" s="31">
        <f t="shared" ca="1" si="33"/>
        <v>14.6</v>
      </c>
      <c r="H275" s="30">
        <f t="shared" ca="1" si="34"/>
        <v>0</v>
      </c>
      <c r="I275" s="31">
        <f t="shared" ca="1" si="35"/>
        <v>14.6</v>
      </c>
      <c r="Q275" s="80"/>
      <c r="R275" s="42"/>
      <c r="S275" s="90">
        <f t="shared" si="32"/>
        <v>21.700000000000038</v>
      </c>
      <c r="T275" s="42"/>
      <c r="U275" s="42"/>
      <c r="V275" s="42"/>
      <c r="W275" s="42"/>
      <c r="X275" s="81"/>
    </row>
    <row r="276" spans="2:24" x14ac:dyDescent="0.25">
      <c r="B276" s="2">
        <v>1</v>
      </c>
      <c r="C276" s="1">
        <f t="shared" si="30"/>
        <v>6.2352941176470438</v>
      </c>
      <c r="D276" s="1">
        <f t="shared" si="28"/>
        <v>1</v>
      </c>
      <c r="E276" s="1">
        <f t="shared" si="31"/>
        <v>0</v>
      </c>
      <c r="F276" s="31">
        <f t="shared" si="29"/>
        <v>14.6</v>
      </c>
      <c r="G276" s="31">
        <f t="shared" ca="1" si="33"/>
        <v>14.6</v>
      </c>
      <c r="H276" s="30">
        <f t="shared" ca="1" si="34"/>
        <v>0</v>
      </c>
      <c r="I276" s="31">
        <f t="shared" ca="1" si="35"/>
        <v>14.6</v>
      </c>
      <c r="Q276" s="80"/>
      <c r="R276" s="42"/>
      <c r="S276" s="90">
        <f t="shared" si="32"/>
        <v>21.80000000000004</v>
      </c>
      <c r="T276" s="42"/>
      <c r="U276" s="42"/>
      <c r="V276" s="42"/>
      <c r="W276" s="42"/>
      <c r="X276" s="81"/>
    </row>
    <row r="277" spans="2:24" x14ac:dyDescent="0.25">
      <c r="B277" s="2">
        <v>1</v>
      </c>
      <c r="C277" s="1">
        <f t="shared" si="30"/>
        <v>7.2352941176470438</v>
      </c>
      <c r="D277" s="1">
        <f t="shared" si="28"/>
        <v>1</v>
      </c>
      <c r="E277" s="1">
        <f t="shared" si="31"/>
        <v>0</v>
      </c>
      <c r="F277" s="31">
        <f t="shared" si="29"/>
        <v>14.6</v>
      </c>
      <c r="G277" s="31">
        <f t="shared" ca="1" si="33"/>
        <v>14.6</v>
      </c>
      <c r="H277" s="30">
        <f t="shared" ca="1" si="34"/>
        <v>0</v>
      </c>
      <c r="I277" s="31">
        <f t="shared" ca="1" si="35"/>
        <v>14.6</v>
      </c>
      <c r="Q277" s="80"/>
      <c r="R277" s="42"/>
      <c r="S277" s="90">
        <f t="shared" si="32"/>
        <v>21.900000000000041</v>
      </c>
      <c r="T277" s="42"/>
      <c r="U277" s="42"/>
      <c r="V277" s="42"/>
      <c r="W277" s="42"/>
      <c r="X277" s="81"/>
    </row>
    <row r="278" spans="2:24" x14ac:dyDescent="0.25">
      <c r="B278" s="2">
        <v>1</v>
      </c>
      <c r="C278" s="1">
        <f t="shared" si="30"/>
        <v>8.2352941176470438</v>
      </c>
      <c r="D278" s="1">
        <f t="shared" si="28"/>
        <v>1</v>
      </c>
      <c r="E278" s="1">
        <f t="shared" si="31"/>
        <v>0</v>
      </c>
      <c r="F278" s="31">
        <f t="shared" si="29"/>
        <v>14.6</v>
      </c>
      <c r="G278" s="31">
        <f t="shared" ca="1" si="33"/>
        <v>14.6</v>
      </c>
      <c r="H278" s="30">
        <f t="shared" ca="1" si="34"/>
        <v>0</v>
      </c>
      <c r="I278" s="31">
        <f t="shared" ca="1" si="35"/>
        <v>14.6</v>
      </c>
      <c r="Q278" s="80"/>
      <c r="R278" s="42"/>
      <c r="S278" s="90">
        <f t="shared" si="32"/>
        <v>22.000000000000043</v>
      </c>
      <c r="T278" s="42"/>
      <c r="U278" s="42"/>
      <c r="V278" s="42"/>
      <c r="W278" s="42"/>
      <c r="X278" s="81"/>
    </row>
    <row r="279" spans="2:24" x14ac:dyDescent="0.25">
      <c r="B279" s="2">
        <v>1</v>
      </c>
      <c r="C279" s="1">
        <f t="shared" si="30"/>
        <v>9.2352941176470438</v>
      </c>
      <c r="D279" s="1">
        <f t="shared" si="28"/>
        <v>1</v>
      </c>
      <c r="E279" s="1">
        <f t="shared" si="31"/>
        <v>0</v>
      </c>
      <c r="F279" s="31">
        <f t="shared" si="29"/>
        <v>14.6</v>
      </c>
      <c r="G279" s="31">
        <f t="shared" ca="1" si="33"/>
        <v>14.6</v>
      </c>
      <c r="H279" s="30">
        <f t="shared" ca="1" si="34"/>
        <v>0</v>
      </c>
      <c r="I279" s="31">
        <f t="shared" ca="1" si="35"/>
        <v>14.6</v>
      </c>
      <c r="Q279" s="80"/>
      <c r="R279" s="42"/>
      <c r="S279" s="90">
        <f t="shared" si="32"/>
        <v>22.100000000000044</v>
      </c>
      <c r="T279" s="42"/>
      <c r="U279" s="42"/>
      <c r="V279" s="42"/>
      <c r="W279" s="42"/>
      <c r="X279" s="81"/>
    </row>
    <row r="280" spans="2:24" x14ac:dyDescent="0.25">
      <c r="B280" s="2">
        <v>1</v>
      </c>
      <c r="C280" s="1">
        <f t="shared" si="30"/>
        <v>10.235294117647044</v>
      </c>
      <c r="D280" s="1">
        <f t="shared" si="28"/>
        <v>1</v>
      </c>
      <c r="E280" s="1">
        <f t="shared" si="31"/>
        <v>0</v>
      </c>
      <c r="F280" s="31">
        <f t="shared" si="29"/>
        <v>14.6</v>
      </c>
      <c r="G280" s="31">
        <f t="shared" ca="1" si="33"/>
        <v>14.6</v>
      </c>
      <c r="H280" s="30">
        <f t="shared" ca="1" si="34"/>
        <v>0</v>
      </c>
      <c r="I280" s="31">
        <f t="shared" ca="1" si="35"/>
        <v>14.6</v>
      </c>
      <c r="Q280" s="80"/>
      <c r="R280" s="42"/>
      <c r="S280" s="90">
        <f t="shared" si="32"/>
        <v>22.200000000000045</v>
      </c>
      <c r="T280" s="42"/>
      <c r="U280" s="42"/>
      <c r="V280" s="42"/>
      <c r="W280" s="42"/>
      <c r="X280" s="81"/>
    </row>
    <row r="281" spans="2:24" x14ac:dyDescent="0.25">
      <c r="B281" s="2">
        <v>1</v>
      </c>
      <c r="C281" s="1">
        <f t="shared" si="30"/>
        <v>11.235294117647044</v>
      </c>
      <c r="D281" s="1">
        <f t="shared" si="28"/>
        <v>1</v>
      </c>
      <c r="E281" s="1">
        <f t="shared" si="31"/>
        <v>0</v>
      </c>
      <c r="F281" s="31">
        <f t="shared" si="29"/>
        <v>14.6</v>
      </c>
      <c r="G281" s="31">
        <f t="shared" ca="1" si="33"/>
        <v>14.6</v>
      </c>
      <c r="H281" s="30">
        <f t="shared" ca="1" si="34"/>
        <v>0</v>
      </c>
      <c r="I281" s="31">
        <f t="shared" ca="1" si="35"/>
        <v>14.6</v>
      </c>
      <c r="Q281" s="80"/>
      <c r="R281" s="42"/>
      <c r="S281" s="90">
        <f t="shared" si="32"/>
        <v>22.300000000000047</v>
      </c>
      <c r="T281" s="42"/>
      <c r="U281" s="42"/>
      <c r="V281" s="42"/>
      <c r="W281" s="42"/>
      <c r="X281" s="81"/>
    </row>
    <row r="282" spans="2:24" x14ac:dyDescent="0.25">
      <c r="B282" s="2">
        <v>1</v>
      </c>
      <c r="C282" s="1">
        <f t="shared" si="30"/>
        <v>12.235294117647044</v>
      </c>
      <c r="D282" s="1">
        <f t="shared" si="28"/>
        <v>1</v>
      </c>
      <c r="E282" s="1">
        <f t="shared" si="31"/>
        <v>0</v>
      </c>
      <c r="F282" s="31">
        <f t="shared" si="29"/>
        <v>14.6</v>
      </c>
      <c r="G282" s="31">
        <f t="shared" ca="1" si="33"/>
        <v>14.6</v>
      </c>
      <c r="H282" s="30">
        <f t="shared" ca="1" si="34"/>
        <v>0</v>
      </c>
      <c r="I282" s="31">
        <f t="shared" ca="1" si="35"/>
        <v>14.6</v>
      </c>
      <c r="Q282" s="80"/>
      <c r="R282" s="42"/>
      <c r="S282" s="90">
        <f t="shared" si="32"/>
        <v>22.400000000000048</v>
      </c>
      <c r="T282" s="42"/>
      <c r="U282" s="42"/>
      <c r="V282" s="42"/>
      <c r="W282" s="42"/>
      <c r="X282" s="81"/>
    </row>
    <row r="283" spans="2:24" x14ac:dyDescent="0.25">
      <c r="B283" s="2">
        <v>1</v>
      </c>
      <c r="C283" s="1">
        <f t="shared" si="30"/>
        <v>13.235294117647044</v>
      </c>
      <c r="D283" s="1">
        <f t="shared" si="28"/>
        <v>1</v>
      </c>
      <c r="E283" s="1">
        <f t="shared" si="31"/>
        <v>0</v>
      </c>
      <c r="F283" s="31">
        <f t="shared" si="29"/>
        <v>14.6</v>
      </c>
      <c r="G283" s="31">
        <f t="shared" ca="1" si="33"/>
        <v>14.6</v>
      </c>
      <c r="H283" s="30">
        <f t="shared" ca="1" si="34"/>
        <v>0</v>
      </c>
      <c r="I283" s="31">
        <f t="shared" ca="1" si="35"/>
        <v>14.6</v>
      </c>
      <c r="Q283" s="80"/>
      <c r="R283" s="42"/>
      <c r="S283" s="90">
        <f t="shared" si="32"/>
        <v>22.50000000000005</v>
      </c>
      <c r="T283" s="42"/>
      <c r="U283" s="42"/>
      <c r="V283" s="42"/>
      <c r="W283" s="42"/>
      <c r="X283" s="81"/>
    </row>
    <row r="284" spans="2:24" x14ac:dyDescent="0.25">
      <c r="B284" s="2">
        <v>1</v>
      </c>
      <c r="C284" s="1">
        <f t="shared" si="30"/>
        <v>14.235294117647044</v>
      </c>
      <c r="D284" s="1">
        <f t="shared" si="28"/>
        <v>1</v>
      </c>
      <c r="E284" s="1">
        <f t="shared" si="31"/>
        <v>0</v>
      </c>
      <c r="F284" s="31">
        <f t="shared" si="29"/>
        <v>14.6</v>
      </c>
      <c r="G284" s="31">
        <f t="shared" ca="1" si="33"/>
        <v>14.6</v>
      </c>
      <c r="H284" s="30">
        <f t="shared" ca="1" si="34"/>
        <v>0</v>
      </c>
      <c r="I284" s="31">
        <f t="shared" ca="1" si="35"/>
        <v>14.6</v>
      </c>
      <c r="Q284" s="80"/>
      <c r="R284" s="42"/>
      <c r="S284" s="90">
        <f t="shared" si="32"/>
        <v>22.600000000000051</v>
      </c>
      <c r="T284" s="42"/>
      <c r="U284" s="42"/>
      <c r="V284" s="42"/>
      <c r="W284" s="42"/>
      <c r="X284" s="81"/>
    </row>
    <row r="285" spans="2:24" x14ac:dyDescent="0.25">
      <c r="B285" s="2">
        <v>1</v>
      </c>
      <c r="C285" s="1">
        <f t="shared" si="30"/>
        <v>15.235294117647044</v>
      </c>
      <c r="D285" s="1">
        <f t="shared" si="28"/>
        <v>1</v>
      </c>
      <c r="E285" s="1">
        <f t="shared" si="31"/>
        <v>0</v>
      </c>
      <c r="F285" s="31">
        <f t="shared" si="29"/>
        <v>14.6</v>
      </c>
      <c r="G285" s="31">
        <f t="shared" ca="1" si="33"/>
        <v>14.6</v>
      </c>
      <c r="H285" s="30">
        <f t="shared" ca="1" si="34"/>
        <v>0</v>
      </c>
      <c r="I285" s="31">
        <f t="shared" ca="1" si="35"/>
        <v>14.6</v>
      </c>
      <c r="Q285" s="80"/>
      <c r="R285" s="42"/>
      <c r="S285" s="90">
        <f t="shared" si="32"/>
        <v>22.700000000000053</v>
      </c>
      <c r="T285" s="42"/>
      <c r="U285" s="42"/>
      <c r="V285" s="42"/>
      <c r="W285" s="42"/>
      <c r="X285" s="81"/>
    </row>
    <row r="286" spans="2:24" x14ac:dyDescent="0.25">
      <c r="B286" s="2">
        <v>1</v>
      </c>
      <c r="C286" s="1">
        <f t="shared" si="30"/>
        <v>16.235294117647044</v>
      </c>
      <c r="D286" s="1">
        <f t="shared" si="28"/>
        <v>1</v>
      </c>
      <c r="E286" s="1">
        <f t="shared" si="31"/>
        <v>0</v>
      </c>
      <c r="F286" s="31">
        <f t="shared" si="29"/>
        <v>14.6</v>
      </c>
      <c r="G286" s="31">
        <f t="shared" ca="1" si="33"/>
        <v>14.6</v>
      </c>
      <c r="H286" s="30">
        <f t="shared" ca="1" si="34"/>
        <v>0</v>
      </c>
      <c r="I286" s="31">
        <f t="shared" ca="1" si="35"/>
        <v>14.6</v>
      </c>
      <c r="Q286" s="80"/>
      <c r="R286" s="42"/>
      <c r="S286" s="90">
        <f t="shared" si="32"/>
        <v>22.800000000000054</v>
      </c>
      <c r="T286" s="42"/>
      <c r="U286" s="42"/>
      <c r="V286" s="42"/>
      <c r="W286" s="42"/>
      <c r="X286" s="81"/>
    </row>
    <row r="287" spans="2:24" x14ac:dyDescent="0.25">
      <c r="B287" s="2">
        <v>1</v>
      </c>
      <c r="C287" s="1">
        <f t="shared" si="30"/>
        <v>17.235294117647044</v>
      </c>
      <c r="D287" s="1">
        <f t="shared" si="28"/>
        <v>1</v>
      </c>
      <c r="E287" s="1">
        <f t="shared" si="31"/>
        <v>0</v>
      </c>
      <c r="F287" s="31">
        <f t="shared" si="29"/>
        <v>14.6</v>
      </c>
      <c r="G287" s="31">
        <f t="shared" ca="1" si="33"/>
        <v>14.6</v>
      </c>
      <c r="H287" s="30">
        <f t="shared" ca="1" si="34"/>
        <v>0</v>
      </c>
      <c r="I287" s="31">
        <f t="shared" ca="1" si="35"/>
        <v>14.6</v>
      </c>
      <c r="Q287" s="80"/>
      <c r="R287" s="42"/>
      <c r="S287" s="90">
        <f t="shared" si="32"/>
        <v>22.900000000000055</v>
      </c>
      <c r="T287" s="42"/>
      <c r="U287" s="42"/>
      <c r="V287" s="42"/>
      <c r="W287" s="42"/>
      <c r="X287" s="81"/>
    </row>
    <row r="288" spans="2:24" x14ac:dyDescent="0.25">
      <c r="B288" s="2">
        <v>1</v>
      </c>
      <c r="C288" s="1">
        <f t="shared" si="30"/>
        <v>18.235294117647044</v>
      </c>
      <c r="D288" s="1">
        <f t="shared" si="28"/>
        <v>1</v>
      </c>
      <c r="E288" s="1">
        <f t="shared" si="31"/>
        <v>0</v>
      </c>
      <c r="F288" s="31">
        <f t="shared" si="29"/>
        <v>14.6</v>
      </c>
      <c r="G288" s="31">
        <f t="shared" ca="1" si="33"/>
        <v>14.6</v>
      </c>
      <c r="H288" s="30">
        <f t="shared" ca="1" si="34"/>
        <v>0</v>
      </c>
      <c r="I288" s="31">
        <f t="shared" ca="1" si="35"/>
        <v>14.6</v>
      </c>
      <c r="Q288" s="80"/>
      <c r="R288" s="42"/>
      <c r="S288" s="90">
        <f t="shared" si="32"/>
        <v>23.000000000000057</v>
      </c>
      <c r="T288" s="42"/>
      <c r="U288" s="42"/>
      <c r="V288" s="42"/>
      <c r="W288" s="42"/>
      <c r="X288" s="81"/>
    </row>
    <row r="289" spans="2:24" x14ac:dyDescent="0.25">
      <c r="B289" s="2">
        <v>1</v>
      </c>
      <c r="C289" s="1">
        <f t="shared" si="30"/>
        <v>19.235294117647044</v>
      </c>
      <c r="D289" s="1">
        <f t="shared" si="28"/>
        <v>1</v>
      </c>
      <c r="E289" s="1">
        <f t="shared" si="31"/>
        <v>0</v>
      </c>
      <c r="F289" s="31">
        <f t="shared" si="29"/>
        <v>14.6</v>
      </c>
      <c r="G289" s="31">
        <f t="shared" ca="1" si="33"/>
        <v>14.6</v>
      </c>
      <c r="H289" s="30">
        <f t="shared" ca="1" si="34"/>
        <v>0</v>
      </c>
      <c r="I289" s="31">
        <f t="shared" ca="1" si="35"/>
        <v>14.6</v>
      </c>
      <c r="Q289" s="80"/>
      <c r="R289" s="42"/>
      <c r="S289" s="90">
        <f t="shared" si="32"/>
        <v>23.100000000000058</v>
      </c>
      <c r="T289" s="42"/>
      <c r="U289" s="42"/>
      <c r="V289" s="42"/>
      <c r="W289" s="42"/>
      <c r="X289" s="81"/>
    </row>
    <row r="290" spans="2:24" x14ac:dyDescent="0.25">
      <c r="B290" s="2">
        <v>1</v>
      </c>
      <c r="C290" s="1">
        <f t="shared" si="30"/>
        <v>20.235294117647044</v>
      </c>
      <c r="D290" s="1">
        <f t="shared" si="28"/>
        <v>1</v>
      </c>
      <c r="E290" s="1">
        <f t="shared" si="31"/>
        <v>0</v>
      </c>
      <c r="F290" s="31">
        <f t="shared" si="29"/>
        <v>14.6</v>
      </c>
      <c r="G290" s="31">
        <f t="shared" ca="1" si="33"/>
        <v>14.6</v>
      </c>
      <c r="H290" s="30">
        <f t="shared" ca="1" si="34"/>
        <v>0</v>
      </c>
      <c r="I290" s="31">
        <f t="shared" ca="1" si="35"/>
        <v>14.6</v>
      </c>
      <c r="Q290" s="80"/>
      <c r="R290" s="42"/>
      <c r="S290" s="90">
        <f t="shared" si="32"/>
        <v>23.20000000000006</v>
      </c>
      <c r="T290" s="42"/>
      <c r="U290" s="42"/>
      <c r="V290" s="42"/>
      <c r="W290" s="42"/>
      <c r="X290" s="81"/>
    </row>
    <row r="291" spans="2:24" x14ac:dyDescent="0.25">
      <c r="B291" s="2">
        <v>1</v>
      </c>
      <c r="C291" s="1">
        <f t="shared" si="30"/>
        <v>21.235294117647044</v>
      </c>
      <c r="D291" s="1">
        <f t="shared" si="28"/>
        <v>1</v>
      </c>
      <c r="E291" s="1">
        <f t="shared" si="31"/>
        <v>0</v>
      </c>
      <c r="F291" s="31">
        <f t="shared" si="29"/>
        <v>14.6</v>
      </c>
      <c r="G291" s="31">
        <f t="shared" ca="1" si="33"/>
        <v>14.6</v>
      </c>
      <c r="H291" s="30">
        <f t="shared" ca="1" si="34"/>
        <v>0</v>
      </c>
      <c r="I291" s="31">
        <f t="shared" ca="1" si="35"/>
        <v>14.6</v>
      </c>
      <c r="Q291" s="80"/>
      <c r="R291" s="42"/>
      <c r="S291" s="90">
        <f t="shared" si="32"/>
        <v>23.300000000000061</v>
      </c>
      <c r="T291" s="42"/>
      <c r="U291" s="42"/>
      <c r="V291" s="42"/>
      <c r="W291" s="42"/>
      <c r="X291" s="81"/>
    </row>
    <row r="292" spans="2:24" x14ac:dyDescent="0.25">
      <c r="B292" s="2">
        <v>1</v>
      </c>
      <c r="C292" s="1">
        <f t="shared" si="30"/>
        <v>22.235294117647044</v>
      </c>
      <c r="D292" s="1">
        <f t="shared" si="28"/>
        <v>1</v>
      </c>
      <c r="E292" s="1">
        <f t="shared" si="31"/>
        <v>0</v>
      </c>
      <c r="F292" s="31">
        <f t="shared" si="29"/>
        <v>14.6</v>
      </c>
      <c r="G292" s="31">
        <f t="shared" ca="1" si="33"/>
        <v>14.6</v>
      </c>
      <c r="H292" s="30">
        <f t="shared" ca="1" si="34"/>
        <v>0</v>
      </c>
      <c r="I292" s="31">
        <f t="shared" ca="1" si="35"/>
        <v>14.6</v>
      </c>
      <c r="Q292" s="80"/>
      <c r="R292" s="42"/>
      <c r="S292" s="90">
        <f t="shared" si="32"/>
        <v>23.400000000000063</v>
      </c>
      <c r="T292" s="42"/>
      <c r="U292" s="42"/>
      <c r="V292" s="42"/>
      <c r="W292" s="42"/>
      <c r="X292" s="81"/>
    </row>
    <row r="293" spans="2:24" x14ac:dyDescent="0.25">
      <c r="B293" s="2">
        <v>1</v>
      </c>
      <c r="C293" s="1">
        <f t="shared" si="30"/>
        <v>23.235294117647044</v>
      </c>
      <c r="D293" s="1">
        <f t="shared" si="28"/>
        <v>0</v>
      </c>
      <c r="E293" s="1">
        <f t="shared" si="31"/>
        <v>1</v>
      </c>
      <c r="F293" s="31">
        <f t="shared" si="29"/>
        <v>6.4</v>
      </c>
      <c r="G293" s="31">
        <f t="shared" ca="1" si="33"/>
        <v>0</v>
      </c>
      <c r="H293" s="30">
        <f t="shared" ca="1" si="34"/>
        <v>14.6</v>
      </c>
      <c r="I293" s="31">
        <f t="shared" ca="1" si="35"/>
        <v>14.6</v>
      </c>
      <c r="Q293" s="80"/>
      <c r="R293" s="42"/>
      <c r="S293" s="90">
        <f t="shared" si="32"/>
        <v>23.500000000000064</v>
      </c>
      <c r="T293" s="42"/>
      <c r="U293" s="42"/>
      <c r="V293" s="42"/>
      <c r="W293" s="42"/>
      <c r="X293" s="81"/>
    </row>
    <row r="294" spans="2:24" x14ac:dyDescent="0.25">
      <c r="B294" s="2">
        <v>1</v>
      </c>
      <c r="C294" s="1">
        <f t="shared" si="30"/>
        <v>24.235294117647044</v>
      </c>
      <c r="D294" s="1">
        <f t="shared" si="28"/>
        <v>0</v>
      </c>
      <c r="E294" s="1">
        <f t="shared" si="31"/>
        <v>1</v>
      </c>
      <c r="F294" s="31">
        <f t="shared" si="29"/>
        <v>6.4</v>
      </c>
      <c r="G294" s="31">
        <f t="shared" ca="1" si="33"/>
        <v>0</v>
      </c>
      <c r="H294" s="30">
        <f t="shared" ca="1" si="34"/>
        <v>6.4</v>
      </c>
      <c r="I294" s="31">
        <f t="shared" ca="1" si="35"/>
        <v>6.4</v>
      </c>
      <c r="Q294" s="80"/>
      <c r="R294" s="42"/>
      <c r="S294" s="90">
        <f t="shared" si="32"/>
        <v>23.600000000000065</v>
      </c>
      <c r="T294" s="42"/>
      <c r="U294" s="42"/>
      <c r="V294" s="42"/>
      <c r="W294" s="42"/>
      <c r="X294" s="81"/>
    </row>
    <row r="295" spans="2:24" x14ac:dyDescent="0.25">
      <c r="B295" s="2">
        <v>1</v>
      </c>
      <c r="C295" s="1">
        <f t="shared" si="30"/>
        <v>25.235294117647044</v>
      </c>
      <c r="D295" s="1">
        <f t="shared" si="28"/>
        <v>0</v>
      </c>
      <c r="E295" s="1">
        <f t="shared" si="31"/>
        <v>1</v>
      </c>
      <c r="F295" s="31">
        <f t="shared" si="29"/>
        <v>6.4</v>
      </c>
      <c r="G295" s="31">
        <f t="shared" ca="1" si="33"/>
        <v>0</v>
      </c>
      <c r="H295" s="30">
        <f t="shared" ca="1" si="34"/>
        <v>6.4</v>
      </c>
      <c r="I295" s="31">
        <f t="shared" ca="1" si="35"/>
        <v>6.4</v>
      </c>
      <c r="Q295" s="80"/>
      <c r="R295" s="42"/>
      <c r="S295" s="90">
        <f t="shared" si="32"/>
        <v>23.700000000000067</v>
      </c>
      <c r="T295" s="42"/>
      <c r="U295" s="42"/>
      <c r="V295" s="42"/>
      <c r="W295" s="42"/>
      <c r="X295" s="81"/>
    </row>
    <row r="296" spans="2:24" x14ac:dyDescent="0.25">
      <c r="B296" s="2">
        <v>1</v>
      </c>
      <c r="C296" s="1">
        <f t="shared" si="30"/>
        <v>26.235294117647044</v>
      </c>
      <c r="D296" s="1">
        <f t="shared" si="28"/>
        <v>0</v>
      </c>
      <c r="E296" s="1">
        <f t="shared" si="31"/>
        <v>1</v>
      </c>
      <c r="F296" s="31">
        <f t="shared" si="29"/>
        <v>6.4</v>
      </c>
      <c r="G296" s="31">
        <f t="shared" ca="1" si="33"/>
        <v>0</v>
      </c>
      <c r="H296" s="30">
        <f t="shared" ca="1" si="34"/>
        <v>6.4</v>
      </c>
      <c r="I296" s="31">
        <f t="shared" ca="1" si="35"/>
        <v>6.4</v>
      </c>
      <c r="Q296" s="80"/>
      <c r="R296" s="42"/>
      <c r="S296" s="90">
        <f t="shared" si="32"/>
        <v>23.800000000000068</v>
      </c>
      <c r="T296" s="42"/>
      <c r="U296" s="42"/>
      <c r="V296" s="42"/>
      <c r="W296" s="42"/>
      <c r="X296" s="81"/>
    </row>
    <row r="297" spans="2:24" x14ac:dyDescent="0.25">
      <c r="B297" s="2">
        <v>1</v>
      </c>
      <c r="C297" s="1">
        <f t="shared" si="30"/>
        <v>27.235294117647044</v>
      </c>
      <c r="D297" s="1">
        <f t="shared" si="28"/>
        <v>0</v>
      </c>
      <c r="E297" s="1">
        <f t="shared" si="31"/>
        <v>1</v>
      </c>
      <c r="F297" s="31">
        <f t="shared" si="29"/>
        <v>6.4</v>
      </c>
      <c r="G297" s="31">
        <f t="shared" ca="1" si="33"/>
        <v>0</v>
      </c>
      <c r="H297" s="30">
        <f t="shared" ca="1" si="34"/>
        <v>6.4</v>
      </c>
      <c r="I297" s="31">
        <f t="shared" ca="1" si="35"/>
        <v>6.4</v>
      </c>
      <c r="Q297" s="80"/>
      <c r="R297" s="42"/>
      <c r="S297" s="90">
        <f t="shared" si="32"/>
        <v>23.90000000000007</v>
      </c>
      <c r="T297" s="42"/>
      <c r="U297" s="42"/>
      <c r="V297" s="42"/>
      <c r="W297" s="42"/>
      <c r="X297" s="81"/>
    </row>
    <row r="298" spans="2:24" x14ac:dyDescent="0.25">
      <c r="B298" s="2">
        <v>1</v>
      </c>
      <c r="C298" s="1">
        <f t="shared" si="30"/>
        <v>28.235294117647044</v>
      </c>
      <c r="D298" s="1">
        <f t="shared" si="28"/>
        <v>0</v>
      </c>
      <c r="E298" s="1">
        <f t="shared" si="31"/>
        <v>1</v>
      </c>
      <c r="F298" s="31">
        <f t="shared" si="29"/>
        <v>6.4</v>
      </c>
      <c r="G298" s="31">
        <f t="shared" ca="1" si="33"/>
        <v>0</v>
      </c>
      <c r="H298" s="30">
        <f t="shared" ca="1" si="34"/>
        <v>6.4</v>
      </c>
      <c r="I298" s="31">
        <f t="shared" ca="1" si="35"/>
        <v>6.4</v>
      </c>
      <c r="Q298" s="80"/>
      <c r="R298" s="42"/>
      <c r="S298" s="90">
        <f t="shared" si="32"/>
        <v>24.000000000000071</v>
      </c>
      <c r="T298" s="42"/>
      <c r="U298" s="42"/>
      <c r="V298" s="42"/>
      <c r="W298" s="42"/>
      <c r="X298" s="81"/>
    </row>
    <row r="299" spans="2:24" x14ac:dyDescent="0.25">
      <c r="B299" s="2">
        <v>1</v>
      </c>
      <c r="C299" s="1">
        <f t="shared" si="30"/>
        <v>29.235294117647044</v>
      </c>
      <c r="D299" s="1">
        <f t="shared" si="28"/>
        <v>0</v>
      </c>
      <c r="E299" s="1">
        <f t="shared" si="31"/>
        <v>1</v>
      </c>
      <c r="F299" s="31">
        <f t="shared" si="29"/>
        <v>6.4</v>
      </c>
      <c r="G299" s="31">
        <f t="shared" ca="1" si="33"/>
        <v>0</v>
      </c>
      <c r="H299" s="30">
        <f t="shared" ca="1" si="34"/>
        <v>6.4</v>
      </c>
      <c r="I299" s="31">
        <f t="shared" ca="1" si="35"/>
        <v>6.4</v>
      </c>
      <c r="Q299" s="80"/>
      <c r="R299" s="42"/>
      <c r="S299" s="90">
        <f t="shared" si="32"/>
        <v>24.100000000000072</v>
      </c>
      <c r="T299" s="42"/>
      <c r="U299" s="42"/>
      <c r="V299" s="42"/>
      <c r="W299" s="42"/>
      <c r="X299" s="81"/>
    </row>
    <row r="300" spans="2:24" x14ac:dyDescent="0.25">
      <c r="B300" s="2">
        <v>1</v>
      </c>
      <c r="C300" s="1">
        <f t="shared" si="30"/>
        <v>30.235294117647044</v>
      </c>
      <c r="D300" s="1">
        <f t="shared" si="28"/>
        <v>0</v>
      </c>
      <c r="E300" s="1">
        <f t="shared" si="31"/>
        <v>1</v>
      </c>
      <c r="F300" s="31">
        <f t="shared" si="29"/>
        <v>6.4</v>
      </c>
      <c r="G300" s="31">
        <f t="shared" ca="1" si="33"/>
        <v>0</v>
      </c>
      <c r="H300" s="30">
        <f t="shared" ca="1" si="34"/>
        <v>6.4</v>
      </c>
      <c r="I300" s="31">
        <f t="shared" ca="1" si="35"/>
        <v>6.4</v>
      </c>
      <c r="Q300" s="80"/>
      <c r="R300" s="42"/>
      <c r="S300" s="90">
        <f t="shared" si="32"/>
        <v>24.200000000000074</v>
      </c>
      <c r="T300" s="42"/>
      <c r="U300" s="42"/>
      <c r="V300" s="42"/>
      <c r="W300" s="42"/>
      <c r="X300" s="81"/>
    </row>
    <row r="301" spans="2:24" x14ac:dyDescent="0.25">
      <c r="B301" s="2">
        <v>1</v>
      </c>
      <c r="C301" s="1">
        <f t="shared" si="30"/>
        <v>31.235294117647044</v>
      </c>
      <c r="D301" s="1">
        <f t="shared" si="28"/>
        <v>0</v>
      </c>
      <c r="E301" s="1">
        <f t="shared" si="31"/>
        <v>1</v>
      </c>
      <c r="F301" s="31">
        <f t="shared" si="29"/>
        <v>6.4</v>
      </c>
      <c r="G301" s="31">
        <f t="shared" ca="1" si="33"/>
        <v>0</v>
      </c>
      <c r="H301" s="30">
        <f t="shared" ca="1" si="34"/>
        <v>6.4</v>
      </c>
      <c r="I301" s="31">
        <f t="shared" ca="1" si="35"/>
        <v>6.4</v>
      </c>
      <c r="Q301" s="80"/>
      <c r="R301" s="42"/>
      <c r="S301" s="90">
        <f t="shared" si="32"/>
        <v>24.300000000000075</v>
      </c>
      <c r="T301" s="42"/>
      <c r="U301" s="42"/>
      <c r="V301" s="42"/>
      <c r="W301" s="42"/>
      <c r="X301" s="81"/>
    </row>
    <row r="302" spans="2:24" x14ac:dyDescent="0.25">
      <c r="B302" s="2">
        <v>1</v>
      </c>
      <c r="C302" s="1">
        <f t="shared" si="30"/>
        <v>32.235294117647044</v>
      </c>
      <c r="D302" s="1">
        <f t="shared" si="28"/>
        <v>0</v>
      </c>
      <c r="E302" s="1">
        <f t="shared" si="31"/>
        <v>1</v>
      </c>
      <c r="F302" s="31">
        <f t="shared" si="29"/>
        <v>6.4</v>
      </c>
      <c r="G302" s="31">
        <f t="shared" ca="1" si="33"/>
        <v>0</v>
      </c>
      <c r="H302" s="30">
        <f t="shared" ca="1" si="34"/>
        <v>6.4</v>
      </c>
      <c r="I302" s="31">
        <f t="shared" ca="1" si="35"/>
        <v>6.4</v>
      </c>
      <c r="Q302" s="80"/>
      <c r="R302" s="42"/>
      <c r="S302" s="90">
        <f t="shared" si="32"/>
        <v>24.400000000000077</v>
      </c>
      <c r="T302" s="42"/>
      <c r="U302" s="42"/>
      <c r="V302" s="42"/>
      <c r="W302" s="42"/>
      <c r="X302" s="81"/>
    </row>
    <row r="303" spans="2:24" x14ac:dyDescent="0.25">
      <c r="B303" s="2">
        <v>1</v>
      </c>
      <c r="C303" s="1">
        <f t="shared" si="30"/>
        <v>33.235294117647044</v>
      </c>
      <c r="D303" s="1">
        <f t="shared" si="28"/>
        <v>0</v>
      </c>
      <c r="E303" s="1">
        <f t="shared" si="31"/>
        <v>1</v>
      </c>
      <c r="F303" s="31">
        <f t="shared" si="29"/>
        <v>6.4</v>
      </c>
      <c r="G303" s="31">
        <f t="shared" ca="1" si="33"/>
        <v>0</v>
      </c>
      <c r="H303" s="30">
        <f t="shared" ca="1" si="34"/>
        <v>6.4</v>
      </c>
      <c r="I303" s="31">
        <f t="shared" ca="1" si="35"/>
        <v>6.4</v>
      </c>
      <c r="Q303" s="80"/>
      <c r="R303" s="42"/>
      <c r="S303" s="90">
        <f t="shared" si="32"/>
        <v>24.500000000000078</v>
      </c>
      <c r="T303" s="42"/>
      <c r="U303" s="42"/>
      <c r="V303" s="42"/>
      <c r="W303" s="42"/>
      <c r="X303" s="81"/>
    </row>
    <row r="304" spans="2:24" x14ac:dyDescent="0.25">
      <c r="B304" s="2">
        <v>1</v>
      </c>
      <c r="C304" s="1">
        <f t="shared" si="30"/>
        <v>34.235294117647044</v>
      </c>
      <c r="D304" s="1">
        <f t="shared" si="28"/>
        <v>0</v>
      </c>
      <c r="E304" s="1">
        <f t="shared" si="31"/>
        <v>1</v>
      </c>
      <c r="F304" s="31">
        <f t="shared" si="29"/>
        <v>6.4</v>
      </c>
      <c r="G304" s="31">
        <f t="shared" ca="1" si="33"/>
        <v>0</v>
      </c>
      <c r="H304" s="30">
        <f t="shared" ca="1" si="34"/>
        <v>6.4</v>
      </c>
      <c r="I304" s="31">
        <f t="shared" ca="1" si="35"/>
        <v>6.4</v>
      </c>
      <c r="Q304" s="80"/>
      <c r="R304" s="42"/>
      <c r="S304" s="90">
        <f t="shared" si="32"/>
        <v>24.60000000000008</v>
      </c>
      <c r="T304" s="42"/>
      <c r="U304" s="42"/>
      <c r="V304" s="42"/>
      <c r="W304" s="42"/>
      <c r="X304" s="81"/>
    </row>
    <row r="305" spans="2:24" x14ac:dyDescent="0.25">
      <c r="B305" s="2">
        <v>1</v>
      </c>
      <c r="C305" s="1">
        <f t="shared" si="30"/>
        <v>35.235294117647044</v>
      </c>
      <c r="D305" s="1">
        <f t="shared" si="28"/>
        <v>0</v>
      </c>
      <c r="E305" s="1">
        <f t="shared" si="31"/>
        <v>1</v>
      </c>
      <c r="F305" s="31">
        <f t="shared" si="29"/>
        <v>6.4</v>
      </c>
      <c r="G305" s="31">
        <f t="shared" ca="1" si="33"/>
        <v>0</v>
      </c>
      <c r="H305" s="30">
        <f t="shared" ca="1" si="34"/>
        <v>6.4</v>
      </c>
      <c r="I305" s="31">
        <f t="shared" ca="1" si="35"/>
        <v>6.4</v>
      </c>
      <c r="Q305" s="80"/>
      <c r="R305" s="42"/>
      <c r="S305" s="90">
        <f t="shared" si="32"/>
        <v>24.700000000000081</v>
      </c>
      <c r="T305" s="42"/>
      <c r="U305" s="42"/>
      <c r="V305" s="42"/>
      <c r="W305" s="42"/>
      <c r="X305" s="81"/>
    </row>
    <row r="306" spans="2:24" x14ac:dyDescent="0.25">
      <c r="B306" s="2">
        <v>1</v>
      </c>
      <c r="C306" s="1">
        <f t="shared" si="30"/>
        <v>0.94117647058821774</v>
      </c>
      <c r="D306" s="1">
        <f t="shared" si="28"/>
        <v>1</v>
      </c>
      <c r="E306" s="1">
        <f t="shared" si="31"/>
        <v>0</v>
      </c>
      <c r="F306" s="31">
        <f t="shared" si="29"/>
        <v>14.6</v>
      </c>
      <c r="G306" s="31">
        <f t="shared" ca="1" si="33"/>
        <v>6.4</v>
      </c>
      <c r="H306" s="30">
        <f t="shared" ca="1" si="34"/>
        <v>0</v>
      </c>
      <c r="I306" s="31">
        <f t="shared" ca="1" si="35"/>
        <v>6.4</v>
      </c>
      <c r="Q306" s="80"/>
      <c r="R306" s="42"/>
      <c r="S306" s="90">
        <f t="shared" si="32"/>
        <v>24.800000000000082</v>
      </c>
      <c r="T306" s="42"/>
      <c r="U306" s="42"/>
      <c r="V306" s="42"/>
      <c r="W306" s="42"/>
      <c r="X306" s="81"/>
    </row>
    <row r="307" spans="2:24" x14ac:dyDescent="0.25">
      <c r="B307" s="2">
        <v>1</v>
      </c>
      <c r="C307" s="1">
        <f t="shared" si="30"/>
        <v>1.9411764705882177</v>
      </c>
      <c r="D307" s="1">
        <f t="shared" si="28"/>
        <v>1</v>
      </c>
      <c r="E307" s="1">
        <f t="shared" si="31"/>
        <v>0</v>
      </c>
      <c r="F307" s="31">
        <f t="shared" si="29"/>
        <v>14.6</v>
      </c>
      <c r="G307" s="31">
        <f t="shared" ca="1" si="33"/>
        <v>8.4500000000000011</v>
      </c>
      <c r="H307" s="30">
        <f t="shared" ca="1" si="34"/>
        <v>0</v>
      </c>
      <c r="I307" s="31">
        <f t="shared" ca="1" si="35"/>
        <v>8.4500000000000011</v>
      </c>
      <c r="Q307" s="80"/>
      <c r="R307" s="42"/>
      <c r="S307" s="90">
        <f t="shared" si="32"/>
        <v>24.900000000000084</v>
      </c>
      <c r="T307" s="42"/>
      <c r="U307" s="42"/>
      <c r="V307" s="42"/>
      <c r="W307" s="42"/>
      <c r="X307" s="81"/>
    </row>
    <row r="308" spans="2:24" x14ac:dyDescent="0.25">
      <c r="B308" s="2">
        <v>1</v>
      </c>
      <c r="C308" s="1">
        <f t="shared" si="30"/>
        <v>2.9411764705882177</v>
      </c>
      <c r="D308" s="1">
        <f t="shared" si="28"/>
        <v>1</v>
      </c>
      <c r="E308" s="1">
        <f t="shared" si="31"/>
        <v>0</v>
      </c>
      <c r="F308" s="31">
        <f t="shared" si="29"/>
        <v>14.6</v>
      </c>
      <c r="G308" s="31">
        <f t="shared" ca="1" si="33"/>
        <v>10.5</v>
      </c>
      <c r="H308" s="30">
        <f t="shared" ca="1" si="34"/>
        <v>0</v>
      </c>
      <c r="I308" s="31">
        <f t="shared" ca="1" si="35"/>
        <v>10.5</v>
      </c>
      <c r="Q308" s="80"/>
      <c r="R308" s="42"/>
      <c r="S308" s="90">
        <f t="shared" si="32"/>
        <v>25.000000000000085</v>
      </c>
      <c r="T308" s="42"/>
      <c r="U308" s="42"/>
      <c r="V308" s="42"/>
      <c r="W308" s="42"/>
      <c r="X308" s="81"/>
    </row>
    <row r="309" spans="2:24" x14ac:dyDescent="0.25">
      <c r="B309" s="2">
        <v>1</v>
      </c>
      <c r="C309" s="1">
        <f t="shared" si="30"/>
        <v>3.9411764705882177</v>
      </c>
      <c r="D309" s="1">
        <f t="shared" si="28"/>
        <v>1</v>
      </c>
      <c r="E309" s="1">
        <f t="shared" si="31"/>
        <v>0</v>
      </c>
      <c r="F309" s="31">
        <f t="shared" si="29"/>
        <v>14.6</v>
      </c>
      <c r="G309" s="31">
        <f t="shared" ca="1" si="33"/>
        <v>12.55</v>
      </c>
      <c r="H309" s="30">
        <f t="shared" ca="1" si="34"/>
        <v>0</v>
      </c>
      <c r="I309" s="31">
        <f t="shared" ca="1" si="35"/>
        <v>12.55</v>
      </c>
      <c r="Q309" s="80"/>
      <c r="R309" s="42"/>
      <c r="S309" s="90">
        <f t="shared" si="32"/>
        <v>25.100000000000087</v>
      </c>
      <c r="T309" s="42"/>
      <c r="U309" s="42"/>
      <c r="V309" s="42"/>
      <c r="W309" s="42"/>
      <c r="X309" s="81"/>
    </row>
    <row r="310" spans="2:24" x14ac:dyDescent="0.25">
      <c r="B310" s="2">
        <v>1</v>
      </c>
      <c r="C310" s="1">
        <f t="shared" si="30"/>
        <v>4.9411764705882177</v>
      </c>
      <c r="D310" s="1">
        <f t="shared" si="28"/>
        <v>1</v>
      </c>
      <c r="E310" s="1">
        <f t="shared" si="31"/>
        <v>0</v>
      </c>
      <c r="F310" s="31">
        <f t="shared" si="29"/>
        <v>14.6</v>
      </c>
      <c r="G310" s="31">
        <f t="shared" ca="1" si="33"/>
        <v>14.6</v>
      </c>
      <c r="H310" s="30">
        <f t="shared" ca="1" si="34"/>
        <v>0</v>
      </c>
      <c r="I310" s="31">
        <f t="shared" ca="1" si="35"/>
        <v>14.6</v>
      </c>
      <c r="Q310" s="80"/>
      <c r="R310" s="42"/>
      <c r="S310" s="90">
        <f t="shared" si="32"/>
        <v>25.200000000000088</v>
      </c>
      <c r="T310" s="42"/>
      <c r="U310" s="42"/>
      <c r="V310" s="42"/>
      <c r="W310" s="42"/>
      <c r="X310" s="81"/>
    </row>
    <row r="311" spans="2:24" x14ac:dyDescent="0.25">
      <c r="B311" s="2">
        <v>1</v>
      </c>
      <c r="C311" s="1">
        <f t="shared" si="30"/>
        <v>5.9411764705882177</v>
      </c>
      <c r="D311" s="1">
        <f t="shared" si="28"/>
        <v>1</v>
      </c>
      <c r="E311" s="1">
        <f t="shared" si="31"/>
        <v>0</v>
      </c>
      <c r="F311" s="31">
        <f t="shared" si="29"/>
        <v>14.6</v>
      </c>
      <c r="G311" s="31">
        <f t="shared" ca="1" si="33"/>
        <v>14.6</v>
      </c>
      <c r="H311" s="30">
        <f t="shared" ca="1" si="34"/>
        <v>0</v>
      </c>
      <c r="I311" s="31">
        <f t="shared" ca="1" si="35"/>
        <v>14.6</v>
      </c>
      <c r="Q311" s="80"/>
      <c r="R311" s="42"/>
      <c r="S311" s="90">
        <f t="shared" si="32"/>
        <v>25.30000000000009</v>
      </c>
      <c r="T311" s="42"/>
      <c r="U311" s="42"/>
      <c r="V311" s="42"/>
      <c r="W311" s="42"/>
      <c r="X311" s="81"/>
    </row>
    <row r="312" spans="2:24" x14ac:dyDescent="0.25">
      <c r="B312" s="2">
        <v>1</v>
      </c>
      <c r="C312" s="1">
        <f t="shared" si="30"/>
        <v>6.9411764705882177</v>
      </c>
      <c r="D312" s="1">
        <f t="shared" si="28"/>
        <v>1</v>
      </c>
      <c r="E312" s="1">
        <f t="shared" si="31"/>
        <v>0</v>
      </c>
      <c r="F312" s="31">
        <f t="shared" si="29"/>
        <v>14.6</v>
      </c>
      <c r="G312" s="31">
        <f t="shared" ca="1" si="33"/>
        <v>14.6</v>
      </c>
      <c r="H312" s="30">
        <f t="shared" ca="1" si="34"/>
        <v>0</v>
      </c>
      <c r="I312" s="31">
        <f t="shared" ca="1" si="35"/>
        <v>14.6</v>
      </c>
      <c r="Q312" s="80"/>
      <c r="R312" s="42"/>
      <c r="S312" s="90">
        <f t="shared" si="32"/>
        <v>25.400000000000091</v>
      </c>
      <c r="T312" s="42"/>
      <c r="U312" s="42"/>
      <c r="V312" s="42"/>
      <c r="W312" s="42"/>
      <c r="X312" s="81"/>
    </row>
    <row r="313" spans="2:24" x14ac:dyDescent="0.25">
      <c r="B313" s="2">
        <v>1</v>
      </c>
      <c r="C313" s="1">
        <f t="shared" si="30"/>
        <v>7.9411764705882177</v>
      </c>
      <c r="D313" s="1">
        <f t="shared" si="28"/>
        <v>1</v>
      </c>
      <c r="E313" s="1">
        <f t="shared" si="31"/>
        <v>0</v>
      </c>
      <c r="F313" s="31">
        <f t="shared" si="29"/>
        <v>14.6</v>
      </c>
      <c r="G313" s="31">
        <f t="shared" ca="1" si="33"/>
        <v>14.6</v>
      </c>
      <c r="H313" s="30">
        <f t="shared" ca="1" si="34"/>
        <v>0</v>
      </c>
      <c r="I313" s="31">
        <f t="shared" ca="1" si="35"/>
        <v>14.6</v>
      </c>
      <c r="Q313" s="80"/>
      <c r="R313" s="42"/>
      <c r="S313" s="90">
        <f t="shared" si="32"/>
        <v>25.500000000000092</v>
      </c>
      <c r="T313" s="42"/>
      <c r="U313" s="42"/>
      <c r="V313" s="42"/>
      <c r="W313" s="42"/>
      <c r="X313" s="81"/>
    </row>
    <row r="314" spans="2:24" x14ac:dyDescent="0.25">
      <c r="B314" s="2">
        <v>1</v>
      </c>
      <c r="C314" s="1">
        <f t="shared" si="30"/>
        <v>8.9411764705882177</v>
      </c>
      <c r="D314" s="1">
        <f t="shared" ref="D314:D377" si="36">IF(C314&lt;=Inhelation_Time_RT,1,0)</f>
        <v>1</v>
      </c>
      <c r="E314" s="1">
        <f t="shared" si="31"/>
        <v>0</v>
      </c>
      <c r="F314" s="31">
        <f t="shared" ref="F314:F377" si="37">(D314*Inspiratory_pressure_level) + (E314*PEEP)</f>
        <v>14.6</v>
      </c>
      <c r="G314" s="31">
        <f t="shared" ca="1" si="33"/>
        <v>14.6</v>
      </c>
      <c r="H314" s="30">
        <f t="shared" ca="1" si="34"/>
        <v>0</v>
      </c>
      <c r="I314" s="31">
        <f t="shared" ca="1" si="35"/>
        <v>14.6</v>
      </c>
      <c r="Q314" s="80"/>
      <c r="R314" s="42"/>
      <c r="S314" s="90">
        <f t="shared" si="32"/>
        <v>25.600000000000094</v>
      </c>
      <c r="T314" s="42"/>
      <c r="U314" s="42"/>
      <c r="V314" s="42"/>
      <c r="W314" s="42"/>
      <c r="X314" s="81"/>
    </row>
    <row r="315" spans="2:24" x14ac:dyDescent="0.25">
      <c r="B315" s="2">
        <v>1</v>
      </c>
      <c r="C315" s="1">
        <f t="shared" ref="C315:C378" si="38">MOD(C314+B315,time_for_breath_RT)</f>
        <v>9.9411764705882177</v>
      </c>
      <c r="D315" s="1">
        <f t="shared" si="36"/>
        <v>1</v>
      </c>
      <c r="E315" s="1">
        <f t="shared" ref="E315:E378" si="39">IF(D315=1,0,1)</f>
        <v>0</v>
      </c>
      <c r="F315" s="31">
        <f t="shared" si="37"/>
        <v>14.6</v>
      </c>
      <c r="G315" s="31">
        <f t="shared" ca="1" si="33"/>
        <v>14.6</v>
      </c>
      <c r="H315" s="30">
        <f t="shared" ca="1" si="34"/>
        <v>0</v>
      </c>
      <c r="I315" s="31">
        <f t="shared" ca="1" si="35"/>
        <v>14.6</v>
      </c>
      <c r="Q315" s="80"/>
      <c r="R315" s="42"/>
      <c r="S315" s="90">
        <f t="shared" ref="S315:S378" si="40">S314+(B314 / RTC_to_seconds)</f>
        <v>25.700000000000095</v>
      </c>
      <c r="T315" s="42"/>
      <c r="U315" s="42"/>
      <c r="V315" s="42"/>
      <c r="W315" s="42"/>
      <c r="X315" s="81"/>
    </row>
    <row r="316" spans="2:24" x14ac:dyDescent="0.25">
      <c r="B316" s="2">
        <v>1</v>
      </c>
      <c r="C316" s="1">
        <f t="shared" si="38"/>
        <v>10.941176470588218</v>
      </c>
      <c r="D316" s="1">
        <f t="shared" si="36"/>
        <v>1</v>
      </c>
      <c r="E316" s="1">
        <f t="shared" si="39"/>
        <v>0</v>
      </c>
      <c r="F316" s="31">
        <f t="shared" si="37"/>
        <v>14.6</v>
      </c>
      <c r="G316" s="31">
        <f t="shared" ca="1" si="33"/>
        <v>14.6</v>
      </c>
      <c r="H316" s="30">
        <f t="shared" ca="1" si="34"/>
        <v>0</v>
      </c>
      <c r="I316" s="31">
        <f t="shared" ca="1" si="35"/>
        <v>14.6</v>
      </c>
      <c r="Q316" s="80"/>
      <c r="R316" s="42"/>
      <c r="S316" s="90">
        <f t="shared" si="40"/>
        <v>25.800000000000097</v>
      </c>
      <c r="T316" s="42"/>
      <c r="U316" s="42"/>
      <c r="V316" s="42"/>
      <c r="W316" s="42"/>
      <c r="X316" s="81"/>
    </row>
    <row r="317" spans="2:24" x14ac:dyDescent="0.25">
      <c r="B317" s="2">
        <v>1</v>
      </c>
      <c r="C317" s="1">
        <f t="shared" si="38"/>
        <v>11.941176470588218</v>
      </c>
      <c r="D317" s="1">
        <f t="shared" si="36"/>
        <v>1</v>
      </c>
      <c r="E317" s="1">
        <f t="shared" si="39"/>
        <v>0</v>
      </c>
      <c r="F317" s="31">
        <f t="shared" si="37"/>
        <v>14.6</v>
      </c>
      <c r="G317" s="31">
        <f t="shared" ca="1" si="33"/>
        <v>14.6</v>
      </c>
      <c r="H317" s="30">
        <f t="shared" ca="1" si="34"/>
        <v>0</v>
      </c>
      <c r="I317" s="31">
        <f t="shared" ca="1" si="35"/>
        <v>14.6</v>
      </c>
      <c r="Q317" s="80"/>
      <c r="R317" s="42"/>
      <c r="S317" s="90">
        <f t="shared" si="40"/>
        <v>25.900000000000098</v>
      </c>
      <c r="T317" s="42"/>
      <c r="U317" s="42"/>
      <c r="V317" s="42"/>
      <c r="W317" s="42"/>
      <c r="X317" s="81"/>
    </row>
    <row r="318" spans="2:24" x14ac:dyDescent="0.25">
      <c r="B318" s="2">
        <v>1</v>
      </c>
      <c r="C318" s="1">
        <f t="shared" si="38"/>
        <v>12.941176470588218</v>
      </c>
      <c r="D318" s="1">
        <f t="shared" si="36"/>
        <v>1</v>
      </c>
      <c r="E318" s="1">
        <f t="shared" si="39"/>
        <v>0</v>
      </c>
      <c r="F318" s="31">
        <f t="shared" si="37"/>
        <v>14.6</v>
      </c>
      <c r="G318" s="31">
        <f t="shared" ca="1" si="33"/>
        <v>14.6</v>
      </c>
      <c r="H318" s="30">
        <f t="shared" ca="1" si="34"/>
        <v>0</v>
      </c>
      <c r="I318" s="31">
        <f t="shared" ca="1" si="35"/>
        <v>14.6</v>
      </c>
      <c r="Q318" s="80"/>
      <c r="R318" s="42"/>
      <c r="S318" s="90">
        <f t="shared" si="40"/>
        <v>26.000000000000099</v>
      </c>
      <c r="T318" s="42"/>
      <c r="U318" s="42"/>
      <c r="V318" s="42"/>
      <c r="W318" s="42"/>
      <c r="X318" s="81"/>
    </row>
    <row r="319" spans="2:24" x14ac:dyDescent="0.25">
      <c r="B319" s="2">
        <v>1</v>
      </c>
      <c r="C319" s="1">
        <f t="shared" si="38"/>
        <v>13.941176470588218</v>
      </c>
      <c r="D319" s="1">
        <f t="shared" si="36"/>
        <v>1</v>
      </c>
      <c r="E319" s="1">
        <f t="shared" si="39"/>
        <v>0</v>
      </c>
      <c r="F319" s="31">
        <f t="shared" si="37"/>
        <v>14.6</v>
      </c>
      <c r="G319" s="31">
        <f t="shared" ca="1" si="33"/>
        <v>14.6</v>
      </c>
      <c r="H319" s="30">
        <f t="shared" ca="1" si="34"/>
        <v>0</v>
      </c>
      <c r="I319" s="31">
        <f t="shared" ca="1" si="35"/>
        <v>14.6</v>
      </c>
      <c r="Q319" s="80"/>
      <c r="R319" s="42"/>
      <c r="S319" s="90">
        <f t="shared" si="40"/>
        <v>26.100000000000101</v>
      </c>
      <c r="T319" s="42"/>
      <c r="U319" s="42"/>
      <c r="V319" s="42"/>
      <c r="W319" s="42"/>
      <c r="X319" s="81"/>
    </row>
    <row r="320" spans="2:24" x14ac:dyDescent="0.25">
      <c r="B320" s="2">
        <v>1</v>
      </c>
      <c r="C320" s="1">
        <f t="shared" si="38"/>
        <v>14.941176470588218</v>
      </c>
      <c r="D320" s="1">
        <f t="shared" si="36"/>
        <v>1</v>
      </c>
      <c r="E320" s="1">
        <f t="shared" si="39"/>
        <v>0</v>
      </c>
      <c r="F320" s="31">
        <f t="shared" si="37"/>
        <v>14.6</v>
      </c>
      <c r="G320" s="31">
        <f t="shared" ca="1" si="33"/>
        <v>14.6</v>
      </c>
      <c r="H320" s="30">
        <f t="shared" ca="1" si="34"/>
        <v>0</v>
      </c>
      <c r="I320" s="31">
        <f t="shared" ca="1" si="35"/>
        <v>14.6</v>
      </c>
      <c r="Q320" s="80"/>
      <c r="R320" s="42"/>
      <c r="S320" s="90">
        <f t="shared" si="40"/>
        <v>26.200000000000102</v>
      </c>
      <c r="T320" s="42"/>
      <c r="U320" s="42"/>
      <c r="V320" s="42"/>
      <c r="W320" s="42"/>
      <c r="X320" s="81"/>
    </row>
    <row r="321" spans="2:24" x14ac:dyDescent="0.25">
      <c r="B321" s="2">
        <v>1</v>
      </c>
      <c r="C321" s="1">
        <f t="shared" si="38"/>
        <v>15.941176470588218</v>
      </c>
      <c r="D321" s="1">
        <f t="shared" si="36"/>
        <v>1</v>
      </c>
      <c r="E321" s="1">
        <f t="shared" si="39"/>
        <v>0</v>
      </c>
      <c r="F321" s="31">
        <f t="shared" si="37"/>
        <v>14.6</v>
      </c>
      <c r="G321" s="31">
        <f t="shared" ca="1" si="33"/>
        <v>14.6</v>
      </c>
      <c r="H321" s="30">
        <f t="shared" ca="1" si="34"/>
        <v>0</v>
      </c>
      <c r="I321" s="31">
        <f t="shared" ca="1" si="35"/>
        <v>14.6</v>
      </c>
      <c r="Q321" s="80"/>
      <c r="R321" s="42"/>
      <c r="S321" s="90">
        <f t="shared" si="40"/>
        <v>26.300000000000104</v>
      </c>
      <c r="T321" s="42"/>
      <c r="U321" s="42"/>
      <c r="V321" s="42"/>
      <c r="W321" s="42"/>
      <c r="X321" s="81"/>
    </row>
    <row r="322" spans="2:24" x14ac:dyDescent="0.25">
      <c r="B322" s="2">
        <v>1</v>
      </c>
      <c r="C322" s="1">
        <f t="shared" si="38"/>
        <v>16.941176470588218</v>
      </c>
      <c r="D322" s="1">
        <f t="shared" si="36"/>
        <v>1</v>
      </c>
      <c r="E322" s="1">
        <f t="shared" si="39"/>
        <v>0</v>
      </c>
      <c r="F322" s="31">
        <f t="shared" si="37"/>
        <v>14.6</v>
      </c>
      <c r="G322" s="31">
        <f t="shared" ca="1" si="33"/>
        <v>14.6</v>
      </c>
      <c r="H322" s="30">
        <f t="shared" ca="1" si="34"/>
        <v>0</v>
      </c>
      <c r="I322" s="31">
        <f t="shared" ca="1" si="35"/>
        <v>14.6</v>
      </c>
      <c r="Q322" s="80"/>
      <c r="R322" s="42"/>
      <c r="S322" s="90">
        <f t="shared" si="40"/>
        <v>26.400000000000105</v>
      </c>
      <c r="T322" s="42"/>
      <c r="U322" s="42"/>
      <c r="V322" s="42"/>
      <c r="W322" s="42"/>
      <c r="X322" s="81"/>
    </row>
    <row r="323" spans="2:24" x14ac:dyDescent="0.25">
      <c r="B323" s="2">
        <v>1</v>
      </c>
      <c r="C323" s="1">
        <f t="shared" si="38"/>
        <v>17.941176470588218</v>
      </c>
      <c r="D323" s="1">
        <f t="shared" si="36"/>
        <v>1</v>
      </c>
      <c r="E323" s="1">
        <f t="shared" si="39"/>
        <v>0</v>
      </c>
      <c r="F323" s="31">
        <f t="shared" si="37"/>
        <v>14.6</v>
      </c>
      <c r="G323" s="31">
        <f t="shared" ca="1" si="33"/>
        <v>14.6</v>
      </c>
      <c r="H323" s="30">
        <f t="shared" ca="1" si="34"/>
        <v>0</v>
      </c>
      <c r="I323" s="31">
        <f t="shared" ca="1" si="35"/>
        <v>14.6</v>
      </c>
      <c r="Q323" s="80"/>
      <c r="R323" s="42"/>
      <c r="S323" s="90">
        <f t="shared" si="40"/>
        <v>26.500000000000107</v>
      </c>
      <c r="T323" s="42"/>
      <c r="U323" s="42"/>
      <c r="V323" s="42"/>
      <c r="W323" s="42"/>
      <c r="X323" s="81"/>
    </row>
    <row r="324" spans="2:24" x14ac:dyDescent="0.25">
      <c r="B324" s="2">
        <v>1</v>
      </c>
      <c r="C324" s="1">
        <f t="shared" si="38"/>
        <v>18.941176470588218</v>
      </c>
      <c r="D324" s="1">
        <f t="shared" si="36"/>
        <v>1</v>
      </c>
      <c r="E324" s="1">
        <f t="shared" si="39"/>
        <v>0</v>
      </c>
      <c r="F324" s="31">
        <f t="shared" si="37"/>
        <v>14.6</v>
      </c>
      <c r="G324" s="31">
        <f t="shared" ca="1" si="33"/>
        <v>14.6</v>
      </c>
      <c r="H324" s="30">
        <f t="shared" ca="1" si="34"/>
        <v>0</v>
      </c>
      <c r="I324" s="31">
        <f t="shared" ca="1" si="35"/>
        <v>14.6</v>
      </c>
      <c r="Q324" s="80"/>
      <c r="R324" s="42"/>
      <c r="S324" s="90">
        <f t="shared" si="40"/>
        <v>26.600000000000108</v>
      </c>
      <c r="T324" s="42"/>
      <c r="U324" s="42"/>
      <c r="V324" s="42"/>
      <c r="W324" s="42"/>
      <c r="X324" s="81"/>
    </row>
    <row r="325" spans="2:24" x14ac:dyDescent="0.25">
      <c r="B325" s="2">
        <v>1</v>
      </c>
      <c r="C325" s="1">
        <f t="shared" si="38"/>
        <v>19.941176470588218</v>
      </c>
      <c r="D325" s="1">
        <f t="shared" si="36"/>
        <v>1</v>
      </c>
      <c r="E325" s="1">
        <f t="shared" si="39"/>
        <v>0</v>
      </c>
      <c r="F325" s="31">
        <f t="shared" si="37"/>
        <v>14.6</v>
      </c>
      <c r="G325" s="31">
        <f t="shared" ca="1" si="33"/>
        <v>14.6</v>
      </c>
      <c r="H325" s="30">
        <f t="shared" ca="1" si="34"/>
        <v>0</v>
      </c>
      <c r="I325" s="31">
        <f t="shared" ca="1" si="35"/>
        <v>14.6</v>
      </c>
      <c r="Q325" s="80"/>
      <c r="R325" s="42"/>
      <c r="S325" s="90">
        <f t="shared" si="40"/>
        <v>26.700000000000109</v>
      </c>
      <c r="T325" s="42"/>
      <c r="U325" s="42"/>
      <c r="V325" s="42"/>
      <c r="W325" s="42"/>
      <c r="X325" s="81"/>
    </row>
    <row r="326" spans="2:24" x14ac:dyDescent="0.25">
      <c r="B326" s="2">
        <v>1</v>
      </c>
      <c r="C326" s="1">
        <f t="shared" si="38"/>
        <v>20.941176470588218</v>
      </c>
      <c r="D326" s="1">
        <f t="shared" si="36"/>
        <v>1</v>
      </c>
      <c r="E326" s="1">
        <f t="shared" si="39"/>
        <v>0</v>
      </c>
      <c r="F326" s="31">
        <f t="shared" si="37"/>
        <v>14.6</v>
      </c>
      <c r="G326" s="31">
        <f t="shared" ca="1" si="33"/>
        <v>14.6</v>
      </c>
      <c r="H326" s="30">
        <f t="shared" ca="1" si="34"/>
        <v>0</v>
      </c>
      <c r="I326" s="31">
        <f t="shared" ca="1" si="35"/>
        <v>14.6</v>
      </c>
      <c r="Q326" s="80"/>
      <c r="R326" s="42"/>
      <c r="S326" s="90">
        <f t="shared" si="40"/>
        <v>26.800000000000111</v>
      </c>
      <c r="T326" s="42"/>
      <c r="U326" s="42"/>
      <c r="V326" s="42"/>
      <c r="W326" s="42"/>
      <c r="X326" s="81"/>
    </row>
    <row r="327" spans="2:24" x14ac:dyDescent="0.25">
      <c r="B327" s="2">
        <v>1</v>
      </c>
      <c r="C327" s="1">
        <f t="shared" si="38"/>
        <v>21.941176470588218</v>
      </c>
      <c r="D327" s="1">
        <f t="shared" si="36"/>
        <v>1</v>
      </c>
      <c r="E327" s="1">
        <f t="shared" si="39"/>
        <v>0</v>
      </c>
      <c r="F327" s="31">
        <f t="shared" si="37"/>
        <v>14.6</v>
      </c>
      <c r="G327" s="31">
        <f t="shared" ca="1" si="33"/>
        <v>14.6</v>
      </c>
      <c r="H327" s="30">
        <f t="shared" ca="1" si="34"/>
        <v>0</v>
      </c>
      <c r="I327" s="31">
        <f t="shared" ca="1" si="35"/>
        <v>14.6</v>
      </c>
      <c r="Q327" s="80"/>
      <c r="R327" s="42"/>
      <c r="S327" s="90">
        <f t="shared" si="40"/>
        <v>26.900000000000112</v>
      </c>
      <c r="T327" s="42"/>
      <c r="U327" s="42"/>
      <c r="V327" s="42"/>
      <c r="W327" s="42"/>
      <c r="X327" s="81"/>
    </row>
    <row r="328" spans="2:24" x14ac:dyDescent="0.25">
      <c r="B328" s="2">
        <v>1</v>
      </c>
      <c r="C328" s="1">
        <f t="shared" si="38"/>
        <v>22.941176470588218</v>
      </c>
      <c r="D328" s="1">
        <f t="shared" si="36"/>
        <v>0</v>
      </c>
      <c r="E328" s="1">
        <f t="shared" si="39"/>
        <v>1</v>
      </c>
      <c r="F328" s="31">
        <f t="shared" si="37"/>
        <v>6.4</v>
      </c>
      <c r="G328" s="31">
        <f t="shared" ca="1" si="33"/>
        <v>0</v>
      </c>
      <c r="H328" s="30">
        <f t="shared" ca="1" si="34"/>
        <v>14.6</v>
      </c>
      <c r="I328" s="31">
        <f t="shared" ca="1" si="35"/>
        <v>14.6</v>
      </c>
      <c r="Q328" s="80"/>
      <c r="R328" s="42"/>
      <c r="S328" s="90">
        <f t="shared" si="40"/>
        <v>27.000000000000114</v>
      </c>
      <c r="T328" s="42"/>
      <c r="U328" s="42"/>
      <c r="V328" s="42"/>
      <c r="W328" s="42"/>
      <c r="X328" s="81"/>
    </row>
    <row r="329" spans="2:24" x14ac:dyDescent="0.25">
      <c r="B329" s="2">
        <v>1</v>
      </c>
      <c r="C329" s="1">
        <f t="shared" si="38"/>
        <v>23.941176470588218</v>
      </c>
      <c r="D329" s="1">
        <f t="shared" si="36"/>
        <v>0</v>
      </c>
      <c r="E329" s="1">
        <f t="shared" si="39"/>
        <v>1</v>
      </c>
      <c r="F329" s="31">
        <f t="shared" si="37"/>
        <v>6.4</v>
      </c>
      <c r="G329" s="31">
        <f t="shared" ca="1" si="33"/>
        <v>0</v>
      </c>
      <c r="H329" s="30">
        <f t="shared" ca="1" si="34"/>
        <v>6.4</v>
      </c>
      <c r="I329" s="31">
        <f t="shared" ca="1" si="35"/>
        <v>6.4</v>
      </c>
      <c r="Q329" s="80"/>
      <c r="R329" s="42"/>
      <c r="S329" s="90">
        <f t="shared" si="40"/>
        <v>27.100000000000115</v>
      </c>
      <c r="T329" s="42"/>
      <c r="U329" s="42"/>
      <c r="V329" s="42"/>
      <c r="W329" s="42"/>
      <c r="X329" s="81"/>
    </row>
    <row r="330" spans="2:24" x14ac:dyDescent="0.25">
      <c r="B330" s="2">
        <v>1</v>
      </c>
      <c r="C330" s="1">
        <f t="shared" si="38"/>
        <v>24.941176470588218</v>
      </c>
      <c r="D330" s="1">
        <f t="shared" si="36"/>
        <v>0</v>
      </c>
      <c r="E330" s="1">
        <f t="shared" si="39"/>
        <v>1</v>
      </c>
      <c r="F330" s="31">
        <f t="shared" si="37"/>
        <v>6.4</v>
      </c>
      <c r="G330" s="31">
        <f t="shared" ca="1" si="33"/>
        <v>0</v>
      </c>
      <c r="H330" s="30">
        <f t="shared" ca="1" si="34"/>
        <v>6.4</v>
      </c>
      <c r="I330" s="31">
        <f t="shared" ca="1" si="35"/>
        <v>6.4</v>
      </c>
      <c r="Q330" s="80"/>
      <c r="R330" s="42"/>
      <c r="S330" s="90">
        <f t="shared" si="40"/>
        <v>27.200000000000117</v>
      </c>
      <c r="T330" s="42"/>
      <c r="U330" s="42"/>
      <c r="V330" s="42"/>
      <c r="W330" s="42"/>
      <c r="X330" s="81"/>
    </row>
    <row r="331" spans="2:24" x14ac:dyDescent="0.25">
      <c r="B331" s="2">
        <v>1</v>
      </c>
      <c r="C331" s="1">
        <f t="shared" si="38"/>
        <v>25.941176470588218</v>
      </c>
      <c r="D331" s="1">
        <f t="shared" si="36"/>
        <v>0</v>
      </c>
      <c r="E331" s="1">
        <f t="shared" si="39"/>
        <v>1</v>
      </c>
      <c r="F331" s="31">
        <f t="shared" si="37"/>
        <v>6.4</v>
      </c>
      <c r="G331" s="31">
        <f t="shared" ref="G331:G394" ca="1" si="41">IF(D331=1, AVERAGE(OFFSET(F331,-$L$27,0,$L$27,1)),0)</f>
        <v>0</v>
      </c>
      <c r="H331" s="30">
        <f t="shared" ref="H331:H394" ca="1" si="42">IF(D331=0, AVERAGE(OFFSET(F331,-$L$28,0,$L$28,1)),0)</f>
        <v>6.4</v>
      </c>
      <c r="I331" s="31">
        <f t="shared" ref="I331:I394" ca="1" si="43">G331+H331</f>
        <v>6.4</v>
      </c>
      <c r="Q331" s="80"/>
      <c r="R331" s="42"/>
      <c r="S331" s="90">
        <f t="shared" si="40"/>
        <v>27.300000000000118</v>
      </c>
      <c r="T331" s="42"/>
      <c r="U331" s="42"/>
      <c r="V331" s="42"/>
      <c r="W331" s="42"/>
      <c r="X331" s="81"/>
    </row>
    <row r="332" spans="2:24" x14ac:dyDescent="0.25">
      <c r="B332" s="2">
        <v>1</v>
      </c>
      <c r="C332" s="1">
        <f t="shared" si="38"/>
        <v>26.941176470588218</v>
      </c>
      <c r="D332" s="1">
        <f t="shared" si="36"/>
        <v>0</v>
      </c>
      <c r="E332" s="1">
        <f t="shared" si="39"/>
        <v>1</v>
      </c>
      <c r="F332" s="31">
        <f t="shared" si="37"/>
        <v>6.4</v>
      </c>
      <c r="G332" s="31">
        <f t="shared" ca="1" si="41"/>
        <v>0</v>
      </c>
      <c r="H332" s="30">
        <f t="shared" ca="1" si="42"/>
        <v>6.4</v>
      </c>
      <c r="I332" s="31">
        <f t="shared" ca="1" si="43"/>
        <v>6.4</v>
      </c>
      <c r="Q332" s="80"/>
      <c r="R332" s="42"/>
      <c r="S332" s="90">
        <f t="shared" si="40"/>
        <v>27.400000000000119</v>
      </c>
      <c r="T332" s="42"/>
      <c r="U332" s="42"/>
      <c r="V332" s="42"/>
      <c r="W332" s="42"/>
      <c r="X332" s="81"/>
    </row>
    <row r="333" spans="2:24" x14ac:dyDescent="0.25">
      <c r="B333" s="2">
        <v>1</v>
      </c>
      <c r="C333" s="1">
        <f t="shared" si="38"/>
        <v>27.941176470588218</v>
      </c>
      <c r="D333" s="1">
        <f t="shared" si="36"/>
        <v>0</v>
      </c>
      <c r="E333" s="1">
        <f t="shared" si="39"/>
        <v>1</v>
      </c>
      <c r="F333" s="31">
        <f t="shared" si="37"/>
        <v>6.4</v>
      </c>
      <c r="G333" s="31">
        <f t="shared" ca="1" si="41"/>
        <v>0</v>
      </c>
      <c r="H333" s="30">
        <f t="shared" ca="1" si="42"/>
        <v>6.4</v>
      </c>
      <c r="I333" s="31">
        <f t="shared" ca="1" si="43"/>
        <v>6.4</v>
      </c>
      <c r="Q333" s="80"/>
      <c r="R333" s="42"/>
      <c r="S333" s="90">
        <f t="shared" si="40"/>
        <v>27.500000000000121</v>
      </c>
      <c r="T333" s="42"/>
      <c r="U333" s="42"/>
      <c r="V333" s="42"/>
      <c r="W333" s="42"/>
      <c r="X333" s="81"/>
    </row>
    <row r="334" spans="2:24" x14ac:dyDescent="0.25">
      <c r="B334" s="2">
        <v>1</v>
      </c>
      <c r="C334" s="1">
        <f t="shared" si="38"/>
        <v>28.941176470588218</v>
      </c>
      <c r="D334" s="1">
        <f t="shared" si="36"/>
        <v>0</v>
      </c>
      <c r="E334" s="1">
        <f t="shared" si="39"/>
        <v>1</v>
      </c>
      <c r="F334" s="31">
        <f t="shared" si="37"/>
        <v>6.4</v>
      </c>
      <c r="G334" s="31">
        <f t="shared" ca="1" si="41"/>
        <v>0</v>
      </c>
      <c r="H334" s="30">
        <f t="shared" ca="1" si="42"/>
        <v>6.4</v>
      </c>
      <c r="I334" s="31">
        <f t="shared" ca="1" si="43"/>
        <v>6.4</v>
      </c>
      <c r="Q334" s="80"/>
      <c r="R334" s="42"/>
      <c r="S334" s="90">
        <f t="shared" si="40"/>
        <v>27.600000000000122</v>
      </c>
      <c r="T334" s="42"/>
      <c r="U334" s="42"/>
      <c r="V334" s="42"/>
      <c r="W334" s="42"/>
      <c r="X334" s="81"/>
    </row>
    <row r="335" spans="2:24" x14ac:dyDescent="0.25">
      <c r="B335" s="2">
        <v>1</v>
      </c>
      <c r="C335" s="1">
        <f t="shared" si="38"/>
        <v>29.941176470588218</v>
      </c>
      <c r="D335" s="1">
        <f t="shared" si="36"/>
        <v>0</v>
      </c>
      <c r="E335" s="1">
        <f t="shared" si="39"/>
        <v>1</v>
      </c>
      <c r="F335" s="31">
        <f t="shared" si="37"/>
        <v>6.4</v>
      </c>
      <c r="G335" s="31">
        <f t="shared" ca="1" si="41"/>
        <v>0</v>
      </c>
      <c r="H335" s="30">
        <f t="shared" ca="1" si="42"/>
        <v>6.4</v>
      </c>
      <c r="I335" s="31">
        <f t="shared" ca="1" si="43"/>
        <v>6.4</v>
      </c>
      <c r="Q335" s="80"/>
      <c r="R335" s="42"/>
      <c r="S335" s="90">
        <f t="shared" si="40"/>
        <v>27.700000000000124</v>
      </c>
      <c r="T335" s="42"/>
      <c r="U335" s="42"/>
      <c r="V335" s="42"/>
      <c r="W335" s="42"/>
      <c r="X335" s="81"/>
    </row>
    <row r="336" spans="2:24" x14ac:dyDescent="0.25">
      <c r="B336" s="2">
        <v>1</v>
      </c>
      <c r="C336" s="1">
        <f t="shared" si="38"/>
        <v>30.941176470588218</v>
      </c>
      <c r="D336" s="1">
        <f t="shared" si="36"/>
        <v>0</v>
      </c>
      <c r="E336" s="1">
        <f t="shared" si="39"/>
        <v>1</v>
      </c>
      <c r="F336" s="31">
        <f t="shared" si="37"/>
        <v>6.4</v>
      </c>
      <c r="G336" s="31">
        <f t="shared" ca="1" si="41"/>
        <v>0</v>
      </c>
      <c r="H336" s="30">
        <f t="shared" ca="1" si="42"/>
        <v>6.4</v>
      </c>
      <c r="I336" s="31">
        <f t="shared" ca="1" si="43"/>
        <v>6.4</v>
      </c>
      <c r="Q336" s="80"/>
      <c r="R336" s="42"/>
      <c r="S336" s="90">
        <f t="shared" si="40"/>
        <v>27.800000000000125</v>
      </c>
      <c r="T336" s="42"/>
      <c r="U336" s="42"/>
      <c r="V336" s="42"/>
      <c r="W336" s="42"/>
      <c r="X336" s="81"/>
    </row>
    <row r="337" spans="2:24" x14ac:dyDescent="0.25">
      <c r="B337" s="2">
        <v>1</v>
      </c>
      <c r="C337" s="1">
        <f t="shared" si="38"/>
        <v>31.941176470588218</v>
      </c>
      <c r="D337" s="1">
        <f t="shared" si="36"/>
        <v>0</v>
      </c>
      <c r="E337" s="1">
        <f t="shared" si="39"/>
        <v>1</v>
      </c>
      <c r="F337" s="31">
        <f t="shared" si="37"/>
        <v>6.4</v>
      </c>
      <c r="G337" s="31">
        <f t="shared" ca="1" si="41"/>
        <v>0</v>
      </c>
      <c r="H337" s="30">
        <f t="shared" ca="1" si="42"/>
        <v>6.4</v>
      </c>
      <c r="I337" s="31">
        <f t="shared" ca="1" si="43"/>
        <v>6.4</v>
      </c>
      <c r="Q337" s="80"/>
      <c r="R337" s="42"/>
      <c r="S337" s="90">
        <f t="shared" si="40"/>
        <v>27.900000000000126</v>
      </c>
      <c r="T337" s="42"/>
      <c r="U337" s="42"/>
      <c r="V337" s="42"/>
      <c r="W337" s="42"/>
      <c r="X337" s="81"/>
    </row>
    <row r="338" spans="2:24" x14ac:dyDescent="0.25">
      <c r="B338" s="2">
        <v>1</v>
      </c>
      <c r="C338" s="1">
        <f t="shared" si="38"/>
        <v>32.941176470588218</v>
      </c>
      <c r="D338" s="1">
        <f t="shared" si="36"/>
        <v>0</v>
      </c>
      <c r="E338" s="1">
        <f t="shared" si="39"/>
        <v>1</v>
      </c>
      <c r="F338" s="31">
        <f t="shared" si="37"/>
        <v>6.4</v>
      </c>
      <c r="G338" s="31">
        <f t="shared" ca="1" si="41"/>
        <v>0</v>
      </c>
      <c r="H338" s="30">
        <f t="shared" ca="1" si="42"/>
        <v>6.4</v>
      </c>
      <c r="I338" s="31">
        <f t="shared" ca="1" si="43"/>
        <v>6.4</v>
      </c>
      <c r="Q338" s="80"/>
      <c r="R338" s="42"/>
      <c r="S338" s="90">
        <f t="shared" si="40"/>
        <v>28.000000000000128</v>
      </c>
      <c r="T338" s="42"/>
      <c r="U338" s="42"/>
      <c r="V338" s="42"/>
      <c r="W338" s="42"/>
      <c r="X338" s="81"/>
    </row>
    <row r="339" spans="2:24" x14ac:dyDescent="0.25">
      <c r="B339" s="2">
        <v>1</v>
      </c>
      <c r="C339" s="1">
        <f t="shared" si="38"/>
        <v>33.941176470588218</v>
      </c>
      <c r="D339" s="1">
        <f t="shared" si="36"/>
        <v>0</v>
      </c>
      <c r="E339" s="1">
        <f t="shared" si="39"/>
        <v>1</v>
      </c>
      <c r="F339" s="31">
        <f t="shared" si="37"/>
        <v>6.4</v>
      </c>
      <c r="G339" s="31">
        <f t="shared" ca="1" si="41"/>
        <v>0</v>
      </c>
      <c r="H339" s="30">
        <f t="shared" ca="1" si="42"/>
        <v>6.4</v>
      </c>
      <c r="I339" s="31">
        <f t="shared" ca="1" si="43"/>
        <v>6.4</v>
      </c>
      <c r="Q339" s="80"/>
      <c r="R339" s="42"/>
      <c r="S339" s="90">
        <f t="shared" si="40"/>
        <v>28.100000000000129</v>
      </c>
      <c r="T339" s="42"/>
      <c r="U339" s="42"/>
      <c r="V339" s="42"/>
      <c r="W339" s="42"/>
      <c r="X339" s="81"/>
    </row>
    <row r="340" spans="2:24" x14ac:dyDescent="0.25">
      <c r="B340" s="2">
        <v>1</v>
      </c>
      <c r="C340" s="1">
        <f t="shared" si="38"/>
        <v>34.941176470588218</v>
      </c>
      <c r="D340" s="1">
        <f t="shared" si="36"/>
        <v>0</v>
      </c>
      <c r="E340" s="1">
        <f t="shared" si="39"/>
        <v>1</v>
      </c>
      <c r="F340" s="31">
        <f t="shared" si="37"/>
        <v>6.4</v>
      </c>
      <c r="G340" s="31">
        <f t="shared" ca="1" si="41"/>
        <v>0</v>
      </c>
      <c r="H340" s="30">
        <f t="shared" ca="1" si="42"/>
        <v>6.4</v>
      </c>
      <c r="I340" s="31">
        <f t="shared" ca="1" si="43"/>
        <v>6.4</v>
      </c>
      <c r="Q340" s="80"/>
      <c r="R340" s="42"/>
      <c r="S340" s="90">
        <f t="shared" si="40"/>
        <v>28.200000000000131</v>
      </c>
      <c r="T340" s="42"/>
      <c r="U340" s="42"/>
      <c r="V340" s="42"/>
      <c r="W340" s="42"/>
      <c r="X340" s="81"/>
    </row>
    <row r="341" spans="2:24" x14ac:dyDescent="0.25">
      <c r="B341" s="2">
        <v>1</v>
      </c>
      <c r="C341" s="1">
        <f t="shared" si="38"/>
        <v>0.6470588235293917</v>
      </c>
      <c r="D341" s="1">
        <f t="shared" si="36"/>
        <v>1</v>
      </c>
      <c r="E341" s="1">
        <f t="shared" si="39"/>
        <v>0</v>
      </c>
      <c r="F341" s="31">
        <f t="shared" si="37"/>
        <v>14.6</v>
      </c>
      <c r="G341" s="31">
        <f t="shared" ca="1" si="41"/>
        <v>6.4</v>
      </c>
      <c r="H341" s="30">
        <f t="shared" ca="1" si="42"/>
        <v>0</v>
      </c>
      <c r="I341" s="31">
        <f t="shared" ca="1" si="43"/>
        <v>6.4</v>
      </c>
      <c r="Q341" s="80"/>
      <c r="R341" s="42"/>
      <c r="S341" s="90">
        <f t="shared" si="40"/>
        <v>28.300000000000132</v>
      </c>
      <c r="T341" s="42"/>
      <c r="U341" s="42"/>
      <c r="V341" s="42"/>
      <c r="W341" s="42"/>
      <c r="X341" s="81"/>
    </row>
    <row r="342" spans="2:24" x14ac:dyDescent="0.25">
      <c r="B342" s="2">
        <v>1</v>
      </c>
      <c r="C342" s="1">
        <f t="shared" si="38"/>
        <v>1.6470588235293917</v>
      </c>
      <c r="D342" s="1">
        <f t="shared" si="36"/>
        <v>1</v>
      </c>
      <c r="E342" s="1">
        <f t="shared" si="39"/>
        <v>0</v>
      </c>
      <c r="F342" s="31">
        <f t="shared" si="37"/>
        <v>14.6</v>
      </c>
      <c r="G342" s="31">
        <f t="shared" ca="1" si="41"/>
        <v>8.4500000000000011</v>
      </c>
      <c r="H342" s="30">
        <f t="shared" ca="1" si="42"/>
        <v>0</v>
      </c>
      <c r="I342" s="31">
        <f t="shared" ca="1" si="43"/>
        <v>8.4500000000000011</v>
      </c>
      <c r="Q342" s="80"/>
      <c r="R342" s="42"/>
      <c r="S342" s="90">
        <f t="shared" si="40"/>
        <v>28.400000000000134</v>
      </c>
      <c r="T342" s="42"/>
      <c r="U342" s="42"/>
      <c r="V342" s="42"/>
      <c r="W342" s="42"/>
      <c r="X342" s="81"/>
    </row>
    <row r="343" spans="2:24" x14ac:dyDescent="0.25">
      <c r="B343" s="2">
        <v>1</v>
      </c>
      <c r="C343" s="1">
        <f t="shared" si="38"/>
        <v>2.6470588235293917</v>
      </c>
      <c r="D343" s="1">
        <f t="shared" si="36"/>
        <v>1</v>
      </c>
      <c r="E343" s="1">
        <f t="shared" si="39"/>
        <v>0</v>
      </c>
      <c r="F343" s="31">
        <f t="shared" si="37"/>
        <v>14.6</v>
      </c>
      <c r="G343" s="31">
        <f t="shared" ca="1" si="41"/>
        <v>10.5</v>
      </c>
      <c r="H343" s="30">
        <f t="shared" ca="1" si="42"/>
        <v>0</v>
      </c>
      <c r="I343" s="31">
        <f t="shared" ca="1" si="43"/>
        <v>10.5</v>
      </c>
      <c r="Q343" s="80"/>
      <c r="R343" s="42"/>
      <c r="S343" s="90">
        <f t="shared" si="40"/>
        <v>28.500000000000135</v>
      </c>
      <c r="T343" s="42"/>
      <c r="U343" s="42"/>
      <c r="V343" s="42"/>
      <c r="W343" s="42"/>
      <c r="X343" s="81"/>
    </row>
    <row r="344" spans="2:24" x14ac:dyDescent="0.25">
      <c r="B344" s="2">
        <v>1</v>
      </c>
      <c r="C344" s="1">
        <f t="shared" si="38"/>
        <v>3.6470588235293917</v>
      </c>
      <c r="D344" s="1">
        <f t="shared" si="36"/>
        <v>1</v>
      </c>
      <c r="E344" s="1">
        <f t="shared" si="39"/>
        <v>0</v>
      </c>
      <c r="F344" s="31">
        <f t="shared" si="37"/>
        <v>14.6</v>
      </c>
      <c r="G344" s="31">
        <f t="shared" ca="1" si="41"/>
        <v>12.55</v>
      </c>
      <c r="H344" s="30">
        <f t="shared" ca="1" si="42"/>
        <v>0</v>
      </c>
      <c r="I344" s="31">
        <f t="shared" ca="1" si="43"/>
        <v>12.55</v>
      </c>
      <c r="Q344" s="80"/>
      <c r="R344" s="42"/>
      <c r="S344" s="90">
        <f t="shared" si="40"/>
        <v>28.600000000000136</v>
      </c>
      <c r="T344" s="42"/>
      <c r="U344" s="42"/>
      <c r="V344" s="42"/>
      <c r="W344" s="42"/>
      <c r="X344" s="81"/>
    </row>
    <row r="345" spans="2:24" x14ac:dyDescent="0.25">
      <c r="B345" s="2">
        <v>1</v>
      </c>
      <c r="C345" s="1">
        <f t="shared" si="38"/>
        <v>4.6470588235293917</v>
      </c>
      <c r="D345" s="1">
        <f t="shared" si="36"/>
        <v>1</v>
      </c>
      <c r="E345" s="1">
        <f t="shared" si="39"/>
        <v>0</v>
      </c>
      <c r="F345" s="31">
        <f t="shared" si="37"/>
        <v>14.6</v>
      </c>
      <c r="G345" s="31">
        <f t="shared" ca="1" si="41"/>
        <v>14.6</v>
      </c>
      <c r="H345" s="30">
        <f t="shared" ca="1" si="42"/>
        <v>0</v>
      </c>
      <c r="I345" s="31">
        <f t="shared" ca="1" si="43"/>
        <v>14.6</v>
      </c>
      <c r="Q345" s="80"/>
      <c r="R345" s="42"/>
      <c r="S345" s="90">
        <f t="shared" si="40"/>
        <v>28.700000000000138</v>
      </c>
      <c r="T345" s="42"/>
      <c r="U345" s="42"/>
      <c r="V345" s="42"/>
      <c r="W345" s="42"/>
      <c r="X345" s="81"/>
    </row>
    <row r="346" spans="2:24" x14ac:dyDescent="0.25">
      <c r="B346" s="2">
        <v>1</v>
      </c>
      <c r="C346" s="1">
        <f t="shared" si="38"/>
        <v>5.6470588235293917</v>
      </c>
      <c r="D346" s="1">
        <f t="shared" si="36"/>
        <v>1</v>
      </c>
      <c r="E346" s="1">
        <f t="shared" si="39"/>
        <v>0</v>
      </c>
      <c r="F346" s="31">
        <f t="shared" si="37"/>
        <v>14.6</v>
      </c>
      <c r="G346" s="31">
        <f t="shared" ca="1" si="41"/>
        <v>14.6</v>
      </c>
      <c r="H346" s="30">
        <f t="shared" ca="1" si="42"/>
        <v>0</v>
      </c>
      <c r="I346" s="31">
        <f t="shared" ca="1" si="43"/>
        <v>14.6</v>
      </c>
      <c r="Q346" s="80"/>
      <c r="R346" s="42"/>
      <c r="S346" s="90">
        <f t="shared" si="40"/>
        <v>28.800000000000139</v>
      </c>
      <c r="T346" s="42"/>
      <c r="U346" s="42"/>
      <c r="V346" s="42"/>
      <c r="W346" s="42"/>
      <c r="X346" s="81"/>
    </row>
    <row r="347" spans="2:24" x14ac:dyDescent="0.25">
      <c r="B347" s="2">
        <v>1</v>
      </c>
      <c r="C347" s="1">
        <f t="shared" si="38"/>
        <v>6.6470588235293917</v>
      </c>
      <c r="D347" s="1">
        <f t="shared" si="36"/>
        <v>1</v>
      </c>
      <c r="E347" s="1">
        <f t="shared" si="39"/>
        <v>0</v>
      </c>
      <c r="F347" s="31">
        <f t="shared" si="37"/>
        <v>14.6</v>
      </c>
      <c r="G347" s="31">
        <f t="shared" ca="1" si="41"/>
        <v>14.6</v>
      </c>
      <c r="H347" s="30">
        <f t="shared" ca="1" si="42"/>
        <v>0</v>
      </c>
      <c r="I347" s="31">
        <f t="shared" ca="1" si="43"/>
        <v>14.6</v>
      </c>
      <c r="Q347" s="80"/>
      <c r="R347" s="42"/>
      <c r="S347" s="90">
        <f t="shared" si="40"/>
        <v>28.900000000000141</v>
      </c>
      <c r="T347" s="42"/>
      <c r="U347" s="42"/>
      <c r="V347" s="42"/>
      <c r="W347" s="42"/>
      <c r="X347" s="81"/>
    </row>
    <row r="348" spans="2:24" x14ac:dyDescent="0.25">
      <c r="B348" s="2">
        <v>1</v>
      </c>
      <c r="C348" s="1">
        <f t="shared" si="38"/>
        <v>7.6470588235293917</v>
      </c>
      <c r="D348" s="1">
        <f t="shared" si="36"/>
        <v>1</v>
      </c>
      <c r="E348" s="1">
        <f t="shared" si="39"/>
        <v>0</v>
      </c>
      <c r="F348" s="31">
        <f t="shared" si="37"/>
        <v>14.6</v>
      </c>
      <c r="G348" s="31">
        <f t="shared" ca="1" si="41"/>
        <v>14.6</v>
      </c>
      <c r="H348" s="30">
        <f t="shared" ca="1" si="42"/>
        <v>0</v>
      </c>
      <c r="I348" s="31">
        <f t="shared" ca="1" si="43"/>
        <v>14.6</v>
      </c>
      <c r="Q348" s="80"/>
      <c r="R348" s="42"/>
      <c r="S348" s="90">
        <f t="shared" si="40"/>
        <v>29.000000000000142</v>
      </c>
      <c r="T348" s="42"/>
      <c r="U348" s="42"/>
      <c r="V348" s="42"/>
      <c r="W348" s="42"/>
      <c r="X348" s="81"/>
    </row>
    <row r="349" spans="2:24" x14ac:dyDescent="0.25">
      <c r="B349" s="2">
        <v>1</v>
      </c>
      <c r="C349" s="1">
        <f t="shared" si="38"/>
        <v>8.6470588235293917</v>
      </c>
      <c r="D349" s="1">
        <f t="shared" si="36"/>
        <v>1</v>
      </c>
      <c r="E349" s="1">
        <f t="shared" si="39"/>
        <v>0</v>
      </c>
      <c r="F349" s="31">
        <f t="shared" si="37"/>
        <v>14.6</v>
      </c>
      <c r="G349" s="31">
        <f t="shared" ca="1" si="41"/>
        <v>14.6</v>
      </c>
      <c r="H349" s="30">
        <f t="shared" ca="1" si="42"/>
        <v>0</v>
      </c>
      <c r="I349" s="31">
        <f t="shared" ca="1" si="43"/>
        <v>14.6</v>
      </c>
      <c r="Q349" s="80"/>
      <c r="R349" s="42"/>
      <c r="S349" s="90">
        <f t="shared" si="40"/>
        <v>29.100000000000144</v>
      </c>
      <c r="T349" s="42"/>
      <c r="U349" s="42"/>
      <c r="V349" s="42"/>
      <c r="W349" s="42"/>
      <c r="X349" s="81"/>
    </row>
    <row r="350" spans="2:24" x14ac:dyDescent="0.25">
      <c r="B350" s="2">
        <v>1</v>
      </c>
      <c r="C350" s="1">
        <f t="shared" si="38"/>
        <v>9.6470588235293917</v>
      </c>
      <c r="D350" s="1">
        <f t="shared" si="36"/>
        <v>1</v>
      </c>
      <c r="E350" s="1">
        <f t="shared" si="39"/>
        <v>0</v>
      </c>
      <c r="F350" s="31">
        <f t="shared" si="37"/>
        <v>14.6</v>
      </c>
      <c r="G350" s="31">
        <f t="shared" ca="1" si="41"/>
        <v>14.6</v>
      </c>
      <c r="H350" s="30">
        <f t="shared" ca="1" si="42"/>
        <v>0</v>
      </c>
      <c r="I350" s="31">
        <f t="shared" ca="1" si="43"/>
        <v>14.6</v>
      </c>
      <c r="Q350" s="80"/>
      <c r="R350" s="42"/>
      <c r="S350" s="90">
        <f t="shared" si="40"/>
        <v>29.200000000000145</v>
      </c>
      <c r="T350" s="42"/>
      <c r="U350" s="42"/>
      <c r="V350" s="42"/>
      <c r="W350" s="42"/>
      <c r="X350" s="81"/>
    </row>
    <row r="351" spans="2:24" x14ac:dyDescent="0.25">
      <c r="B351" s="2">
        <v>1</v>
      </c>
      <c r="C351" s="1">
        <f t="shared" si="38"/>
        <v>10.647058823529392</v>
      </c>
      <c r="D351" s="1">
        <f t="shared" si="36"/>
        <v>1</v>
      </c>
      <c r="E351" s="1">
        <f t="shared" si="39"/>
        <v>0</v>
      </c>
      <c r="F351" s="31">
        <f t="shared" si="37"/>
        <v>14.6</v>
      </c>
      <c r="G351" s="31">
        <f t="shared" ca="1" si="41"/>
        <v>14.6</v>
      </c>
      <c r="H351" s="30">
        <f t="shared" ca="1" si="42"/>
        <v>0</v>
      </c>
      <c r="I351" s="31">
        <f t="shared" ca="1" si="43"/>
        <v>14.6</v>
      </c>
      <c r="Q351" s="80"/>
      <c r="R351" s="42"/>
      <c r="S351" s="90">
        <f t="shared" si="40"/>
        <v>29.300000000000146</v>
      </c>
      <c r="T351" s="42"/>
      <c r="U351" s="42"/>
      <c r="V351" s="42"/>
      <c r="W351" s="42"/>
      <c r="X351" s="81"/>
    </row>
    <row r="352" spans="2:24" x14ac:dyDescent="0.25">
      <c r="B352" s="2">
        <v>1</v>
      </c>
      <c r="C352" s="1">
        <f t="shared" si="38"/>
        <v>11.647058823529392</v>
      </c>
      <c r="D352" s="1">
        <f t="shared" si="36"/>
        <v>1</v>
      </c>
      <c r="E352" s="1">
        <f t="shared" si="39"/>
        <v>0</v>
      </c>
      <c r="F352" s="31">
        <f t="shared" si="37"/>
        <v>14.6</v>
      </c>
      <c r="G352" s="31">
        <f t="shared" ca="1" si="41"/>
        <v>14.6</v>
      </c>
      <c r="H352" s="30">
        <f t="shared" ca="1" si="42"/>
        <v>0</v>
      </c>
      <c r="I352" s="31">
        <f t="shared" ca="1" si="43"/>
        <v>14.6</v>
      </c>
      <c r="Q352" s="80"/>
      <c r="R352" s="42"/>
      <c r="S352" s="90">
        <f t="shared" si="40"/>
        <v>29.400000000000148</v>
      </c>
      <c r="T352" s="42"/>
      <c r="U352" s="42"/>
      <c r="V352" s="42"/>
      <c r="W352" s="42"/>
      <c r="X352" s="81"/>
    </row>
    <row r="353" spans="2:24" x14ac:dyDescent="0.25">
      <c r="B353" s="2">
        <v>1</v>
      </c>
      <c r="C353" s="1">
        <f t="shared" si="38"/>
        <v>12.647058823529392</v>
      </c>
      <c r="D353" s="1">
        <f t="shared" si="36"/>
        <v>1</v>
      </c>
      <c r="E353" s="1">
        <f t="shared" si="39"/>
        <v>0</v>
      </c>
      <c r="F353" s="31">
        <f t="shared" si="37"/>
        <v>14.6</v>
      </c>
      <c r="G353" s="31">
        <f t="shared" ca="1" si="41"/>
        <v>14.6</v>
      </c>
      <c r="H353" s="30">
        <f t="shared" ca="1" si="42"/>
        <v>0</v>
      </c>
      <c r="I353" s="31">
        <f t="shared" ca="1" si="43"/>
        <v>14.6</v>
      </c>
      <c r="Q353" s="80"/>
      <c r="R353" s="42"/>
      <c r="S353" s="90">
        <f t="shared" si="40"/>
        <v>29.500000000000149</v>
      </c>
      <c r="T353" s="42"/>
      <c r="U353" s="42"/>
      <c r="V353" s="42"/>
      <c r="W353" s="42"/>
      <c r="X353" s="81"/>
    </row>
    <row r="354" spans="2:24" x14ac:dyDescent="0.25">
      <c r="B354" s="2">
        <v>1</v>
      </c>
      <c r="C354" s="1">
        <f t="shared" si="38"/>
        <v>13.647058823529392</v>
      </c>
      <c r="D354" s="1">
        <f t="shared" si="36"/>
        <v>1</v>
      </c>
      <c r="E354" s="1">
        <f t="shared" si="39"/>
        <v>0</v>
      </c>
      <c r="F354" s="31">
        <f t="shared" si="37"/>
        <v>14.6</v>
      </c>
      <c r="G354" s="31">
        <f t="shared" ca="1" si="41"/>
        <v>14.6</v>
      </c>
      <c r="H354" s="30">
        <f t="shared" ca="1" si="42"/>
        <v>0</v>
      </c>
      <c r="I354" s="31">
        <f t="shared" ca="1" si="43"/>
        <v>14.6</v>
      </c>
      <c r="Q354" s="80"/>
      <c r="R354" s="42"/>
      <c r="S354" s="90">
        <f t="shared" si="40"/>
        <v>29.600000000000151</v>
      </c>
      <c r="T354" s="42"/>
      <c r="U354" s="42"/>
      <c r="V354" s="42"/>
      <c r="W354" s="42"/>
      <c r="X354" s="81"/>
    </row>
    <row r="355" spans="2:24" x14ac:dyDescent="0.25">
      <c r="B355" s="2">
        <v>1</v>
      </c>
      <c r="C355" s="1">
        <f t="shared" si="38"/>
        <v>14.647058823529392</v>
      </c>
      <c r="D355" s="1">
        <f t="shared" si="36"/>
        <v>1</v>
      </c>
      <c r="E355" s="1">
        <f t="shared" si="39"/>
        <v>0</v>
      </c>
      <c r="F355" s="31">
        <f t="shared" si="37"/>
        <v>14.6</v>
      </c>
      <c r="G355" s="31">
        <f t="shared" ca="1" si="41"/>
        <v>14.6</v>
      </c>
      <c r="H355" s="30">
        <f t="shared" ca="1" si="42"/>
        <v>0</v>
      </c>
      <c r="I355" s="31">
        <f t="shared" ca="1" si="43"/>
        <v>14.6</v>
      </c>
      <c r="Q355" s="80"/>
      <c r="R355" s="42"/>
      <c r="S355" s="90">
        <f t="shared" si="40"/>
        <v>29.700000000000152</v>
      </c>
      <c r="T355" s="42"/>
      <c r="U355" s="42"/>
      <c r="V355" s="42"/>
      <c r="W355" s="42"/>
      <c r="X355" s="81"/>
    </row>
    <row r="356" spans="2:24" x14ac:dyDescent="0.25">
      <c r="B356" s="2">
        <v>1</v>
      </c>
      <c r="C356" s="1">
        <f t="shared" si="38"/>
        <v>15.647058823529392</v>
      </c>
      <c r="D356" s="1">
        <f t="shared" si="36"/>
        <v>1</v>
      </c>
      <c r="E356" s="1">
        <f t="shared" si="39"/>
        <v>0</v>
      </c>
      <c r="F356" s="31">
        <f t="shared" si="37"/>
        <v>14.6</v>
      </c>
      <c r="G356" s="31">
        <f t="shared" ca="1" si="41"/>
        <v>14.6</v>
      </c>
      <c r="H356" s="30">
        <f t="shared" ca="1" si="42"/>
        <v>0</v>
      </c>
      <c r="I356" s="31">
        <f t="shared" ca="1" si="43"/>
        <v>14.6</v>
      </c>
      <c r="Q356" s="80"/>
      <c r="R356" s="42"/>
      <c r="S356" s="90">
        <f t="shared" si="40"/>
        <v>29.800000000000153</v>
      </c>
      <c r="T356" s="42"/>
      <c r="U356" s="42"/>
      <c r="V356" s="42"/>
      <c r="W356" s="42"/>
      <c r="X356" s="81"/>
    </row>
    <row r="357" spans="2:24" x14ac:dyDescent="0.25">
      <c r="B357" s="2">
        <v>1</v>
      </c>
      <c r="C357" s="1">
        <f t="shared" si="38"/>
        <v>16.647058823529392</v>
      </c>
      <c r="D357" s="1">
        <f t="shared" si="36"/>
        <v>1</v>
      </c>
      <c r="E357" s="1">
        <f t="shared" si="39"/>
        <v>0</v>
      </c>
      <c r="F357" s="31">
        <f t="shared" si="37"/>
        <v>14.6</v>
      </c>
      <c r="G357" s="31">
        <f t="shared" ca="1" si="41"/>
        <v>14.6</v>
      </c>
      <c r="H357" s="30">
        <f t="shared" ca="1" si="42"/>
        <v>0</v>
      </c>
      <c r="I357" s="31">
        <f t="shared" ca="1" si="43"/>
        <v>14.6</v>
      </c>
      <c r="Q357" s="80"/>
      <c r="R357" s="42"/>
      <c r="S357" s="90">
        <f t="shared" si="40"/>
        <v>29.900000000000155</v>
      </c>
      <c r="T357" s="42"/>
      <c r="U357" s="42"/>
      <c r="V357" s="42"/>
      <c r="W357" s="42"/>
      <c r="X357" s="81"/>
    </row>
    <row r="358" spans="2:24" x14ac:dyDescent="0.25">
      <c r="B358" s="2">
        <v>1</v>
      </c>
      <c r="C358" s="1">
        <f t="shared" si="38"/>
        <v>17.647058823529392</v>
      </c>
      <c r="D358" s="1">
        <f t="shared" si="36"/>
        <v>1</v>
      </c>
      <c r="E358" s="1">
        <f t="shared" si="39"/>
        <v>0</v>
      </c>
      <c r="F358" s="31">
        <f t="shared" si="37"/>
        <v>14.6</v>
      </c>
      <c r="G358" s="31">
        <f t="shared" ca="1" si="41"/>
        <v>14.6</v>
      </c>
      <c r="H358" s="30">
        <f t="shared" ca="1" si="42"/>
        <v>0</v>
      </c>
      <c r="I358" s="31">
        <f t="shared" ca="1" si="43"/>
        <v>14.6</v>
      </c>
      <c r="Q358" s="80"/>
      <c r="R358" s="42"/>
      <c r="S358" s="90">
        <f t="shared" si="40"/>
        <v>30.000000000000156</v>
      </c>
      <c r="T358" s="42"/>
      <c r="U358" s="42"/>
      <c r="V358" s="42"/>
      <c r="W358" s="42"/>
      <c r="X358" s="81"/>
    </row>
    <row r="359" spans="2:24" x14ac:dyDescent="0.25">
      <c r="B359" s="2">
        <v>1</v>
      </c>
      <c r="C359" s="1">
        <f t="shared" si="38"/>
        <v>18.647058823529392</v>
      </c>
      <c r="D359" s="1">
        <f t="shared" si="36"/>
        <v>1</v>
      </c>
      <c r="E359" s="1">
        <f t="shared" si="39"/>
        <v>0</v>
      </c>
      <c r="F359" s="31">
        <f t="shared" si="37"/>
        <v>14.6</v>
      </c>
      <c r="G359" s="31">
        <f t="shared" ca="1" si="41"/>
        <v>14.6</v>
      </c>
      <c r="H359" s="30">
        <f t="shared" ca="1" si="42"/>
        <v>0</v>
      </c>
      <c r="I359" s="31">
        <f t="shared" ca="1" si="43"/>
        <v>14.6</v>
      </c>
      <c r="Q359" s="80"/>
      <c r="R359" s="42"/>
      <c r="S359" s="90">
        <f t="shared" si="40"/>
        <v>30.100000000000158</v>
      </c>
      <c r="T359" s="42"/>
      <c r="U359" s="42"/>
      <c r="V359" s="42"/>
      <c r="W359" s="42"/>
      <c r="X359" s="81"/>
    </row>
    <row r="360" spans="2:24" x14ac:dyDescent="0.25">
      <c r="B360" s="2">
        <v>1</v>
      </c>
      <c r="C360" s="1">
        <f t="shared" si="38"/>
        <v>19.647058823529392</v>
      </c>
      <c r="D360" s="1">
        <f t="shared" si="36"/>
        <v>1</v>
      </c>
      <c r="E360" s="1">
        <f t="shared" si="39"/>
        <v>0</v>
      </c>
      <c r="F360" s="31">
        <f t="shared" si="37"/>
        <v>14.6</v>
      </c>
      <c r="G360" s="31">
        <f t="shared" ca="1" si="41"/>
        <v>14.6</v>
      </c>
      <c r="H360" s="30">
        <f t="shared" ca="1" si="42"/>
        <v>0</v>
      </c>
      <c r="I360" s="31">
        <f t="shared" ca="1" si="43"/>
        <v>14.6</v>
      </c>
      <c r="Q360" s="80"/>
      <c r="R360" s="42"/>
      <c r="S360" s="90">
        <f t="shared" si="40"/>
        <v>30.200000000000159</v>
      </c>
      <c r="T360" s="42"/>
      <c r="U360" s="42"/>
      <c r="V360" s="42"/>
      <c r="W360" s="42"/>
      <c r="X360" s="81"/>
    </row>
    <row r="361" spans="2:24" x14ac:dyDescent="0.25">
      <c r="B361" s="2">
        <v>1</v>
      </c>
      <c r="C361" s="1">
        <f t="shared" si="38"/>
        <v>20.647058823529392</v>
      </c>
      <c r="D361" s="1">
        <f t="shared" si="36"/>
        <v>1</v>
      </c>
      <c r="E361" s="1">
        <f t="shared" si="39"/>
        <v>0</v>
      </c>
      <c r="F361" s="31">
        <f t="shared" si="37"/>
        <v>14.6</v>
      </c>
      <c r="G361" s="31">
        <f t="shared" ca="1" si="41"/>
        <v>14.6</v>
      </c>
      <c r="H361" s="30">
        <f t="shared" ca="1" si="42"/>
        <v>0</v>
      </c>
      <c r="I361" s="31">
        <f t="shared" ca="1" si="43"/>
        <v>14.6</v>
      </c>
      <c r="Q361" s="80"/>
      <c r="R361" s="42"/>
      <c r="S361" s="90">
        <f t="shared" si="40"/>
        <v>30.300000000000161</v>
      </c>
      <c r="T361" s="42"/>
      <c r="U361" s="42"/>
      <c r="V361" s="42"/>
      <c r="W361" s="42"/>
      <c r="X361" s="81"/>
    </row>
    <row r="362" spans="2:24" x14ac:dyDescent="0.25">
      <c r="B362" s="2">
        <v>1</v>
      </c>
      <c r="C362" s="1">
        <f t="shared" si="38"/>
        <v>21.647058823529392</v>
      </c>
      <c r="D362" s="1">
        <f t="shared" si="36"/>
        <v>1</v>
      </c>
      <c r="E362" s="1">
        <f t="shared" si="39"/>
        <v>0</v>
      </c>
      <c r="F362" s="31">
        <f t="shared" si="37"/>
        <v>14.6</v>
      </c>
      <c r="G362" s="31">
        <f t="shared" ca="1" si="41"/>
        <v>14.6</v>
      </c>
      <c r="H362" s="30">
        <f t="shared" ca="1" si="42"/>
        <v>0</v>
      </c>
      <c r="I362" s="31">
        <f t="shared" ca="1" si="43"/>
        <v>14.6</v>
      </c>
      <c r="Q362" s="80"/>
      <c r="R362" s="42"/>
      <c r="S362" s="90">
        <f t="shared" si="40"/>
        <v>30.400000000000162</v>
      </c>
      <c r="T362" s="42"/>
      <c r="U362" s="42"/>
      <c r="V362" s="42"/>
      <c r="W362" s="42"/>
      <c r="X362" s="81"/>
    </row>
    <row r="363" spans="2:24" x14ac:dyDescent="0.25">
      <c r="B363" s="2">
        <v>1</v>
      </c>
      <c r="C363" s="1">
        <f t="shared" si="38"/>
        <v>22.647058823529392</v>
      </c>
      <c r="D363" s="1">
        <f t="shared" si="36"/>
        <v>1</v>
      </c>
      <c r="E363" s="1">
        <f t="shared" si="39"/>
        <v>0</v>
      </c>
      <c r="F363" s="31">
        <f t="shared" si="37"/>
        <v>14.6</v>
      </c>
      <c r="G363" s="31">
        <f t="shared" ca="1" si="41"/>
        <v>14.6</v>
      </c>
      <c r="H363" s="30">
        <f t="shared" ca="1" si="42"/>
        <v>0</v>
      </c>
      <c r="I363" s="31">
        <f t="shared" ca="1" si="43"/>
        <v>14.6</v>
      </c>
      <c r="Q363" s="80"/>
      <c r="R363" s="42"/>
      <c r="S363" s="90">
        <f t="shared" si="40"/>
        <v>30.500000000000163</v>
      </c>
      <c r="T363" s="42"/>
      <c r="U363" s="42"/>
      <c r="V363" s="42"/>
      <c r="W363" s="42"/>
      <c r="X363" s="81"/>
    </row>
    <row r="364" spans="2:24" x14ac:dyDescent="0.25">
      <c r="B364" s="2">
        <v>1</v>
      </c>
      <c r="C364" s="1">
        <f t="shared" si="38"/>
        <v>23.647058823529392</v>
      </c>
      <c r="D364" s="1">
        <f t="shared" si="36"/>
        <v>0</v>
      </c>
      <c r="E364" s="1">
        <f t="shared" si="39"/>
        <v>1</v>
      </c>
      <c r="F364" s="31">
        <f t="shared" si="37"/>
        <v>6.4</v>
      </c>
      <c r="G364" s="31">
        <f t="shared" ca="1" si="41"/>
        <v>0</v>
      </c>
      <c r="H364" s="30">
        <f t="shared" ca="1" si="42"/>
        <v>14.6</v>
      </c>
      <c r="I364" s="31">
        <f t="shared" ca="1" si="43"/>
        <v>14.6</v>
      </c>
      <c r="Q364" s="80"/>
      <c r="R364" s="42"/>
      <c r="S364" s="90">
        <f t="shared" si="40"/>
        <v>30.600000000000165</v>
      </c>
      <c r="T364" s="42"/>
      <c r="U364" s="42"/>
      <c r="V364" s="42"/>
      <c r="W364" s="42"/>
      <c r="X364" s="81"/>
    </row>
    <row r="365" spans="2:24" x14ac:dyDescent="0.25">
      <c r="B365" s="2">
        <v>1</v>
      </c>
      <c r="C365" s="1">
        <f t="shared" si="38"/>
        <v>24.647058823529392</v>
      </c>
      <c r="D365" s="1">
        <f t="shared" si="36"/>
        <v>0</v>
      </c>
      <c r="E365" s="1">
        <f t="shared" si="39"/>
        <v>1</v>
      </c>
      <c r="F365" s="31">
        <f t="shared" si="37"/>
        <v>6.4</v>
      </c>
      <c r="G365" s="31">
        <f t="shared" ca="1" si="41"/>
        <v>0</v>
      </c>
      <c r="H365" s="30">
        <f t="shared" ca="1" si="42"/>
        <v>6.4</v>
      </c>
      <c r="I365" s="31">
        <f t="shared" ca="1" si="43"/>
        <v>6.4</v>
      </c>
      <c r="Q365" s="80"/>
      <c r="R365" s="42"/>
      <c r="S365" s="90">
        <f t="shared" si="40"/>
        <v>30.700000000000166</v>
      </c>
      <c r="T365" s="42"/>
      <c r="U365" s="42"/>
      <c r="V365" s="42"/>
      <c r="W365" s="42"/>
      <c r="X365" s="81"/>
    </row>
    <row r="366" spans="2:24" x14ac:dyDescent="0.25">
      <c r="B366" s="2">
        <v>1</v>
      </c>
      <c r="C366" s="1">
        <f t="shared" si="38"/>
        <v>25.647058823529392</v>
      </c>
      <c r="D366" s="1">
        <f t="shared" si="36"/>
        <v>0</v>
      </c>
      <c r="E366" s="1">
        <f t="shared" si="39"/>
        <v>1</v>
      </c>
      <c r="F366" s="31">
        <f t="shared" si="37"/>
        <v>6.4</v>
      </c>
      <c r="G366" s="31">
        <f t="shared" ca="1" si="41"/>
        <v>0</v>
      </c>
      <c r="H366" s="30">
        <f t="shared" ca="1" si="42"/>
        <v>6.4</v>
      </c>
      <c r="I366" s="31">
        <f t="shared" ca="1" si="43"/>
        <v>6.4</v>
      </c>
      <c r="Q366" s="80"/>
      <c r="R366" s="42"/>
      <c r="S366" s="90">
        <f t="shared" si="40"/>
        <v>30.800000000000168</v>
      </c>
      <c r="T366" s="42"/>
      <c r="U366" s="42"/>
      <c r="V366" s="42"/>
      <c r="W366" s="42"/>
      <c r="X366" s="81"/>
    </row>
    <row r="367" spans="2:24" x14ac:dyDescent="0.25">
      <c r="B367" s="2">
        <v>1</v>
      </c>
      <c r="C367" s="1">
        <f t="shared" si="38"/>
        <v>26.647058823529392</v>
      </c>
      <c r="D367" s="1">
        <f t="shared" si="36"/>
        <v>0</v>
      </c>
      <c r="E367" s="1">
        <f t="shared" si="39"/>
        <v>1</v>
      </c>
      <c r="F367" s="31">
        <f t="shared" si="37"/>
        <v>6.4</v>
      </c>
      <c r="G367" s="31">
        <f t="shared" ca="1" si="41"/>
        <v>0</v>
      </c>
      <c r="H367" s="30">
        <f t="shared" ca="1" si="42"/>
        <v>6.4</v>
      </c>
      <c r="I367" s="31">
        <f t="shared" ca="1" si="43"/>
        <v>6.4</v>
      </c>
      <c r="Q367" s="80"/>
      <c r="R367" s="42"/>
      <c r="S367" s="90">
        <f t="shared" si="40"/>
        <v>30.900000000000169</v>
      </c>
      <c r="T367" s="42"/>
      <c r="U367" s="42"/>
      <c r="V367" s="42"/>
      <c r="W367" s="42"/>
      <c r="X367" s="81"/>
    </row>
    <row r="368" spans="2:24" x14ac:dyDescent="0.25">
      <c r="B368" s="2">
        <v>1</v>
      </c>
      <c r="C368" s="1">
        <f t="shared" si="38"/>
        <v>27.647058823529392</v>
      </c>
      <c r="D368" s="1">
        <f t="shared" si="36"/>
        <v>0</v>
      </c>
      <c r="E368" s="1">
        <f t="shared" si="39"/>
        <v>1</v>
      </c>
      <c r="F368" s="31">
        <f t="shared" si="37"/>
        <v>6.4</v>
      </c>
      <c r="G368" s="31">
        <f t="shared" ca="1" si="41"/>
        <v>0</v>
      </c>
      <c r="H368" s="30">
        <f t="shared" ca="1" si="42"/>
        <v>6.4</v>
      </c>
      <c r="I368" s="31">
        <f t="shared" ca="1" si="43"/>
        <v>6.4</v>
      </c>
      <c r="Q368" s="80"/>
      <c r="R368" s="42"/>
      <c r="S368" s="90">
        <f t="shared" si="40"/>
        <v>31.000000000000171</v>
      </c>
      <c r="T368" s="42"/>
      <c r="U368" s="42"/>
      <c r="V368" s="42"/>
      <c r="W368" s="42"/>
      <c r="X368" s="81"/>
    </row>
    <row r="369" spans="2:24" x14ac:dyDescent="0.25">
      <c r="B369" s="2">
        <v>1</v>
      </c>
      <c r="C369" s="1">
        <f t="shared" si="38"/>
        <v>28.647058823529392</v>
      </c>
      <c r="D369" s="1">
        <f t="shared" si="36"/>
        <v>0</v>
      </c>
      <c r="E369" s="1">
        <f t="shared" si="39"/>
        <v>1</v>
      </c>
      <c r="F369" s="31">
        <f t="shared" si="37"/>
        <v>6.4</v>
      </c>
      <c r="G369" s="31">
        <f t="shared" ca="1" si="41"/>
        <v>0</v>
      </c>
      <c r="H369" s="30">
        <f t="shared" ca="1" si="42"/>
        <v>6.4</v>
      </c>
      <c r="I369" s="31">
        <f t="shared" ca="1" si="43"/>
        <v>6.4</v>
      </c>
      <c r="Q369" s="80"/>
      <c r="R369" s="42"/>
      <c r="S369" s="90">
        <f t="shared" si="40"/>
        <v>31.100000000000172</v>
      </c>
      <c r="T369" s="42"/>
      <c r="U369" s="42"/>
      <c r="V369" s="42"/>
      <c r="W369" s="42"/>
      <c r="X369" s="81"/>
    </row>
    <row r="370" spans="2:24" x14ac:dyDescent="0.25">
      <c r="B370" s="2">
        <v>1</v>
      </c>
      <c r="C370" s="1">
        <f t="shared" si="38"/>
        <v>29.647058823529392</v>
      </c>
      <c r="D370" s="1">
        <f t="shared" si="36"/>
        <v>0</v>
      </c>
      <c r="E370" s="1">
        <f t="shared" si="39"/>
        <v>1</v>
      </c>
      <c r="F370" s="31">
        <f t="shared" si="37"/>
        <v>6.4</v>
      </c>
      <c r="G370" s="31">
        <f t="shared" ca="1" si="41"/>
        <v>0</v>
      </c>
      <c r="H370" s="30">
        <f t="shared" ca="1" si="42"/>
        <v>6.4</v>
      </c>
      <c r="I370" s="31">
        <f t="shared" ca="1" si="43"/>
        <v>6.4</v>
      </c>
      <c r="Q370" s="80"/>
      <c r="R370" s="42"/>
      <c r="S370" s="90">
        <f t="shared" si="40"/>
        <v>31.200000000000173</v>
      </c>
      <c r="T370" s="42"/>
      <c r="U370" s="42"/>
      <c r="V370" s="42"/>
      <c r="W370" s="42"/>
      <c r="X370" s="81"/>
    </row>
    <row r="371" spans="2:24" x14ac:dyDescent="0.25">
      <c r="B371" s="2">
        <v>1</v>
      </c>
      <c r="C371" s="1">
        <f t="shared" si="38"/>
        <v>30.647058823529392</v>
      </c>
      <c r="D371" s="1">
        <f t="shared" si="36"/>
        <v>0</v>
      </c>
      <c r="E371" s="1">
        <f t="shared" si="39"/>
        <v>1</v>
      </c>
      <c r="F371" s="31">
        <f t="shared" si="37"/>
        <v>6.4</v>
      </c>
      <c r="G371" s="31">
        <f t="shared" ca="1" si="41"/>
        <v>0</v>
      </c>
      <c r="H371" s="30">
        <f t="shared" ca="1" si="42"/>
        <v>6.4</v>
      </c>
      <c r="I371" s="31">
        <f t="shared" ca="1" si="43"/>
        <v>6.4</v>
      </c>
      <c r="Q371" s="80"/>
      <c r="R371" s="42"/>
      <c r="S371" s="90">
        <f t="shared" si="40"/>
        <v>31.300000000000175</v>
      </c>
      <c r="T371" s="42"/>
      <c r="U371" s="42"/>
      <c r="V371" s="42"/>
      <c r="W371" s="42"/>
      <c r="X371" s="81"/>
    </row>
    <row r="372" spans="2:24" x14ac:dyDescent="0.25">
      <c r="B372" s="2">
        <v>1</v>
      </c>
      <c r="C372" s="1">
        <f t="shared" si="38"/>
        <v>31.647058823529392</v>
      </c>
      <c r="D372" s="1">
        <f t="shared" si="36"/>
        <v>0</v>
      </c>
      <c r="E372" s="1">
        <f t="shared" si="39"/>
        <v>1</v>
      </c>
      <c r="F372" s="31">
        <f t="shared" si="37"/>
        <v>6.4</v>
      </c>
      <c r="G372" s="31">
        <f t="shared" ca="1" si="41"/>
        <v>0</v>
      </c>
      <c r="H372" s="30">
        <f t="shared" ca="1" si="42"/>
        <v>6.4</v>
      </c>
      <c r="I372" s="31">
        <f t="shared" ca="1" si="43"/>
        <v>6.4</v>
      </c>
      <c r="Q372" s="80"/>
      <c r="R372" s="42"/>
      <c r="S372" s="90">
        <f t="shared" si="40"/>
        <v>31.400000000000176</v>
      </c>
      <c r="T372" s="42"/>
      <c r="U372" s="42"/>
      <c r="V372" s="42"/>
      <c r="W372" s="42"/>
      <c r="X372" s="81"/>
    </row>
    <row r="373" spans="2:24" x14ac:dyDescent="0.25">
      <c r="B373" s="2">
        <v>1</v>
      </c>
      <c r="C373" s="1">
        <f t="shared" si="38"/>
        <v>32.647058823529392</v>
      </c>
      <c r="D373" s="1">
        <f t="shared" si="36"/>
        <v>0</v>
      </c>
      <c r="E373" s="1">
        <f t="shared" si="39"/>
        <v>1</v>
      </c>
      <c r="F373" s="31">
        <f t="shared" si="37"/>
        <v>6.4</v>
      </c>
      <c r="G373" s="31">
        <f t="shared" ca="1" si="41"/>
        <v>0</v>
      </c>
      <c r="H373" s="30">
        <f t="shared" ca="1" si="42"/>
        <v>6.4</v>
      </c>
      <c r="I373" s="31">
        <f t="shared" ca="1" si="43"/>
        <v>6.4</v>
      </c>
      <c r="Q373" s="80"/>
      <c r="R373" s="42"/>
      <c r="S373" s="90">
        <f t="shared" si="40"/>
        <v>31.500000000000178</v>
      </c>
      <c r="T373" s="42"/>
      <c r="U373" s="42"/>
      <c r="V373" s="42"/>
      <c r="W373" s="42"/>
      <c r="X373" s="81"/>
    </row>
    <row r="374" spans="2:24" x14ac:dyDescent="0.25">
      <c r="B374" s="2">
        <v>1</v>
      </c>
      <c r="C374" s="1">
        <f t="shared" si="38"/>
        <v>33.647058823529392</v>
      </c>
      <c r="D374" s="1">
        <f t="shared" si="36"/>
        <v>0</v>
      </c>
      <c r="E374" s="1">
        <f t="shared" si="39"/>
        <v>1</v>
      </c>
      <c r="F374" s="31">
        <f t="shared" si="37"/>
        <v>6.4</v>
      </c>
      <c r="G374" s="31">
        <f t="shared" ca="1" si="41"/>
        <v>0</v>
      </c>
      <c r="H374" s="30">
        <f t="shared" ca="1" si="42"/>
        <v>6.4</v>
      </c>
      <c r="I374" s="31">
        <f t="shared" ca="1" si="43"/>
        <v>6.4</v>
      </c>
      <c r="Q374" s="80"/>
      <c r="R374" s="42"/>
      <c r="S374" s="90">
        <f t="shared" si="40"/>
        <v>31.600000000000179</v>
      </c>
      <c r="T374" s="42"/>
      <c r="U374" s="42"/>
      <c r="V374" s="42"/>
      <c r="W374" s="42"/>
      <c r="X374" s="81"/>
    </row>
    <row r="375" spans="2:24" x14ac:dyDescent="0.25">
      <c r="B375" s="2">
        <v>1</v>
      </c>
      <c r="C375" s="1">
        <f t="shared" si="38"/>
        <v>34.647058823529392</v>
      </c>
      <c r="D375" s="1">
        <f t="shared" si="36"/>
        <v>0</v>
      </c>
      <c r="E375" s="1">
        <f t="shared" si="39"/>
        <v>1</v>
      </c>
      <c r="F375" s="31">
        <f t="shared" si="37"/>
        <v>6.4</v>
      </c>
      <c r="G375" s="31">
        <f t="shared" ca="1" si="41"/>
        <v>0</v>
      </c>
      <c r="H375" s="30">
        <f t="shared" ca="1" si="42"/>
        <v>6.4</v>
      </c>
      <c r="I375" s="31">
        <f t="shared" ca="1" si="43"/>
        <v>6.4</v>
      </c>
      <c r="Q375" s="80"/>
      <c r="R375" s="42"/>
      <c r="S375" s="90">
        <f t="shared" si="40"/>
        <v>31.70000000000018</v>
      </c>
      <c r="T375" s="42"/>
      <c r="U375" s="42"/>
      <c r="V375" s="42"/>
      <c r="W375" s="42"/>
      <c r="X375" s="81"/>
    </row>
    <row r="376" spans="2:24" x14ac:dyDescent="0.25">
      <c r="B376" s="2">
        <v>1</v>
      </c>
      <c r="C376" s="1">
        <f t="shared" si="38"/>
        <v>0.35294117647056567</v>
      </c>
      <c r="D376" s="1">
        <f t="shared" si="36"/>
        <v>1</v>
      </c>
      <c r="E376" s="1">
        <f t="shared" si="39"/>
        <v>0</v>
      </c>
      <c r="F376" s="31">
        <f t="shared" si="37"/>
        <v>14.6</v>
      </c>
      <c r="G376" s="31">
        <f t="shared" ca="1" si="41"/>
        <v>6.4</v>
      </c>
      <c r="H376" s="30">
        <f t="shared" ca="1" si="42"/>
        <v>0</v>
      </c>
      <c r="I376" s="31">
        <f t="shared" ca="1" si="43"/>
        <v>6.4</v>
      </c>
      <c r="Q376" s="80"/>
      <c r="R376" s="42"/>
      <c r="S376" s="90">
        <f t="shared" si="40"/>
        <v>31.800000000000182</v>
      </c>
      <c r="T376" s="42"/>
      <c r="U376" s="42"/>
      <c r="V376" s="42"/>
      <c r="W376" s="42"/>
      <c r="X376" s="81"/>
    </row>
    <row r="377" spans="2:24" x14ac:dyDescent="0.25">
      <c r="B377" s="2">
        <v>1</v>
      </c>
      <c r="C377" s="1">
        <f t="shared" si="38"/>
        <v>1.3529411764705657</v>
      </c>
      <c r="D377" s="1">
        <f t="shared" si="36"/>
        <v>1</v>
      </c>
      <c r="E377" s="1">
        <f t="shared" si="39"/>
        <v>0</v>
      </c>
      <c r="F377" s="31">
        <f t="shared" si="37"/>
        <v>14.6</v>
      </c>
      <c r="G377" s="31">
        <f t="shared" ca="1" si="41"/>
        <v>8.4500000000000011</v>
      </c>
      <c r="H377" s="30">
        <f t="shared" ca="1" si="42"/>
        <v>0</v>
      </c>
      <c r="I377" s="31">
        <f t="shared" ca="1" si="43"/>
        <v>8.4500000000000011</v>
      </c>
      <c r="Q377" s="80"/>
      <c r="R377" s="42"/>
      <c r="S377" s="90">
        <f t="shared" si="40"/>
        <v>31.900000000000183</v>
      </c>
      <c r="T377" s="42"/>
      <c r="U377" s="42"/>
      <c r="V377" s="42"/>
      <c r="W377" s="42"/>
      <c r="X377" s="81"/>
    </row>
    <row r="378" spans="2:24" x14ac:dyDescent="0.25">
      <c r="B378" s="2">
        <v>1</v>
      </c>
      <c r="C378" s="1">
        <f t="shared" si="38"/>
        <v>2.3529411764705657</v>
      </c>
      <c r="D378" s="1">
        <f t="shared" ref="D378:D441" si="44">IF(C378&lt;=Inhelation_Time_RT,1,0)</f>
        <v>1</v>
      </c>
      <c r="E378" s="1">
        <f t="shared" si="39"/>
        <v>0</v>
      </c>
      <c r="F378" s="31">
        <f t="shared" ref="F378:F441" si="45">(D378*Inspiratory_pressure_level) + (E378*PEEP)</f>
        <v>14.6</v>
      </c>
      <c r="G378" s="31">
        <f t="shared" ca="1" si="41"/>
        <v>10.5</v>
      </c>
      <c r="H378" s="30">
        <f t="shared" ca="1" si="42"/>
        <v>0</v>
      </c>
      <c r="I378" s="31">
        <f t="shared" ca="1" si="43"/>
        <v>10.5</v>
      </c>
      <c r="Q378" s="80"/>
      <c r="R378" s="42"/>
      <c r="S378" s="90">
        <f t="shared" si="40"/>
        <v>32.000000000000185</v>
      </c>
      <c r="T378" s="42"/>
      <c r="U378" s="42"/>
      <c r="V378" s="42"/>
      <c r="W378" s="42"/>
      <c r="X378" s="81"/>
    </row>
    <row r="379" spans="2:24" x14ac:dyDescent="0.25">
      <c r="B379" s="2">
        <v>1</v>
      </c>
      <c r="C379" s="1">
        <f t="shared" ref="C379:C442" si="46">MOD(C378+B379,time_for_breath_RT)</f>
        <v>3.3529411764705657</v>
      </c>
      <c r="D379" s="1">
        <f t="shared" si="44"/>
        <v>1</v>
      </c>
      <c r="E379" s="1">
        <f t="shared" ref="E379:E442" si="47">IF(D379=1,0,1)</f>
        <v>0</v>
      </c>
      <c r="F379" s="31">
        <f t="shared" si="45"/>
        <v>14.6</v>
      </c>
      <c r="G379" s="31">
        <f t="shared" ca="1" si="41"/>
        <v>12.55</v>
      </c>
      <c r="H379" s="30">
        <f t="shared" ca="1" si="42"/>
        <v>0</v>
      </c>
      <c r="I379" s="31">
        <f t="shared" ca="1" si="43"/>
        <v>12.55</v>
      </c>
      <c r="Q379" s="80"/>
      <c r="R379" s="42"/>
      <c r="S379" s="90">
        <f t="shared" ref="S379:S442" si="48">S378+(B378 / RTC_to_seconds)</f>
        <v>32.100000000000186</v>
      </c>
      <c r="T379" s="42"/>
      <c r="U379" s="42"/>
      <c r="V379" s="42"/>
      <c r="W379" s="42"/>
      <c r="X379" s="81"/>
    </row>
    <row r="380" spans="2:24" x14ac:dyDescent="0.25">
      <c r="B380" s="2">
        <v>1</v>
      </c>
      <c r="C380" s="1">
        <f t="shared" si="46"/>
        <v>4.3529411764705657</v>
      </c>
      <c r="D380" s="1">
        <f t="shared" si="44"/>
        <v>1</v>
      </c>
      <c r="E380" s="1">
        <f t="shared" si="47"/>
        <v>0</v>
      </c>
      <c r="F380" s="31">
        <f t="shared" si="45"/>
        <v>14.6</v>
      </c>
      <c r="G380" s="31">
        <f t="shared" ca="1" si="41"/>
        <v>14.6</v>
      </c>
      <c r="H380" s="30">
        <f t="shared" ca="1" si="42"/>
        <v>0</v>
      </c>
      <c r="I380" s="31">
        <f t="shared" ca="1" si="43"/>
        <v>14.6</v>
      </c>
      <c r="Q380" s="80"/>
      <c r="R380" s="42"/>
      <c r="S380" s="90">
        <f t="shared" si="48"/>
        <v>32.200000000000188</v>
      </c>
      <c r="T380" s="42"/>
      <c r="U380" s="42"/>
      <c r="V380" s="42"/>
      <c r="W380" s="42"/>
      <c r="X380" s="81"/>
    </row>
    <row r="381" spans="2:24" x14ac:dyDescent="0.25">
      <c r="B381" s="2">
        <v>1</v>
      </c>
      <c r="C381" s="1">
        <f t="shared" si="46"/>
        <v>5.3529411764705657</v>
      </c>
      <c r="D381" s="1">
        <f t="shared" si="44"/>
        <v>1</v>
      </c>
      <c r="E381" s="1">
        <f t="shared" si="47"/>
        <v>0</v>
      </c>
      <c r="F381" s="31">
        <f t="shared" si="45"/>
        <v>14.6</v>
      </c>
      <c r="G381" s="31">
        <f t="shared" ca="1" si="41"/>
        <v>14.6</v>
      </c>
      <c r="H381" s="30">
        <f t="shared" ca="1" si="42"/>
        <v>0</v>
      </c>
      <c r="I381" s="31">
        <f t="shared" ca="1" si="43"/>
        <v>14.6</v>
      </c>
      <c r="Q381" s="80"/>
      <c r="R381" s="42"/>
      <c r="S381" s="90">
        <f t="shared" si="48"/>
        <v>32.300000000000189</v>
      </c>
      <c r="T381" s="42"/>
      <c r="U381" s="42"/>
      <c r="V381" s="42"/>
      <c r="W381" s="42"/>
      <c r="X381" s="81"/>
    </row>
    <row r="382" spans="2:24" x14ac:dyDescent="0.25">
      <c r="B382" s="2">
        <v>1</v>
      </c>
      <c r="C382" s="1">
        <f t="shared" si="46"/>
        <v>6.3529411764705657</v>
      </c>
      <c r="D382" s="1">
        <f t="shared" si="44"/>
        <v>1</v>
      </c>
      <c r="E382" s="1">
        <f t="shared" si="47"/>
        <v>0</v>
      </c>
      <c r="F382" s="31">
        <f t="shared" si="45"/>
        <v>14.6</v>
      </c>
      <c r="G382" s="31">
        <f t="shared" ca="1" si="41"/>
        <v>14.6</v>
      </c>
      <c r="H382" s="30">
        <f t="shared" ca="1" si="42"/>
        <v>0</v>
      </c>
      <c r="I382" s="31">
        <f t="shared" ca="1" si="43"/>
        <v>14.6</v>
      </c>
      <c r="Q382" s="80"/>
      <c r="R382" s="42"/>
      <c r="S382" s="90">
        <f t="shared" si="48"/>
        <v>32.40000000000019</v>
      </c>
      <c r="T382" s="42"/>
      <c r="U382" s="42"/>
      <c r="V382" s="42"/>
      <c r="W382" s="42"/>
      <c r="X382" s="81"/>
    </row>
    <row r="383" spans="2:24" x14ac:dyDescent="0.25">
      <c r="B383" s="2">
        <v>1</v>
      </c>
      <c r="C383" s="1">
        <f t="shared" si="46"/>
        <v>7.3529411764705657</v>
      </c>
      <c r="D383" s="1">
        <f t="shared" si="44"/>
        <v>1</v>
      </c>
      <c r="E383" s="1">
        <f t="shared" si="47"/>
        <v>0</v>
      </c>
      <c r="F383" s="31">
        <f t="shared" si="45"/>
        <v>14.6</v>
      </c>
      <c r="G383" s="31">
        <f t="shared" ca="1" si="41"/>
        <v>14.6</v>
      </c>
      <c r="H383" s="30">
        <f t="shared" ca="1" si="42"/>
        <v>0</v>
      </c>
      <c r="I383" s="31">
        <f t="shared" ca="1" si="43"/>
        <v>14.6</v>
      </c>
      <c r="Q383" s="80"/>
      <c r="R383" s="42"/>
      <c r="S383" s="90">
        <f t="shared" si="48"/>
        <v>32.500000000000192</v>
      </c>
      <c r="T383" s="42"/>
      <c r="U383" s="42"/>
      <c r="V383" s="42"/>
      <c r="W383" s="42"/>
      <c r="X383" s="81"/>
    </row>
    <row r="384" spans="2:24" x14ac:dyDescent="0.25">
      <c r="B384" s="2">
        <v>1</v>
      </c>
      <c r="C384" s="1">
        <f t="shared" si="46"/>
        <v>8.3529411764705657</v>
      </c>
      <c r="D384" s="1">
        <f t="shared" si="44"/>
        <v>1</v>
      </c>
      <c r="E384" s="1">
        <f t="shared" si="47"/>
        <v>0</v>
      </c>
      <c r="F384" s="31">
        <f t="shared" si="45"/>
        <v>14.6</v>
      </c>
      <c r="G384" s="31">
        <f t="shared" ca="1" si="41"/>
        <v>14.6</v>
      </c>
      <c r="H384" s="30">
        <f t="shared" ca="1" si="42"/>
        <v>0</v>
      </c>
      <c r="I384" s="31">
        <f t="shared" ca="1" si="43"/>
        <v>14.6</v>
      </c>
      <c r="Q384" s="80"/>
      <c r="R384" s="42"/>
      <c r="S384" s="90">
        <f t="shared" si="48"/>
        <v>32.600000000000193</v>
      </c>
      <c r="T384" s="42"/>
      <c r="U384" s="42"/>
      <c r="V384" s="42"/>
      <c r="W384" s="42"/>
      <c r="X384" s="81"/>
    </row>
    <row r="385" spans="2:24" x14ac:dyDescent="0.25">
      <c r="B385" s="2">
        <v>1</v>
      </c>
      <c r="C385" s="1">
        <f t="shared" si="46"/>
        <v>9.3529411764705657</v>
      </c>
      <c r="D385" s="1">
        <f t="shared" si="44"/>
        <v>1</v>
      </c>
      <c r="E385" s="1">
        <f t="shared" si="47"/>
        <v>0</v>
      </c>
      <c r="F385" s="31">
        <f t="shared" si="45"/>
        <v>14.6</v>
      </c>
      <c r="G385" s="31">
        <f t="shared" ca="1" si="41"/>
        <v>14.6</v>
      </c>
      <c r="H385" s="30">
        <f t="shared" ca="1" si="42"/>
        <v>0</v>
      </c>
      <c r="I385" s="31">
        <f t="shared" ca="1" si="43"/>
        <v>14.6</v>
      </c>
      <c r="Q385" s="80"/>
      <c r="R385" s="42"/>
      <c r="S385" s="90">
        <f t="shared" si="48"/>
        <v>32.700000000000195</v>
      </c>
      <c r="T385" s="42"/>
      <c r="U385" s="42"/>
      <c r="V385" s="42"/>
      <c r="W385" s="42"/>
      <c r="X385" s="81"/>
    </row>
    <row r="386" spans="2:24" x14ac:dyDescent="0.25">
      <c r="B386" s="2">
        <v>1</v>
      </c>
      <c r="C386" s="1">
        <f t="shared" si="46"/>
        <v>10.352941176470566</v>
      </c>
      <c r="D386" s="1">
        <f t="shared" si="44"/>
        <v>1</v>
      </c>
      <c r="E386" s="1">
        <f t="shared" si="47"/>
        <v>0</v>
      </c>
      <c r="F386" s="31">
        <f t="shared" si="45"/>
        <v>14.6</v>
      </c>
      <c r="G386" s="31">
        <f t="shared" ca="1" si="41"/>
        <v>14.6</v>
      </c>
      <c r="H386" s="30">
        <f t="shared" ca="1" si="42"/>
        <v>0</v>
      </c>
      <c r="I386" s="31">
        <f t="shared" ca="1" si="43"/>
        <v>14.6</v>
      </c>
      <c r="Q386" s="80"/>
      <c r="R386" s="42"/>
      <c r="S386" s="90">
        <f t="shared" si="48"/>
        <v>32.800000000000196</v>
      </c>
      <c r="T386" s="42"/>
      <c r="U386" s="42"/>
      <c r="V386" s="42"/>
      <c r="W386" s="42"/>
      <c r="X386" s="81"/>
    </row>
    <row r="387" spans="2:24" x14ac:dyDescent="0.25">
      <c r="B387" s="2">
        <v>1</v>
      </c>
      <c r="C387" s="1">
        <f t="shared" si="46"/>
        <v>11.352941176470566</v>
      </c>
      <c r="D387" s="1">
        <f t="shared" si="44"/>
        <v>1</v>
      </c>
      <c r="E387" s="1">
        <f t="shared" si="47"/>
        <v>0</v>
      </c>
      <c r="F387" s="31">
        <f t="shared" si="45"/>
        <v>14.6</v>
      </c>
      <c r="G387" s="31">
        <f t="shared" ca="1" si="41"/>
        <v>14.6</v>
      </c>
      <c r="H387" s="30">
        <f t="shared" ca="1" si="42"/>
        <v>0</v>
      </c>
      <c r="I387" s="31">
        <f t="shared" ca="1" si="43"/>
        <v>14.6</v>
      </c>
      <c r="Q387" s="80"/>
      <c r="R387" s="42"/>
      <c r="S387" s="90">
        <f t="shared" si="48"/>
        <v>32.900000000000198</v>
      </c>
      <c r="T387" s="42"/>
      <c r="U387" s="42"/>
      <c r="V387" s="42"/>
      <c r="W387" s="42"/>
      <c r="X387" s="81"/>
    </row>
    <row r="388" spans="2:24" x14ac:dyDescent="0.25">
      <c r="B388" s="2">
        <v>1</v>
      </c>
      <c r="C388" s="1">
        <f t="shared" si="46"/>
        <v>12.352941176470566</v>
      </c>
      <c r="D388" s="1">
        <f t="shared" si="44"/>
        <v>1</v>
      </c>
      <c r="E388" s="1">
        <f t="shared" si="47"/>
        <v>0</v>
      </c>
      <c r="F388" s="31">
        <f t="shared" si="45"/>
        <v>14.6</v>
      </c>
      <c r="G388" s="31">
        <f t="shared" ca="1" si="41"/>
        <v>14.6</v>
      </c>
      <c r="H388" s="30">
        <f t="shared" ca="1" si="42"/>
        <v>0</v>
      </c>
      <c r="I388" s="31">
        <f t="shared" ca="1" si="43"/>
        <v>14.6</v>
      </c>
      <c r="Q388" s="80"/>
      <c r="R388" s="42"/>
      <c r="S388" s="90">
        <f t="shared" si="48"/>
        <v>33.000000000000199</v>
      </c>
      <c r="T388" s="42"/>
      <c r="U388" s="42"/>
      <c r="V388" s="42"/>
      <c r="W388" s="42"/>
      <c r="X388" s="81"/>
    </row>
    <row r="389" spans="2:24" x14ac:dyDescent="0.25">
      <c r="B389" s="2">
        <v>1</v>
      </c>
      <c r="C389" s="1">
        <f t="shared" si="46"/>
        <v>13.352941176470566</v>
      </c>
      <c r="D389" s="1">
        <f t="shared" si="44"/>
        <v>1</v>
      </c>
      <c r="E389" s="1">
        <f t="shared" si="47"/>
        <v>0</v>
      </c>
      <c r="F389" s="31">
        <f t="shared" si="45"/>
        <v>14.6</v>
      </c>
      <c r="G389" s="31">
        <f t="shared" ca="1" si="41"/>
        <v>14.6</v>
      </c>
      <c r="H389" s="30">
        <f t="shared" ca="1" si="42"/>
        <v>0</v>
      </c>
      <c r="I389" s="31">
        <f t="shared" ca="1" si="43"/>
        <v>14.6</v>
      </c>
      <c r="Q389" s="80"/>
      <c r="R389" s="42"/>
      <c r="S389" s="90">
        <f t="shared" si="48"/>
        <v>33.1000000000002</v>
      </c>
      <c r="T389" s="42"/>
      <c r="U389" s="42"/>
      <c r="V389" s="42"/>
      <c r="W389" s="42"/>
      <c r="X389" s="81"/>
    </row>
    <row r="390" spans="2:24" x14ac:dyDescent="0.25">
      <c r="B390" s="2">
        <v>1</v>
      </c>
      <c r="C390" s="1">
        <f t="shared" si="46"/>
        <v>14.352941176470566</v>
      </c>
      <c r="D390" s="1">
        <f t="shared" si="44"/>
        <v>1</v>
      </c>
      <c r="E390" s="1">
        <f t="shared" si="47"/>
        <v>0</v>
      </c>
      <c r="F390" s="31">
        <f t="shared" si="45"/>
        <v>14.6</v>
      </c>
      <c r="G390" s="31">
        <f t="shared" ca="1" si="41"/>
        <v>14.6</v>
      </c>
      <c r="H390" s="30">
        <f t="shared" ca="1" si="42"/>
        <v>0</v>
      </c>
      <c r="I390" s="31">
        <f t="shared" ca="1" si="43"/>
        <v>14.6</v>
      </c>
      <c r="Q390" s="80"/>
      <c r="R390" s="42"/>
      <c r="S390" s="90">
        <f t="shared" si="48"/>
        <v>33.200000000000202</v>
      </c>
      <c r="T390" s="42"/>
      <c r="U390" s="42"/>
      <c r="V390" s="42"/>
      <c r="W390" s="42"/>
      <c r="X390" s="81"/>
    </row>
    <row r="391" spans="2:24" x14ac:dyDescent="0.25">
      <c r="B391" s="2">
        <v>1</v>
      </c>
      <c r="C391" s="1">
        <f t="shared" si="46"/>
        <v>15.352941176470566</v>
      </c>
      <c r="D391" s="1">
        <f t="shared" si="44"/>
        <v>1</v>
      </c>
      <c r="E391" s="1">
        <f t="shared" si="47"/>
        <v>0</v>
      </c>
      <c r="F391" s="31">
        <f t="shared" si="45"/>
        <v>14.6</v>
      </c>
      <c r="G391" s="31">
        <f t="shared" ca="1" si="41"/>
        <v>14.6</v>
      </c>
      <c r="H391" s="30">
        <f t="shared" ca="1" si="42"/>
        <v>0</v>
      </c>
      <c r="I391" s="31">
        <f t="shared" ca="1" si="43"/>
        <v>14.6</v>
      </c>
      <c r="Q391" s="80"/>
      <c r="R391" s="42"/>
      <c r="S391" s="90">
        <f t="shared" si="48"/>
        <v>33.300000000000203</v>
      </c>
      <c r="T391" s="42"/>
      <c r="U391" s="42"/>
      <c r="V391" s="42"/>
      <c r="W391" s="42"/>
      <c r="X391" s="81"/>
    </row>
    <row r="392" spans="2:24" x14ac:dyDescent="0.25">
      <c r="B392" s="2">
        <v>1</v>
      </c>
      <c r="C392" s="1">
        <f t="shared" si="46"/>
        <v>16.352941176470566</v>
      </c>
      <c r="D392" s="1">
        <f t="shared" si="44"/>
        <v>1</v>
      </c>
      <c r="E392" s="1">
        <f t="shared" si="47"/>
        <v>0</v>
      </c>
      <c r="F392" s="31">
        <f t="shared" si="45"/>
        <v>14.6</v>
      </c>
      <c r="G392" s="31">
        <f t="shared" ca="1" si="41"/>
        <v>14.6</v>
      </c>
      <c r="H392" s="30">
        <f t="shared" ca="1" si="42"/>
        <v>0</v>
      </c>
      <c r="I392" s="31">
        <f t="shared" ca="1" si="43"/>
        <v>14.6</v>
      </c>
      <c r="Q392" s="80"/>
      <c r="R392" s="42"/>
      <c r="S392" s="90">
        <f t="shared" si="48"/>
        <v>33.400000000000205</v>
      </c>
      <c r="T392" s="42"/>
      <c r="U392" s="42"/>
      <c r="V392" s="42"/>
      <c r="W392" s="42"/>
      <c r="X392" s="81"/>
    </row>
    <row r="393" spans="2:24" x14ac:dyDescent="0.25">
      <c r="B393" s="2">
        <v>1</v>
      </c>
      <c r="C393" s="1">
        <f t="shared" si="46"/>
        <v>17.352941176470566</v>
      </c>
      <c r="D393" s="1">
        <f t="shared" si="44"/>
        <v>1</v>
      </c>
      <c r="E393" s="1">
        <f t="shared" si="47"/>
        <v>0</v>
      </c>
      <c r="F393" s="31">
        <f t="shared" si="45"/>
        <v>14.6</v>
      </c>
      <c r="G393" s="31">
        <f t="shared" ca="1" si="41"/>
        <v>14.6</v>
      </c>
      <c r="H393" s="30">
        <f t="shared" ca="1" si="42"/>
        <v>0</v>
      </c>
      <c r="I393" s="31">
        <f t="shared" ca="1" si="43"/>
        <v>14.6</v>
      </c>
      <c r="Q393" s="80"/>
      <c r="R393" s="42"/>
      <c r="S393" s="90">
        <f t="shared" si="48"/>
        <v>33.500000000000206</v>
      </c>
      <c r="T393" s="42"/>
      <c r="U393" s="42"/>
      <c r="V393" s="42"/>
      <c r="W393" s="42"/>
      <c r="X393" s="81"/>
    </row>
    <row r="394" spans="2:24" x14ac:dyDescent="0.25">
      <c r="B394" s="2">
        <v>1</v>
      </c>
      <c r="C394" s="1">
        <f t="shared" si="46"/>
        <v>18.352941176470566</v>
      </c>
      <c r="D394" s="1">
        <f t="shared" si="44"/>
        <v>1</v>
      </c>
      <c r="E394" s="1">
        <f t="shared" si="47"/>
        <v>0</v>
      </c>
      <c r="F394" s="31">
        <f t="shared" si="45"/>
        <v>14.6</v>
      </c>
      <c r="G394" s="31">
        <f t="shared" ca="1" si="41"/>
        <v>14.6</v>
      </c>
      <c r="H394" s="30">
        <f t="shared" ca="1" si="42"/>
        <v>0</v>
      </c>
      <c r="I394" s="31">
        <f t="shared" ca="1" si="43"/>
        <v>14.6</v>
      </c>
      <c r="Q394" s="80"/>
      <c r="R394" s="42"/>
      <c r="S394" s="90">
        <f t="shared" si="48"/>
        <v>33.600000000000207</v>
      </c>
      <c r="T394" s="42"/>
      <c r="U394" s="42"/>
      <c r="V394" s="42"/>
      <c r="W394" s="42"/>
      <c r="X394" s="81"/>
    </row>
    <row r="395" spans="2:24" x14ac:dyDescent="0.25">
      <c r="B395" s="2">
        <v>1</v>
      </c>
      <c r="C395" s="1">
        <f t="shared" si="46"/>
        <v>19.352941176470566</v>
      </c>
      <c r="D395" s="1">
        <f t="shared" si="44"/>
        <v>1</v>
      </c>
      <c r="E395" s="1">
        <f t="shared" si="47"/>
        <v>0</v>
      </c>
      <c r="F395" s="31">
        <f t="shared" si="45"/>
        <v>14.6</v>
      </c>
      <c r="G395" s="31">
        <f t="shared" ref="G395:G458" ca="1" si="49">IF(D395=1, AVERAGE(OFFSET(F395,-$L$27,0,$L$27,1)),0)</f>
        <v>14.6</v>
      </c>
      <c r="H395" s="30">
        <f t="shared" ref="H395:H458" ca="1" si="50">IF(D395=0, AVERAGE(OFFSET(F395,-$L$28,0,$L$28,1)),0)</f>
        <v>0</v>
      </c>
      <c r="I395" s="31">
        <f t="shared" ref="I395:I458" ca="1" si="51">G395+H395</f>
        <v>14.6</v>
      </c>
      <c r="Q395" s="80"/>
      <c r="R395" s="42"/>
      <c r="S395" s="90">
        <f t="shared" si="48"/>
        <v>33.700000000000209</v>
      </c>
      <c r="T395" s="42"/>
      <c r="U395" s="42"/>
      <c r="V395" s="42"/>
      <c r="W395" s="42"/>
      <c r="X395" s="81"/>
    </row>
    <row r="396" spans="2:24" x14ac:dyDescent="0.25">
      <c r="B396" s="2">
        <v>1</v>
      </c>
      <c r="C396" s="1">
        <f t="shared" si="46"/>
        <v>20.352941176470566</v>
      </c>
      <c r="D396" s="1">
        <f t="shared" si="44"/>
        <v>1</v>
      </c>
      <c r="E396" s="1">
        <f t="shared" si="47"/>
        <v>0</v>
      </c>
      <c r="F396" s="31">
        <f t="shared" si="45"/>
        <v>14.6</v>
      </c>
      <c r="G396" s="31">
        <f t="shared" ca="1" si="49"/>
        <v>14.6</v>
      </c>
      <c r="H396" s="30">
        <f t="shared" ca="1" si="50"/>
        <v>0</v>
      </c>
      <c r="I396" s="31">
        <f t="shared" ca="1" si="51"/>
        <v>14.6</v>
      </c>
      <c r="Q396" s="80"/>
      <c r="R396" s="42"/>
      <c r="S396" s="90">
        <f t="shared" si="48"/>
        <v>33.80000000000021</v>
      </c>
      <c r="T396" s="42"/>
      <c r="U396" s="42"/>
      <c r="V396" s="42"/>
      <c r="W396" s="42"/>
      <c r="X396" s="81"/>
    </row>
    <row r="397" spans="2:24" x14ac:dyDescent="0.25">
      <c r="B397" s="2">
        <v>1</v>
      </c>
      <c r="C397" s="1">
        <f t="shared" si="46"/>
        <v>21.352941176470566</v>
      </c>
      <c r="D397" s="1">
        <f t="shared" si="44"/>
        <v>1</v>
      </c>
      <c r="E397" s="1">
        <f t="shared" si="47"/>
        <v>0</v>
      </c>
      <c r="F397" s="31">
        <f t="shared" si="45"/>
        <v>14.6</v>
      </c>
      <c r="G397" s="31">
        <f t="shared" ca="1" si="49"/>
        <v>14.6</v>
      </c>
      <c r="H397" s="30">
        <f t="shared" ca="1" si="50"/>
        <v>0</v>
      </c>
      <c r="I397" s="31">
        <f t="shared" ca="1" si="51"/>
        <v>14.6</v>
      </c>
      <c r="Q397" s="80"/>
      <c r="R397" s="42"/>
      <c r="S397" s="90">
        <f t="shared" si="48"/>
        <v>33.900000000000212</v>
      </c>
      <c r="T397" s="42"/>
      <c r="U397" s="42"/>
      <c r="V397" s="42"/>
      <c r="W397" s="42"/>
      <c r="X397" s="81"/>
    </row>
    <row r="398" spans="2:24" x14ac:dyDescent="0.25">
      <c r="B398" s="2">
        <v>1</v>
      </c>
      <c r="C398" s="1">
        <f t="shared" si="46"/>
        <v>22.352941176470566</v>
      </c>
      <c r="D398" s="1">
        <f t="shared" si="44"/>
        <v>1</v>
      </c>
      <c r="E398" s="1">
        <f t="shared" si="47"/>
        <v>0</v>
      </c>
      <c r="F398" s="31">
        <f t="shared" si="45"/>
        <v>14.6</v>
      </c>
      <c r="G398" s="31">
        <f t="shared" ca="1" si="49"/>
        <v>14.6</v>
      </c>
      <c r="H398" s="30">
        <f t="shared" ca="1" si="50"/>
        <v>0</v>
      </c>
      <c r="I398" s="31">
        <f t="shared" ca="1" si="51"/>
        <v>14.6</v>
      </c>
      <c r="Q398" s="80"/>
      <c r="R398" s="42"/>
      <c r="S398" s="90">
        <f t="shared" si="48"/>
        <v>34.000000000000213</v>
      </c>
      <c r="T398" s="42"/>
      <c r="U398" s="42"/>
      <c r="V398" s="42"/>
      <c r="W398" s="42"/>
      <c r="X398" s="81"/>
    </row>
    <row r="399" spans="2:24" x14ac:dyDescent="0.25">
      <c r="B399" s="2">
        <v>1</v>
      </c>
      <c r="C399" s="1">
        <f t="shared" si="46"/>
        <v>23.352941176470566</v>
      </c>
      <c r="D399" s="1">
        <f t="shared" si="44"/>
        <v>0</v>
      </c>
      <c r="E399" s="1">
        <f t="shared" si="47"/>
        <v>1</v>
      </c>
      <c r="F399" s="31">
        <f t="shared" si="45"/>
        <v>6.4</v>
      </c>
      <c r="G399" s="31">
        <f t="shared" ca="1" si="49"/>
        <v>0</v>
      </c>
      <c r="H399" s="30">
        <f t="shared" ca="1" si="50"/>
        <v>14.6</v>
      </c>
      <c r="I399" s="31">
        <f t="shared" ca="1" si="51"/>
        <v>14.6</v>
      </c>
      <c r="Q399" s="80"/>
      <c r="R399" s="42"/>
      <c r="S399" s="90">
        <f t="shared" si="48"/>
        <v>34.100000000000215</v>
      </c>
      <c r="T399" s="42"/>
      <c r="U399" s="42"/>
      <c r="V399" s="42"/>
      <c r="W399" s="42"/>
      <c r="X399" s="81"/>
    </row>
    <row r="400" spans="2:24" x14ac:dyDescent="0.25">
      <c r="B400" s="2">
        <v>1</v>
      </c>
      <c r="C400" s="1">
        <f t="shared" si="46"/>
        <v>24.352941176470566</v>
      </c>
      <c r="D400" s="1">
        <f t="shared" si="44"/>
        <v>0</v>
      </c>
      <c r="E400" s="1">
        <f t="shared" si="47"/>
        <v>1</v>
      </c>
      <c r="F400" s="31">
        <f t="shared" si="45"/>
        <v>6.4</v>
      </c>
      <c r="G400" s="31">
        <f t="shared" ca="1" si="49"/>
        <v>0</v>
      </c>
      <c r="H400" s="30">
        <f t="shared" ca="1" si="50"/>
        <v>6.4</v>
      </c>
      <c r="I400" s="31">
        <f t="shared" ca="1" si="51"/>
        <v>6.4</v>
      </c>
      <c r="Q400" s="80"/>
      <c r="R400" s="42"/>
      <c r="S400" s="90">
        <f t="shared" si="48"/>
        <v>34.200000000000216</v>
      </c>
      <c r="T400" s="42"/>
      <c r="U400" s="42"/>
      <c r="V400" s="42"/>
      <c r="W400" s="42"/>
      <c r="X400" s="81"/>
    </row>
    <row r="401" spans="2:24" x14ac:dyDescent="0.25">
      <c r="B401" s="2">
        <v>1</v>
      </c>
      <c r="C401" s="1">
        <f t="shared" si="46"/>
        <v>25.352941176470566</v>
      </c>
      <c r="D401" s="1">
        <f t="shared" si="44"/>
        <v>0</v>
      </c>
      <c r="E401" s="1">
        <f t="shared" si="47"/>
        <v>1</v>
      </c>
      <c r="F401" s="31">
        <f t="shared" si="45"/>
        <v>6.4</v>
      </c>
      <c r="G401" s="31">
        <f t="shared" ca="1" si="49"/>
        <v>0</v>
      </c>
      <c r="H401" s="30">
        <f t="shared" ca="1" si="50"/>
        <v>6.4</v>
      </c>
      <c r="I401" s="31">
        <f t="shared" ca="1" si="51"/>
        <v>6.4</v>
      </c>
      <c r="Q401" s="80"/>
      <c r="R401" s="42"/>
      <c r="S401" s="90">
        <f t="shared" si="48"/>
        <v>34.300000000000217</v>
      </c>
      <c r="T401" s="42"/>
      <c r="U401" s="42"/>
      <c r="V401" s="42"/>
      <c r="W401" s="42"/>
      <c r="X401" s="81"/>
    </row>
    <row r="402" spans="2:24" x14ac:dyDescent="0.25">
      <c r="B402" s="2">
        <v>1</v>
      </c>
      <c r="C402" s="1">
        <f t="shared" si="46"/>
        <v>26.352941176470566</v>
      </c>
      <c r="D402" s="1">
        <f t="shared" si="44"/>
        <v>0</v>
      </c>
      <c r="E402" s="1">
        <f t="shared" si="47"/>
        <v>1</v>
      </c>
      <c r="F402" s="31">
        <f t="shared" si="45"/>
        <v>6.4</v>
      </c>
      <c r="G402" s="31">
        <f t="shared" ca="1" si="49"/>
        <v>0</v>
      </c>
      <c r="H402" s="30">
        <f t="shared" ca="1" si="50"/>
        <v>6.4</v>
      </c>
      <c r="I402" s="31">
        <f t="shared" ca="1" si="51"/>
        <v>6.4</v>
      </c>
      <c r="Q402" s="80"/>
      <c r="R402" s="42"/>
      <c r="S402" s="90">
        <f t="shared" si="48"/>
        <v>34.400000000000219</v>
      </c>
      <c r="T402" s="42"/>
      <c r="U402" s="42"/>
      <c r="V402" s="42"/>
      <c r="W402" s="42"/>
      <c r="X402" s="81"/>
    </row>
    <row r="403" spans="2:24" x14ac:dyDescent="0.25">
      <c r="B403" s="2">
        <v>1</v>
      </c>
      <c r="C403" s="1">
        <f t="shared" si="46"/>
        <v>27.352941176470566</v>
      </c>
      <c r="D403" s="1">
        <f t="shared" si="44"/>
        <v>0</v>
      </c>
      <c r="E403" s="1">
        <f t="shared" si="47"/>
        <v>1</v>
      </c>
      <c r="F403" s="31">
        <f t="shared" si="45"/>
        <v>6.4</v>
      </c>
      <c r="G403" s="31">
        <f t="shared" ca="1" si="49"/>
        <v>0</v>
      </c>
      <c r="H403" s="30">
        <f t="shared" ca="1" si="50"/>
        <v>6.4</v>
      </c>
      <c r="I403" s="31">
        <f t="shared" ca="1" si="51"/>
        <v>6.4</v>
      </c>
      <c r="Q403" s="80"/>
      <c r="R403" s="42"/>
      <c r="S403" s="90">
        <f t="shared" si="48"/>
        <v>34.50000000000022</v>
      </c>
      <c r="T403" s="42"/>
      <c r="U403" s="42"/>
      <c r="V403" s="42"/>
      <c r="W403" s="42"/>
      <c r="X403" s="81"/>
    </row>
    <row r="404" spans="2:24" x14ac:dyDescent="0.25">
      <c r="B404" s="2">
        <v>1</v>
      </c>
      <c r="C404" s="1">
        <f t="shared" si="46"/>
        <v>28.352941176470566</v>
      </c>
      <c r="D404" s="1">
        <f t="shared" si="44"/>
        <v>0</v>
      </c>
      <c r="E404" s="1">
        <f t="shared" si="47"/>
        <v>1</v>
      </c>
      <c r="F404" s="31">
        <f t="shared" si="45"/>
        <v>6.4</v>
      </c>
      <c r="G404" s="31">
        <f t="shared" ca="1" si="49"/>
        <v>0</v>
      </c>
      <c r="H404" s="30">
        <f t="shared" ca="1" si="50"/>
        <v>6.4</v>
      </c>
      <c r="I404" s="31">
        <f t="shared" ca="1" si="51"/>
        <v>6.4</v>
      </c>
      <c r="Q404" s="80"/>
      <c r="R404" s="42"/>
      <c r="S404" s="90">
        <f t="shared" si="48"/>
        <v>34.600000000000222</v>
      </c>
      <c r="T404" s="42"/>
      <c r="U404" s="42"/>
      <c r="V404" s="42"/>
      <c r="W404" s="42"/>
      <c r="X404" s="81"/>
    </row>
    <row r="405" spans="2:24" x14ac:dyDescent="0.25">
      <c r="B405" s="2">
        <v>1</v>
      </c>
      <c r="C405" s="1">
        <f t="shared" si="46"/>
        <v>29.352941176470566</v>
      </c>
      <c r="D405" s="1">
        <f t="shared" si="44"/>
        <v>0</v>
      </c>
      <c r="E405" s="1">
        <f t="shared" si="47"/>
        <v>1</v>
      </c>
      <c r="F405" s="31">
        <f t="shared" si="45"/>
        <v>6.4</v>
      </c>
      <c r="G405" s="31">
        <f t="shared" ca="1" si="49"/>
        <v>0</v>
      </c>
      <c r="H405" s="30">
        <f t="shared" ca="1" si="50"/>
        <v>6.4</v>
      </c>
      <c r="I405" s="31">
        <f t="shared" ca="1" si="51"/>
        <v>6.4</v>
      </c>
      <c r="Q405" s="80"/>
      <c r="R405" s="42"/>
      <c r="S405" s="90">
        <f t="shared" si="48"/>
        <v>34.700000000000223</v>
      </c>
      <c r="T405" s="42"/>
      <c r="U405" s="42"/>
      <c r="V405" s="42"/>
      <c r="W405" s="42"/>
      <c r="X405" s="81"/>
    </row>
    <row r="406" spans="2:24" x14ac:dyDescent="0.25">
      <c r="B406" s="2">
        <v>1</v>
      </c>
      <c r="C406" s="1">
        <f t="shared" si="46"/>
        <v>30.352941176470566</v>
      </c>
      <c r="D406" s="1">
        <f t="shared" si="44"/>
        <v>0</v>
      </c>
      <c r="E406" s="1">
        <f t="shared" si="47"/>
        <v>1</v>
      </c>
      <c r="F406" s="31">
        <f t="shared" si="45"/>
        <v>6.4</v>
      </c>
      <c r="G406" s="31">
        <f t="shared" ca="1" si="49"/>
        <v>0</v>
      </c>
      <c r="H406" s="30">
        <f t="shared" ca="1" si="50"/>
        <v>6.4</v>
      </c>
      <c r="I406" s="31">
        <f t="shared" ca="1" si="51"/>
        <v>6.4</v>
      </c>
      <c r="Q406" s="80"/>
      <c r="R406" s="42"/>
      <c r="S406" s="90">
        <f t="shared" si="48"/>
        <v>34.800000000000225</v>
      </c>
      <c r="T406" s="42"/>
      <c r="U406" s="42"/>
      <c r="V406" s="42"/>
      <c r="W406" s="42"/>
      <c r="X406" s="81"/>
    </row>
    <row r="407" spans="2:24" x14ac:dyDescent="0.25">
      <c r="B407" s="2">
        <v>1</v>
      </c>
      <c r="C407" s="1">
        <f t="shared" si="46"/>
        <v>31.352941176470566</v>
      </c>
      <c r="D407" s="1">
        <f t="shared" si="44"/>
        <v>0</v>
      </c>
      <c r="E407" s="1">
        <f t="shared" si="47"/>
        <v>1</v>
      </c>
      <c r="F407" s="31">
        <f t="shared" si="45"/>
        <v>6.4</v>
      </c>
      <c r="G407" s="31">
        <f t="shared" ca="1" si="49"/>
        <v>0</v>
      </c>
      <c r="H407" s="30">
        <f t="shared" ca="1" si="50"/>
        <v>6.4</v>
      </c>
      <c r="I407" s="31">
        <f t="shared" ca="1" si="51"/>
        <v>6.4</v>
      </c>
      <c r="Q407" s="80"/>
      <c r="R407" s="42"/>
      <c r="S407" s="90">
        <f t="shared" si="48"/>
        <v>34.900000000000226</v>
      </c>
      <c r="T407" s="42"/>
      <c r="U407" s="42"/>
      <c r="V407" s="42"/>
      <c r="W407" s="42"/>
      <c r="X407" s="81"/>
    </row>
    <row r="408" spans="2:24" x14ac:dyDescent="0.25">
      <c r="B408" s="2">
        <v>1</v>
      </c>
      <c r="C408" s="1">
        <f t="shared" si="46"/>
        <v>32.352941176470566</v>
      </c>
      <c r="D408" s="1">
        <f t="shared" si="44"/>
        <v>0</v>
      </c>
      <c r="E408" s="1">
        <f t="shared" si="47"/>
        <v>1</v>
      </c>
      <c r="F408" s="31">
        <f t="shared" si="45"/>
        <v>6.4</v>
      </c>
      <c r="G408" s="31">
        <f t="shared" ca="1" si="49"/>
        <v>0</v>
      </c>
      <c r="H408" s="30">
        <f t="shared" ca="1" si="50"/>
        <v>6.4</v>
      </c>
      <c r="I408" s="31">
        <f t="shared" ca="1" si="51"/>
        <v>6.4</v>
      </c>
      <c r="Q408" s="80"/>
      <c r="R408" s="42"/>
      <c r="S408" s="90">
        <f t="shared" si="48"/>
        <v>35.000000000000227</v>
      </c>
      <c r="T408" s="42"/>
      <c r="U408" s="42"/>
      <c r="V408" s="42"/>
      <c r="W408" s="42"/>
      <c r="X408" s="81"/>
    </row>
    <row r="409" spans="2:24" x14ac:dyDescent="0.25">
      <c r="B409" s="2">
        <v>1</v>
      </c>
      <c r="C409" s="1">
        <f t="shared" si="46"/>
        <v>33.352941176470566</v>
      </c>
      <c r="D409" s="1">
        <f t="shared" si="44"/>
        <v>0</v>
      </c>
      <c r="E409" s="1">
        <f t="shared" si="47"/>
        <v>1</v>
      </c>
      <c r="F409" s="31">
        <f t="shared" si="45"/>
        <v>6.4</v>
      </c>
      <c r="G409" s="31">
        <f t="shared" ca="1" si="49"/>
        <v>0</v>
      </c>
      <c r="H409" s="30">
        <f t="shared" ca="1" si="50"/>
        <v>6.4</v>
      </c>
      <c r="I409" s="31">
        <f t="shared" ca="1" si="51"/>
        <v>6.4</v>
      </c>
      <c r="Q409" s="80"/>
      <c r="R409" s="42"/>
      <c r="S409" s="90">
        <f t="shared" si="48"/>
        <v>35.100000000000229</v>
      </c>
      <c r="T409" s="42"/>
      <c r="U409" s="42"/>
      <c r="V409" s="42"/>
      <c r="W409" s="42"/>
      <c r="X409" s="81"/>
    </row>
    <row r="410" spans="2:24" x14ac:dyDescent="0.25">
      <c r="B410" s="2">
        <v>1</v>
      </c>
      <c r="C410" s="1">
        <f t="shared" si="46"/>
        <v>34.352941176470566</v>
      </c>
      <c r="D410" s="1">
        <f t="shared" si="44"/>
        <v>0</v>
      </c>
      <c r="E410" s="1">
        <f t="shared" si="47"/>
        <v>1</v>
      </c>
      <c r="F410" s="31">
        <f t="shared" si="45"/>
        <v>6.4</v>
      </c>
      <c r="G410" s="31">
        <f t="shared" ca="1" si="49"/>
        <v>0</v>
      </c>
      <c r="H410" s="30">
        <f t="shared" ca="1" si="50"/>
        <v>6.4</v>
      </c>
      <c r="I410" s="31">
        <f t="shared" ca="1" si="51"/>
        <v>6.4</v>
      </c>
      <c r="Q410" s="80"/>
      <c r="R410" s="42"/>
      <c r="S410" s="90">
        <f t="shared" si="48"/>
        <v>35.20000000000023</v>
      </c>
      <c r="T410" s="42"/>
      <c r="U410" s="42"/>
      <c r="V410" s="42"/>
      <c r="W410" s="42"/>
      <c r="X410" s="81"/>
    </row>
    <row r="411" spans="2:24" x14ac:dyDescent="0.25">
      <c r="B411" s="2">
        <v>1</v>
      </c>
      <c r="C411" s="1">
        <f t="shared" si="46"/>
        <v>5.8823529411739628E-2</v>
      </c>
      <c r="D411" s="1">
        <f t="shared" si="44"/>
        <v>1</v>
      </c>
      <c r="E411" s="1">
        <f t="shared" si="47"/>
        <v>0</v>
      </c>
      <c r="F411" s="31">
        <f t="shared" si="45"/>
        <v>14.6</v>
      </c>
      <c r="G411" s="31">
        <f t="shared" ca="1" si="49"/>
        <v>6.4</v>
      </c>
      <c r="H411" s="30">
        <f t="shared" ca="1" si="50"/>
        <v>0</v>
      </c>
      <c r="I411" s="31">
        <f t="shared" ca="1" si="51"/>
        <v>6.4</v>
      </c>
      <c r="Q411" s="80"/>
      <c r="R411" s="42"/>
      <c r="S411" s="90">
        <f t="shared" si="48"/>
        <v>35.300000000000232</v>
      </c>
      <c r="T411" s="42"/>
      <c r="U411" s="42"/>
      <c r="V411" s="42"/>
      <c r="W411" s="42"/>
      <c r="X411" s="81"/>
    </row>
    <row r="412" spans="2:24" x14ac:dyDescent="0.25">
      <c r="B412" s="2">
        <v>1</v>
      </c>
      <c r="C412" s="1">
        <f t="shared" si="46"/>
        <v>1.0588235294117396</v>
      </c>
      <c r="D412" s="1">
        <f t="shared" si="44"/>
        <v>1</v>
      </c>
      <c r="E412" s="1">
        <f t="shared" si="47"/>
        <v>0</v>
      </c>
      <c r="F412" s="31">
        <f t="shared" si="45"/>
        <v>14.6</v>
      </c>
      <c r="G412" s="31">
        <f t="shared" ca="1" si="49"/>
        <v>8.4500000000000011</v>
      </c>
      <c r="H412" s="30">
        <f t="shared" ca="1" si="50"/>
        <v>0</v>
      </c>
      <c r="I412" s="31">
        <f t="shared" ca="1" si="51"/>
        <v>8.4500000000000011</v>
      </c>
      <c r="Q412" s="80"/>
      <c r="R412" s="42"/>
      <c r="S412" s="90">
        <f t="shared" si="48"/>
        <v>35.400000000000233</v>
      </c>
      <c r="T412" s="42"/>
      <c r="U412" s="42"/>
      <c r="V412" s="42"/>
      <c r="W412" s="42"/>
      <c r="X412" s="81"/>
    </row>
    <row r="413" spans="2:24" x14ac:dyDescent="0.25">
      <c r="B413" s="2">
        <v>1</v>
      </c>
      <c r="C413" s="1">
        <f t="shared" si="46"/>
        <v>2.0588235294117396</v>
      </c>
      <c r="D413" s="1">
        <f t="shared" si="44"/>
        <v>1</v>
      </c>
      <c r="E413" s="1">
        <f t="shared" si="47"/>
        <v>0</v>
      </c>
      <c r="F413" s="31">
        <f t="shared" si="45"/>
        <v>14.6</v>
      </c>
      <c r="G413" s="31">
        <f t="shared" ca="1" si="49"/>
        <v>10.5</v>
      </c>
      <c r="H413" s="30">
        <f t="shared" ca="1" si="50"/>
        <v>0</v>
      </c>
      <c r="I413" s="31">
        <f t="shared" ca="1" si="51"/>
        <v>10.5</v>
      </c>
      <c r="Q413" s="80"/>
      <c r="R413" s="42"/>
      <c r="S413" s="90">
        <f t="shared" si="48"/>
        <v>35.500000000000234</v>
      </c>
      <c r="T413" s="42"/>
      <c r="U413" s="42"/>
      <c r="V413" s="42"/>
      <c r="W413" s="42"/>
      <c r="X413" s="81"/>
    </row>
    <row r="414" spans="2:24" x14ac:dyDescent="0.25">
      <c r="B414" s="2">
        <v>1</v>
      </c>
      <c r="C414" s="1">
        <f t="shared" si="46"/>
        <v>3.0588235294117396</v>
      </c>
      <c r="D414" s="1">
        <f t="shared" si="44"/>
        <v>1</v>
      </c>
      <c r="E414" s="1">
        <f t="shared" si="47"/>
        <v>0</v>
      </c>
      <c r="F414" s="31">
        <f t="shared" si="45"/>
        <v>14.6</v>
      </c>
      <c r="G414" s="31">
        <f t="shared" ca="1" si="49"/>
        <v>12.55</v>
      </c>
      <c r="H414" s="30">
        <f t="shared" ca="1" si="50"/>
        <v>0</v>
      </c>
      <c r="I414" s="31">
        <f t="shared" ca="1" si="51"/>
        <v>12.55</v>
      </c>
      <c r="Q414" s="80"/>
      <c r="R414" s="42"/>
      <c r="S414" s="90">
        <f t="shared" si="48"/>
        <v>35.600000000000236</v>
      </c>
      <c r="T414" s="42"/>
      <c r="U414" s="42"/>
      <c r="V414" s="42"/>
      <c r="W414" s="42"/>
      <c r="X414" s="81"/>
    </row>
    <row r="415" spans="2:24" x14ac:dyDescent="0.25">
      <c r="B415" s="2">
        <v>1</v>
      </c>
      <c r="C415" s="1">
        <f t="shared" si="46"/>
        <v>4.0588235294117396</v>
      </c>
      <c r="D415" s="1">
        <f t="shared" si="44"/>
        <v>1</v>
      </c>
      <c r="E415" s="1">
        <f t="shared" si="47"/>
        <v>0</v>
      </c>
      <c r="F415" s="31">
        <f t="shared" si="45"/>
        <v>14.6</v>
      </c>
      <c r="G415" s="31">
        <f t="shared" ca="1" si="49"/>
        <v>14.6</v>
      </c>
      <c r="H415" s="30">
        <f t="shared" ca="1" si="50"/>
        <v>0</v>
      </c>
      <c r="I415" s="31">
        <f t="shared" ca="1" si="51"/>
        <v>14.6</v>
      </c>
      <c r="Q415" s="80"/>
      <c r="R415" s="42"/>
      <c r="S415" s="90">
        <f t="shared" si="48"/>
        <v>35.700000000000237</v>
      </c>
      <c r="T415" s="42"/>
      <c r="U415" s="42"/>
      <c r="V415" s="42"/>
      <c r="W415" s="42"/>
      <c r="X415" s="81"/>
    </row>
    <row r="416" spans="2:24" x14ac:dyDescent="0.25">
      <c r="B416" s="2">
        <v>1</v>
      </c>
      <c r="C416" s="1">
        <f t="shared" si="46"/>
        <v>5.0588235294117396</v>
      </c>
      <c r="D416" s="1">
        <f t="shared" si="44"/>
        <v>1</v>
      </c>
      <c r="E416" s="1">
        <f t="shared" si="47"/>
        <v>0</v>
      </c>
      <c r="F416" s="31">
        <f t="shared" si="45"/>
        <v>14.6</v>
      </c>
      <c r="G416" s="31">
        <f t="shared" ca="1" si="49"/>
        <v>14.6</v>
      </c>
      <c r="H416" s="30">
        <f t="shared" ca="1" si="50"/>
        <v>0</v>
      </c>
      <c r="I416" s="31">
        <f t="shared" ca="1" si="51"/>
        <v>14.6</v>
      </c>
      <c r="Q416" s="80"/>
      <c r="R416" s="42"/>
      <c r="S416" s="90">
        <f t="shared" si="48"/>
        <v>35.800000000000239</v>
      </c>
      <c r="T416" s="42"/>
      <c r="U416" s="42"/>
      <c r="V416" s="42"/>
      <c r="W416" s="42"/>
      <c r="X416" s="81"/>
    </row>
    <row r="417" spans="2:24" x14ac:dyDescent="0.25">
      <c r="B417" s="2">
        <v>1</v>
      </c>
      <c r="C417" s="1">
        <f t="shared" si="46"/>
        <v>6.0588235294117396</v>
      </c>
      <c r="D417" s="1">
        <f t="shared" si="44"/>
        <v>1</v>
      </c>
      <c r="E417" s="1">
        <f t="shared" si="47"/>
        <v>0</v>
      </c>
      <c r="F417" s="31">
        <f t="shared" si="45"/>
        <v>14.6</v>
      </c>
      <c r="G417" s="31">
        <f t="shared" ca="1" si="49"/>
        <v>14.6</v>
      </c>
      <c r="H417" s="30">
        <f t="shared" ca="1" si="50"/>
        <v>0</v>
      </c>
      <c r="I417" s="31">
        <f t="shared" ca="1" si="51"/>
        <v>14.6</v>
      </c>
      <c r="Q417" s="80"/>
      <c r="R417" s="42"/>
      <c r="S417" s="90">
        <f t="shared" si="48"/>
        <v>35.90000000000024</v>
      </c>
      <c r="T417" s="42"/>
      <c r="U417" s="42"/>
      <c r="V417" s="42"/>
      <c r="W417" s="42"/>
      <c r="X417" s="81"/>
    </row>
    <row r="418" spans="2:24" x14ac:dyDescent="0.25">
      <c r="B418" s="2">
        <v>1</v>
      </c>
      <c r="C418" s="1">
        <f t="shared" si="46"/>
        <v>7.0588235294117396</v>
      </c>
      <c r="D418" s="1">
        <f t="shared" si="44"/>
        <v>1</v>
      </c>
      <c r="E418" s="1">
        <f t="shared" si="47"/>
        <v>0</v>
      </c>
      <c r="F418" s="31">
        <f t="shared" si="45"/>
        <v>14.6</v>
      </c>
      <c r="G418" s="31">
        <f t="shared" ca="1" si="49"/>
        <v>14.6</v>
      </c>
      <c r="H418" s="30">
        <f t="shared" ca="1" si="50"/>
        <v>0</v>
      </c>
      <c r="I418" s="31">
        <f t="shared" ca="1" si="51"/>
        <v>14.6</v>
      </c>
      <c r="Q418" s="80"/>
      <c r="R418" s="42"/>
      <c r="S418" s="90">
        <f t="shared" si="48"/>
        <v>36.000000000000242</v>
      </c>
      <c r="T418" s="42"/>
      <c r="U418" s="42"/>
      <c r="V418" s="42"/>
      <c r="W418" s="42"/>
      <c r="X418" s="81"/>
    </row>
    <row r="419" spans="2:24" x14ac:dyDescent="0.25">
      <c r="B419" s="2">
        <v>1</v>
      </c>
      <c r="C419" s="1">
        <f t="shared" si="46"/>
        <v>8.0588235294117396</v>
      </c>
      <c r="D419" s="1">
        <f t="shared" si="44"/>
        <v>1</v>
      </c>
      <c r="E419" s="1">
        <f t="shared" si="47"/>
        <v>0</v>
      </c>
      <c r="F419" s="31">
        <f t="shared" si="45"/>
        <v>14.6</v>
      </c>
      <c r="G419" s="31">
        <f t="shared" ca="1" si="49"/>
        <v>14.6</v>
      </c>
      <c r="H419" s="30">
        <f t="shared" ca="1" si="50"/>
        <v>0</v>
      </c>
      <c r="I419" s="31">
        <f t="shared" ca="1" si="51"/>
        <v>14.6</v>
      </c>
      <c r="Q419" s="80"/>
      <c r="R419" s="42"/>
      <c r="S419" s="90">
        <f t="shared" si="48"/>
        <v>36.100000000000243</v>
      </c>
      <c r="T419" s="42"/>
      <c r="U419" s="42"/>
      <c r="V419" s="42"/>
      <c r="W419" s="42"/>
      <c r="X419" s="81"/>
    </row>
    <row r="420" spans="2:24" x14ac:dyDescent="0.25">
      <c r="B420" s="2">
        <v>1</v>
      </c>
      <c r="C420" s="1">
        <f t="shared" si="46"/>
        <v>9.0588235294117396</v>
      </c>
      <c r="D420" s="1">
        <f t="shared" si="44"/>
        <v>1</v>
      </c>
      <c r="E420" s="1">
        <f t="shared" si="47"/>
        <v>0</v>
      </c>
      <c r="F420" s="31">
        <f t="shared" si="45"/>
        <v>14.6</v>
      </c>
      <c r="G420" s="31">
        <f t="shared" ca="1" si="49"/>
        <v>14.6</v>
      </c>
      <c r="H420" s="30">
        <f t="shared" ca="1" si="50"/>
        <v>0</v>
      </c>
      <c r="I420" s="31">
        <f t="shared" ca="1" si="51"/>
        <v>14.6</v>
      </c>
      <c r="Q420" s="80"/>
      <c r="R420" s="42"/>
      <c r="S420" s="90">
        <f t="shared" si="48"/>
        <v>36.200000000000244</v>
      </c>
      <c r="T420" s="42"/>
      <c r="U420" s="42"/>
      <c r="V420" s="42"/>
      <c r="W420" s="42"/>
      <c r="X420" s="81"/>
    </row>
    <row r="421" spans="2:24" x14ac:dyDescent="0.25">
      <c r="B421" s="2">
        <v>1</v>
      </c>
      <c r="C421" s="1">
        <f t="shared" si="46"/>
        <v>10.05882352941174</v>
      </c>
      <c r="D421" s="1">
        <f t="shared" si="44"/>
        <v>1</v>
      </c>
      <c r="E421" s="1">
        <f t="shared" si="47"/>
        <v>0</v>
      </c>
      <c r="F421" s="31">
        <f t="shared" si="45"/>
        <v>14.6</v>
      </c>
      <c r="G421" s="31">
        <f t="shared" ca="1" si="49"/>
        <v>14.6</v>
      </c>
      <c r="H421" s="30">
        <f t="shared" ca="1" si="50"/>
        <v>0</v>
      </c>
      <c r="I421" s="31">
        <f t="shared" ca="1" si="51"/>
        <v>14.6</v>
      </c>
      <c r="Q421" s="80"/>
      <c r="R421" s="42"/>
      <c r="S421" s="90">
        <f t="shared" si="48"/>
        <v>36.300000000000246</v>
      </c>
      <c r="T421" s="42"/>
      <c r="U421" s="42"/>
      <c r="V421" s="42"/>
      <c r="W421" s="42"/>
      <c r="X421" s="81"/>
    </row>
    <row r="422" spans="2:24" x14ac:dyDescent="0.25">
      <c r="B422" s="2">
        <v>1</v>
      </c>
      <c r="C422" s="1">
        <f t="shared" si="46"/>
        <v>11.05882352941174</v>
      </c>
      <c r="D422" s="1">
        <f t="shared" si="44"/>
        <v>1</v>
      </c>
      <c r="E422" s="1">
        <f t="shared" si="47"/>
        <v>0</v>
      </c>
      <c r="F422" s="31">
        <f t="shared" si="45"/>
        <v>14.6</v>
      </c>
      <c r="G422" s="31">
        <f t="shared" ca="1" si="49"/>
        <v>14.6</v>
      </c>
      <c r="H422" s="30">
        <f t="shared" ca="1" si="50"/>
        <v>0</v>
      </c>
      <c r="I422" s="31">
        <f t="shared" ca="1" si="51"/>
        <v>14.6</v>
      </c>
      <c r="Q422" s="80"/>
      <c r="R422" s="42"/>
      <c r="S422" s="90">
        <f t="shared" si="48"/>
        <v>36.400000000000247</v>
      </c>
      <c r="T422" s="42"/>
      <c r="U422" s="42"/>
      <c r="V422" s="42"/>
      <c r="W422" s="42"/>
      <c r="X422" s="81"/>
    </row>
    <row r="423" spans="2:24" x14ac:dyDescent="0.25">
      <c r="B423" s="2">
        <v>1</v>
      </c>
      <c r="C423" s="1">
        <f t="shared" si="46"/>
        <v>12.05882352941174</v>
      </c>
      <c r="D423" s="1">
        <f t="shared" si="44"/>
        <v>1</v>
      </c>
      <c r="E423" s="1">
        <f t="shared" si="47"/>
        <v>0</v>
      </c>
      <c r="F423" s="31">
        <f t="shared" si="45"/>
        <v>14.6</v>
      </c>
      <c r="G423" s="31">
        <f t="shared" ca="1" si="49"/>
        <v>14.6</v>
      </c>
      <c r="H423" s="30">
        <f t="shared" ca="1" si="50"/>
        <v>0</v>
      </c>
      <c r="I423" s="31">
        <f t="shared" ca="1" si="51"/>
        <v>14.6</v>
      </c>
      <c r="Q423" s="80"/>
      <c r="R423" s="42"/>
      <c r="S423" s="90">
        <f t="shared" si="48"/>
        <v>36.500000000000249</v>
      </c>
      <c r="T423" s="42"/>
      <c r="U423" s="42"/>
      <c r="V423" s="42"/>
      <c r="W423" s="42"/>
      <c r="X423" s="81"/>
    </row>
    <row r="424" spans="2:24" x14ac:dyDescent="0.25">
      <c r="B424" s="2">
        <v>1</v>
      </c>
      <c r="C424" s="1">
        <f t="shared" si="46"/>
        <v>13.05882352941174</v>
      </c>
      <c r="D424" s="1">
        <f t="shared" si="44"/>
        <v>1</v>
      </c>
      <c r="E424" s="1">
        <f t="shared" si="47"/>
        <v>0</v>
      </c>
      <c r="F424" s="31">
        <f t="shared" si="45"/>
        <v>14.6</v>
      </c>
      <c r="G424" s="31">
        <f t="shared" ca="1" si="49"/>
        <v>14.6</v>
      </c>
      <c r="H424" s="30">
        <f t="shared" ca="1" si="50"/>
        <v>0</v>
      </c>
      <c r="I424" s="31">
        <f t="shared" ca="1" si="51"/>
        <v>14.6</v>
      </c>
      <c r="Q424" s="80"/>
      <c r="R424" s="42"/>
      <c r="S424" s="90">
        <f t="shared" si="48"/>
        <v>36.60000000000025</v>
      </c>
      <c r="T424" s="42"/>
      <c r="U424" s="42"/>
      <c r="V424" s="42"/>
      <c r="W424" s="42"/>
      <c r="X424" s="81"/>
    </row>
    <row r="425" spans="2:24" x14ac:dyDescent="0.25">
      <c r="B425" s="2">
        <v>1</v>
      </c>
      <c r="C425" s="1">
        <f t="shared" si="46"/>
        <v>14.05882352941174</v>
      </c>
      <c r="D425" s="1">
        <f t="shared" si="44"/>
        <v>1</v>
      </c>
      <c r="E425" s="1">
        <f t="shared" si="47"/>
        <v>0</v>
      </c>
      <c r="F425" s="31">
        <f t="shared" si="45"/>
        <v>14.6</v>
      </c>
      <c r="G425" s="31">
        <f t="shared" ca="1" si="49"/>
        <v>14.6</v>
      </c>
      <c r="H425" s="30">
        <f t="shared" ca="1" si="50"/>
        <v>0</v>
      </c>
      <c r="I425" s="31">
        <f t="shared" ca="1" si="51"/>
        <v>14.6</v>
      </c>
      <c r="Q425" s="80"/>
      <c r="R425" s="42"/>
      <c r="S425" s="90">
        <f t="shared" si="48"/>
        <v>36.700000000000252</v>
      </c>
      <c r="T425" s="42"/>
      <c r="U425" s="42"/>
      <c r="V425" s="42"/>
      <c r="W425" s="42"/>
      <c r="X425" s="81"/>
    </row>
    <row r="426" spans="2:24" x14ac:dyDescent="0.25">
      <c r="B426" s="2">
        <v>1</v>
      </c>
      <c r="C426" s="1">
        <f t="shared" si="46"/>
        <v>15.05882352941174</v>
      </c>
      <c r="D426" s="1">
        <f t="shared" si="44"/>
        <v>1</v>
      </c>
      <c r="E426" s="1">
        <f t="shared" si="47"/>
        <v>0</v>
      </c>
      <c r="F426" s="31">
        <f t="shared" si="45"/>
        <v>14.6</v>
      </c>
      <c r="G426" s="31">
        <f t="shared" ca="1" si="49"/>
        <v>14.6</v>
      </c>
      <c r="H426" s="30">
        <f t="shared" ca="1" si="50"/>
        <v>0</v>
      </c>
      <c r="I426" s="31">
        <f t="shared" ca="1" si="51"/>
        <v>14.6</v>
      </c>
      <c r="Q426" s="80"/>
      <c r="R426" s="42"/>
      <c r="S426" s="90">
        <f t="shared" si="48"/>
        <v>36.800000000000253</v>
      </c>
      <c r="T426" s="42"/>
      <c r="U426" s="42"/>
      <c r="V426" s="42"/>
      <c r="W426" s="42"/>
      <c r="X426" s="81"/>
    </row>
    <row r="427" spans="2:24" x14ac:dyDescent="0.25">
      <c r="B427" s="2">
        <v>1</v>
      </c>
      <c r="C427" s="1">
        <f t="shared" si="46"/>
        <v>16.05882352941174</v>
      </c>
      <c r="D427" s="1">
        <f t="shared" si="44"/>
        <v>1</v>
      </c>
      <c r="E427" s="1">
        <f t="shared" si="47"/>
        <v>0</v>
      </c>
      <c r="F427" s="31">
        <f t="shared" si="45"/>
        <v>14.6</v>
      </c>
      <c r="G427" s="31">
        <f t="shared" ca="1" si="49"/>
        <v>14.6</v>
      </c>
      <c r="H427" s="30">
        <f t="shared" ca="1" si="50"/>
        <v>0</v>
      </c>
      <c r="I427" s="31">
        <f t="shared" ca="1" si="51"/>
        <v>14.6</v>
      </c>
      <c r="Q427" s="80"/>
      <c r="R427" s="42"/>
      <c r="S427" s="90">
        <f t="shared" si="48"/>
        <v>36.900000000000254</v>
      </c>
      <c r="T427" s="42"/>
      <c r="U427" s="42"/>
      <c r="V427" s="42"/>
      <c r="W427" s="42"/>
      <c r="X427" s="81"/>
    </row>
    <row r="428" spans="2:24" x14ac:dyDescent="0.25">
      <c r="B428" s="2">
        <v>1</v>
      </c>
      <c r="C428" s="1">
        <f t="shared" si="46"/>
        <v>17.05882352941174</v>
      </c>
      <c r="D428" s="1">
        <f t="shared" si="44"/>
        <v>1</v>
      </c>
      <c r="E428" s="1">
        <f t="shared" si="47"/>
        <v>0</v>
      </c>
      <c r="F428" s="31">
        <f t="shared" si="45"/>
        <v>14.6</v>
      </c>
      <c r="G428" s="31">
        <f t="shared" ca="1" si="49"/>
        <v>14.6</v>
      </c>
      <c r="H428" s="30">
        <f t="shared" ca="1" si="50"/>
        <v>0</v>
      </c>
      <c r="I428" s="31">
        <f t="shared" ca="1" si="51"/>
        <v>14.6</v>
      </c>
      <c r="Q428" s="80"/>
      <c r="R428" s="42"/>
      <c r="S428" s="90">
        <f t="shared" si="48"/>
        <v>37.000000000000256</v>
      </c>
      <c r="T428" s="42"/>
      <c r="U428" s="42"/>
      <c r="V428" s="42"/>
      <c r="W428" s="42"/>
      <c r="X428" s="81"/>
    </row>
    <row r="429" spans="2:24" x14ac:dyDescent="0.25">
      <c r="B429" s="2">
        <v>1</v>
      </c>
      <c r="C429" s="1">
        <f t="shared" si="46"/>
        <v>18.05882352941174</v>
      </c>
      <c r="D429" s="1">
        <f t="shared" si="44"/>
        <v>1</v>
      </c>
      <c r="E429" s="1">
        <f t="shared" si="47"/>
        <v>0</v>
      </c>
      <c r="F429" s="31">
        <f t="shared" si="45"/>
        <v>14.6</v>
      </c>
      <c r="G429" s="31">
        <f t="shared" ca="1" si="49"/>
        <v>14.6</v>
      </c>
      <c r="H429" s="30">
        <f t="shared" ca="1" si="50"/>
        <v>0</v>
      </c>
      <c r="I429" s="31">
        <f t="shared" ca="1" si="51"/>
        <v>14.6</v>
      </c>
      <c r="Q429" s="80"/>
      <c r="R429" s="42"/>
      <c r="S429" s="90">
        <f t="shared" si="48"/>
        <v>37.100000000000257</v>
      </c>
      <c r="T429" s="42"/>
      <c r="U429" s="42"/>
      <c r="V429" s="42"/>
      <c r="W429" s="42"/>
      <c r="X429" s="81"/>
    </row>
    <row r="430" spans="2:24" x14ac:dyDescent="0.25">
      <c r="B430" s="2">
        <v>1</v>
      </c>
      <c r="C430" s="1">
        <f t="shared" si="46"/>
        <v>19.05882352941174</v>
      </c>
      <c r="D430" s="1">
        <f t="shared" si="44"/>
        <v>1</v>
      </c>
      <c r="E430" s="1">
        <f t="shared" si="47"/>
        <v>0</v>
      </c>
      <c r="F430" s="31">
        <f t="shared" si="45"/>
        <v>14.6</v>
      </c>
      <c r="G430" s="31">
        <f t="shared" ca="1" si="49"/>
        <v>14.6</v>
      </c>
      <c r="H430" s="30">
        <f t="shared" ca="1" si="50"/>
        <v>0</v>
      </c>
      <c r="I430" s="31">
        <f t="shared" ca="1" si="51"/>
        <v>14.6</v>
      </c>
      <c r="Q430" s="80"/>
      <c r="R430" s="42"/>
      <c r="S430" s="90">
        <f t="shared" si="48"/>
        <v>37.200000000000259</v>
      </c>
      <c r="T430" s="42"/>
      <c r="U430" s="42"/>
      <c r="V430" s="42"/>
      <c r="W430" s="42"/>
      <c r="X430" s="81"/>
    </row>
    <row r="431" spans="2:24" x14ac:dyDescent="0.25">
      <c r="B431" s="2">
        <v>1</v>
      </c>
      <c r="C431" s="1">
        <f t="shared" si="46"/>
        <v>20.05882352941174</v>
      </c>
      <c r="D431" s="1">
        <f t="shared" si="44"/>
        <v>1</v>
      </c>
      <c r="E431" s="1">
        <f t="shared" si="47"/>
        <v>0</v>
      </c>
      <c r="F431" s="31">
        <f t="shared" si="45"/>
        <v>14.6</v>
      </c>
      <c r="G431" s="31">
        <f t="shared" ca="1" si="49"/>
        <v>14.6</v>
      </c>
      <c r="H431" s="30">
        <f t="shared" ca="1" si="50"/>
        <v>0</v>
      </c>
      <c r="I431" s="31">
        <f t="shared" ca="1" si="51"/>
        <v>14.6</v>
      </c>
      <c r="Q431" s="80"/>
      <c r="R431" s="42"/>
      <c r="S431" s="90">
        <f t="shared" si="48"/>
        <v>37.30000000000026</v>
      </c>
      <c r="T431" s="42"/>
      <c r="U431" s="42"/>
      <c r="V431" s="42"/>
      <c r="W431" s="42"/>
      <c r="X431" s="81"/>
    </row>
    <row r="432" spans="2:24" x14ac:dyDescent="0.25">
      <c r="B432" s="2">
        <v>1</v>
      </c>
      <c r="C432" s="1">
        <f t="shared" si="46"/>
        <v>21.05882352941174</v>
      </c>
      <c r="D432" s="1">
        <f t="shared" si="44"/>
        <v>1</v>
      </c>
      <c r="E432" s="1">
        <f t="shared" si="47"/>
        <v>0</v>
      </c>
      <c r="F432" s="31">
        <f t="shared" si="45"/>
        <v>14.6</v>
      </c>
      <c r="G432" s="31">
        <f t="shared" ca="1" si="49"/>
        <v>14.6</v>
      </c>
      <c r="H432" s="30">
        <f t="shared" ca="1" si="50"/>
        <v>0</v>
      </c>
      <c r="I432" s="31">
        <f t="shared" ca="1" si="51"/>
        <v>14.6</v>
      </c>
      <c r="Q432" s="80"/>
      <c r="R432" s="42"/>
      <c r="S432" s="90">
        <f t="shared" si="48"/>
        <v>37.400000000000261</v>
      </c>
      <c r="T432" s="42"/>
      <c r="U432" s="42"/>
      <c r="V432" s="42"/>
      <c r="W432" s="42"/>
      <c r="X432" s="81"/>
    </row>
    <row r="433" spans="2:24" x14ac:dyDescent="0.25">
      <c r="B433" s="2">
        <v>1</v>
      </c>
      <c r="C433" s="1">
        <f t="shared" si="46"/>
        <v>22.05882352941174</v>
      </c>
      <c r="D433" s="1">
        <f t="shared" si="44"/>
        <v>1</v>
      </c>
      <c r="E433" s="1">
        <f t="shared" si="47"/>
        <v>0</v>
      </c>
      <c r="F433" s="31">
        <f t="shared" si="45"/>
        <v>14.6</v>
      </c>
      <c r="G433" s="31">
        <f t="shared" ca="1" si="49"/>
        <v>14.6</v>
      </c>
      <c r="H433" s="30">
        <f t="shared" ca="1" si="50"/>
        <v>0</v>
      </c>
      <c r="I433" s="31">
        <f t="shared" ca="1" si="51"/>
        <v>14.6</v>
      </c>
      <c r="Q433" s="80"/>
      <c r="R433" s="42"/>
      <c r="S433" s="90">
        <f t="shared" si="48"/>
        <v>37.500000000000263</v>
      </c>
      <c r="T433" s="42"/>
      <c r="U433" s="42"/>
      <c r="V433" s="42"/>
      <c r="W433" s="42"/>
      <c r="X433" s="81"/>
    </row>
    <row r="434" spans="2:24" x14ac:dyDescent="0.25">
      <c r="B434" s="2">
        <v>1</v>
      </c>
      <c r="C434" s="1">
        <f t="shared" si="46"/>
        <v>23.05882352941174</v>
      </c>
      <c r="D434" s="1">
        <f t="shared" si="44"/>
        <v>0</v>
      </c>
      <c r="E434" s="1">
        <f t="shared" si="47"/>
        <v>1</v>
      </c>
      <c r="F434" s="31">
        <f t="shared" si="45"/>
        <v>6.4</v>
      </c>
      <c r="G434" s="31">
        <f t="shared" ca="1" si="49"/>
        <v>0</v>
      </c>
      <c r="H434" s="30">
        <f t="shared" ca="1" si="50"/>
        <v>14.6</v>
      </c>
      <c r="I434" s="31">
        <f t="shared" ca="1" si="51"/>
        <v>14.6</v>
      </c>
      <c r="Q434" s="80"/>
      <c r="R434" s="42"/>
      <c r="S434" s="90">
        <f t="shared" si="48"/>
        <v>37.600000000000264</v>
      </c>
      <c r="T434" s="42"/>
      <c r="U434" s="42"/>
      <c r="V434" s="42"/>
      <c r="W434" s="42"/>
      <c r="X434" s="81"/>
    </row>
    <row r="435" spans="2:24" x14ac:dyDescent="0.25">
      <c r="B435" s="2">
        <v>1</v>
      </c>
      <c r="C435" s="1">
        <f t="shared" si="46"/>
        <v>24.05882352941174</v>
      </c>
      <c r="D435" s="1">
        <f t="shared" si="44"/>
        <v>0</v>
      </c>
      <c r="E435" s="1">
        <f t="shared" si="47"/>
        <v>1</v>
      </c>
      <c r="F435" s="31">
        <f t="shared" si="45"/>
        <v>6.4</v>
      </c>
      <c r="G435" s="31">
        <f t="shared" ca="1" si="49"/>
        <v>0</v>
      </c>
      <c r="H435" s="30">
        <f t="shared" ca="1" si="50"/>
        <v>6.4</v>
      </c>
      <c r="I435" s="31">
        <f t="shared" ca="1" si="51"/>
        <v>6.4</v>
      </c>
      <c r="Q435" s="80"/>
      <c r="R435" s="42"/>
      <c r="S435" s="90">
        <f t="shared" si="48"/>
        <v>37.700000000000266</v>
      </c>
      <c r="T435" s="42"/>
      <c r="U435" s="42"/>
      <c r="V435" s="42"/>
      <c r="W435" s="42"/>
      <c r="X435" s="81"/>
    </row>
    <row r="436" spans="2:24" x14ac:dyDescent="0.25">
      <c r="B436" s="2">
        <v>1</v>
      </c>
      <c r="C436" s="1">
        <f t="shared" si="46"/>
        <v>25.05882352941174</v>
      </c>
      <c r="D436" s="1">
        <f t="shared" si="44"/>
        <v>0</v>
      </c>
      <c r="E436" s="1">
        <f t="shared" si="47"/>
        <v>1</v>
      </c>
      <c r="F436" s="31">
        <f t="shared" si="45"/>
        <v>6.4</v>
      </c>
      <c r="G436" s="31">
        <f t="shared" ca="1" si="49"/>
        <v>0</v>
      </c>
      <c r="H436" s="30">
        <f t="shared" ca="1" si="50"/>
        <v>6.4</v>
      </c>
      <c r="I436" s="31">
        <f t="shared" ca="1" si="51"/>
        <v>6.4</v>
      </c>
      <c r="Q436" s="80"/>
      <c r="R436" s="42"/>
      <c r="S436" s="90">
        <f t="shared" si="48"/>
        <v>37.800000000000267</v>
      </c>
      <c r="T436" s="42"/>
      <c r="U436" s="42"/>
      <c r="V436" s="42"/>
      <c r="W436" s="42"/>
      <c r="X436" s="81"/>
    </row>
    <row r="437" spans="2:24" x14ac:dyDescent="0.25">
      <c r="B437" s="2">
        <v>1</v>
      </c>
      <c r="C437" s="1">
        <f t="shared" si="46"/>
        <v>26.05882352941174</v>
      </c>
      <c r="D437" s="1">
        <f t="shared" si="44"/>
        <v>0</v>
      </c>
      <c r="E437" s="1">
        <f t="shared" si="47"/>
        <v>1</v>
      </c>
      <c r="F437" s="31">
        <f t="shared" si="45"/>
        <v>6.4</v>
      </c>
      <c r="G437" s="31">
        <f t="shared" ca="1" si="49"/>
        <v>0</v>
      </c>
      <c r="H437" s="30">
        <f t="shared" ca="1" si="50"/>
        <v>6.4</v>
      </c>
      <c r="I437" s="31">
        <f t="shared" ca="1" si="51"/>
        <v>6.4</v>
      </c>
      <c r="Q437" s="80"/>
      <c r="R437" s="42"/>
      <c r="S437" s="90">
        <f t="shared" si="48"/>
        <v>37.900000000000269</v>
      </c>
      <c r="T437" s="42"/>
      <c r="U437" s="42"/>
      <c r="V437" s="42"/>
      <c r="W437" s="42"/>
      <c r="X437" s="81"/>
    </row>
    <row r="438" spans="2:24" x14ac:dyDescent="0.25">
      <c r="B438" s="2">
        <v>1</v>
      </c>
      <c r="C438" s="1">
        <f t="shared" si="46"/>
        <v>27.05882352941174</v>
      </c>
      <c r="D438" s="1">
        <f t="shared" si="44"/>
        <v>0</v>
      </c>
      <c r="E438" s="1">
        <f t="shared" si="47"/>
        <v>1</v>
      </c>
      <c r="F438" s="31">
        <f t="shared" si="45"/>
        <v>6.4</v>
      </c>
      <c r="G438" s="31">
        <f t="shared" ca="1" si="49"/>
        <v>0</v>
      </c>
      <c r="H438" s="30">
        <f t="shared" ca="1" si="50"/>
        <v>6.4</v>
      </c>
      <c r="I438" s="31">
        <f t="shared" ca="1" si="51"/>
        <v>6.4</v>
      </c>
      <c r="Q438" s="80"/>
      <c r="R438" s="42"/>
      <c r="S438" s="90">
        <f t="shared" si="48"/>
        <v>38.00000000000027</v>
      </c>
      <c r="T438" s="42"/>
      <c r="U438" s="42"/>
      <c r="V438" s="42"/>
      <c r="W438" s="42"/>
      <c r="X438" s="81"/>
    </row>
    <row r="439" spans="2:24" x14ac:dyDescent="0.25">
      <c r="B439" s="2">
        <v>1</v>
      </c>
      <c r="C439" s="1">
        <f t="shared" si="46"/>
        <v>28.05882352941174</v>
      </c>
      <c r="D439" s="1">
        <f t="shared" si="44"/>
        <v>0</v>
      </c>
      <c r="E439" s="1">
        <f t="shared" si="47"/>
        <v>1</v>
      </c>
      <c r="F439" s="31">
        <f t="shared" si="45"/>
        <v>6.4</v>
      </c>
      <c r="G439" s="31">
        <f t="shared" ca="1" si="49"/>
        <v>0</v>
      </c>
      <c r="H439" s="30">
        <f t="shared" ca="1" si="50"/>
        <v>6.4</v>
      </c>
      <c r="I439" s="31">
        <f t="shared" ca="1" si="51"/>
        <v>6.4</v>
      </c>
      <c r="Q439" s="80"/>
      <c r="R439" s="42"/>
      <c r="S439" s="90">
        <f t="shared" si="48"/>
        <v>38.100000000000271</v>
      </c>
      <c r="T439" s="42"/>
      <c r="U439" s="42"/>
      <c r="V439" s="42"/>
      <c r="W439" s="42"/>
      <c r="X439" s="81"/>
    </row>
    <row r="440" spans="2:24" x14ac:dyDescent="0.25">
      <c r="B440" s="2">
        <v>1</v>
      </c>
      <c r="C440" s="1">
        <f t="shared" si="46"/>
        <v>29.05882352941174</v>
      </c>
      <c r="D440" s="1">
        <f t="shared" si="44"/>
        <v>0</v>
      </c>
      <c r="E440" s="1">
        <f t="shared" si="47"/>
        <v>1</v>
      </c>
      <c r="F440" s="31">
        <f t="shared" si="45"/>
        <v>6.4</v>
      </c>
      <c r="G440" s="31">
        <f t="shared" ca="1" si="49"/>
        <v>0</v>
      </c>
      <c r="H440" s="30">
        <f t="shared" ca="1" si="50"/>
        <v>6.4</v>
      </c>
      <c r="I440" s="31">
        <f t="shared" ca="1" si="51"/>
        <v>6.4</v>
      </c>
      <c r="Q440" s="80"/>
      <c r="R440" s="42"/>
      <c r="S440" s="90">
        <f t="shared" si="48"/>
        <v>38.200000000000273</v>
      </c>
      <c r="T440" s="42"/>
      <c r="U440" s="42"/>
      <c r="V440" s="42"/>
      <c r="W440" s="42"/>
      <c r="X440" s="81"/>
    </row>
    <row r="441" spans="2:24" x14ac:dyDescent="0.25">
      <c r="B441" s="2">
        <v>1</v>
      </c>
      <c r="C441" s="1">
        <f t="shared" si="46"/>
        <v>30.05882352941174</v>
      </c>
      <c r="D441" s="1">
        <f t="shared" si="44"/>
        <v>0</v>
      </c>
      <c r="E441" s="1">
        <f t="shared" si="47"/>
        <v>1</v>
      </c>
      <c r="F441" s="31">
        <f t="shared" si="45"/>
        <v>6.4</v>
      </c>
      <c r="G441" s="31">
        <f t="shared" ca="1" si="49"/>
        <v>0</v>
      </c>
      <c r="H441" s="30">
        <f t="shared" ca="1" si="50"/>
        <v>6.4</v>
      </c>
      <c r="I441" s="31">
        <f t="shared" ca="1" si="51"/>
        <v>6.4</v>
      </c>
      <c r="Q441" s="80"/>
      <c r="R441" s="42"/>
      <c r="S441" s="90">
        <f t="shared" si="48"/>
        <v>38.300000000000274</v>
      </c>
      <c r="T441" s="42"/>
      <c r="U441" s="42"/>
      <c r="V441" s="42"/>
      <c r="W441" s="42"/>
      <c r="X441" s="81"/>
    </row>
    <row r="442" spans="2:24" x14ac:dyDescent="0.25">
      <c r="B442" s="2">
        <v>1</v>
      </c>
      <c r="C442" s="1">
        <f t="shared" si="46"/>
        <v>31.05882352941174</v>
      </c>
      <c r="D442" s="1">
        <f t="shared" ref="D442:D505" si="52">IF(C442&lt;=Inhelation_Time_RT,1,0)</f>
        <v>0</v>
      </c>
      <c r="E442" s="1">
        <f t="shared" si="47"/>
        <v>1</v>
      </c>
      <c r="F442" s="31">
        <f t="shared" ref="F442:F505" si="53">(D442*Inspiratory_pressure_level) + (E442*PEEP)</f>
        <v>6.4</v>
      </c>
      <c r="G442" s="31">
        <f t="shared" ca="1" si="49"/>
        <v>0</v>
      </c>
      <c r="H442" s="30">
        <f t="shared" ca="1" si="50"/>
        <v>6.4</v>
      </c>
      <c r="I442" s="31">
        <f t="shared" ca="1" si="51"/>
        <v>6.4</v>
      </c>
      <c r="Q442" s="80"/>
      <c r="R442" s="42"/>
      <c r="S442" s="90">
        <f t="shared" si="48"/>
        <v>38.400000000000276</v>
      </c>
      <c r="T442" s="42"/>
      <c r="U442" s="42"/>
      <c r="V442" s="42"/>
      <c r="W442" s="42"/>
      <c r="X442" s="81"/>
    </row>
    <row r="443" spans="2:24" x14ac:dyDescent="0.25">
      <c r="B443" s="2">
        <v>1</v>
      </c>
      <c r="C443" s="1">
        <f t="shared" ref="C443:C506" si="54">MOD(C442+B443,time_for_breath_RT)</f>
        <v>32.05882352941174</v>
      </c>
      <c r="D443" s="1">
        <f t="shared" si="52"/>
        <v>0</v>
      </c>
      <c r="E443" s="1">
        <f t="shared" ref="E443:E506" si="55">IF(D443=1,0,1)</f>
        <v>1</v>
      </c>
      <c r="F443" s="31">
        <f t="shared" si="53"/>
        <v>6.4</v>
      </c>
      <c r="G443" s="31">
        <f t="shared" ca="1" si="49"/>
        <v>0</v>
      </c>
      <c r="H443" s="30">
        <f t="shared" ca="1" si="50"/>
        <v>6.4</v>
      </c>
      <c r="I443" s="31">
        <f t="shared" ca="1" si="51"/>
        <v>6.4</v>
      </c>
      <c r="Q443" s="80"/>
      <c r="R443" s="42"/>
      <c r="S443" s="90">
        <f t="shared" ref="S443:S506" si="56">S442+(B442 / RTC_to_seconds)</f>
        <v>38.500000000000277</v>
      </c>
      <c r="T443" s="42"/>
      <c r="U443" s="42"/>
      <c r="V443" s="42"/>
      <c r="W443" s="42"/>
      <c r="X443" s="81"/>
    </row>
    <row r="444" spans="2:24" x14ac:dyDescent="0.25">
      <c r="B444" s="2">
        <v>1</v>
      </c>
      <c r="C444" s="1">
        <f t="shared" si="54"/>
        <v>33.05882352941174</v>
      </c>
      <c r="D444" s="1">
        <f t="shared" si="52"/>
        <v>0</v>
      </c>
      <c r="E444" s="1">
        <f t="shared" si="55"/>
        <v>1</v>
      </c>
      <c r="F444" s="31">
        <f t="shared" si="53"/>
        <v>6.4</v>
      </c>
      <c r="G444" s="31">
        <f t="shared" ca="1" si="49"/>
        <v>0</v>
      </c>
      <c r="H444" s="30">
        <f t="shared" ca="1" si="50"/>
        <v>6.4</v>
      </c>
      <c r="I444" s="31">
        <f t="shared" ca="1" si="51"/>
        <v>6.4</v>
      </c>
      <c r="Q444" s="80"/>
      <c r="R444" s="42"/>
      <c r="S444" s="90">
        <f t="shared" si="56"/>
        <v>38.600000000000279</v>
      </c>
      <c r="T444" s="42"/>
      <c r="U444" s="42"/>
      <c r="V444" s="42"/>
      <c r="W444" s="42"/>
      <c r="X444" s="81"/>
    </row>
    <row r="445" spans="2:24" x14ac:dyDescent="0.25">
      <c r="B445" s="2">
        <v>1</v>
      </c>
      <c r="C445" s="1">
        <f t="shared" si="54"/>
        <v>34.05882352941174</v>
      </c>
      <c r="D445" s="1">
        <f t="shared" si="52"/>
        <v>0</v>
      </c>
      <c r="E445" s="1">
        <f t="shared" si="55"/>
        <v>1</v>
      </c>
      <c r="F445" s="31">
        <f t="shared" si="53"/>
        <v>6.4</v>
      </c>
      <c r="G445" s="31">
        <f t="shared" ca="1" si="49"/>
        <v>0</v>
      </c>
      <c r="H445" s="30">
        <f t="shared" ca="1" si="50"/>
        <v>6.4</v>
      </c>
      <c r="I445" s="31">
        <f t="shared" ca="1" si="51"/>
        <v>6.4</v>
      </c>
      <c r="Q445" s="80"/>
      <c r="R445" s="42"/>
      <c r="S445" s="90">
        <f t="shared" si="56"/>
        <v>38.70000000000028</v>
      </c>
      <c r="T445" s="42"/>
      <c r="U445" s="42"/>
      <c r="V445" s="42"/>
      <c r="W445" s="42"/>
      <c r="X445" s="81"/>
    </row>
    <row r="446" spans="2:24" x14ac:dyDescent="0.25">
      <c r="B446" s="2">
        <v>1</v>
      </c>
      <c r="C446" s="1">
        <f t="shared" si="54"/>
        <v>35.05882352941174</v>
      </c>
      <c r="D446" s="1">
        <f t="shared" si="52"/>
        <v>0</v>
      </c>
      <c r="E446" s="1">
        <f t="shared" si="55"/>
        <v>1</v>
      </c>
      <c r="F446" s="31">
        <f t="shared" si="53"/>
        <v>6.4</v>
      </c>
      <c r="G446" s="31">
        <f t="shared" ca="1" si="49"/>
        <v>0</v>
      </c>
      <c r="H446" s="30">
        <f t="shared" ca="1" si="50"/>
        <v>6.4</v>
      </c>
      <c r="I446" s="31">
        <f t="shared" ca="1" si="51"/>
        <v>6.4</v>
      </c>
      <c r="Q446" s="80"/>
      <c r="R446" s="42"/>
      <c r="S446" s="90">
        <f t="shared" si="56"/>
        <v>38.800000000000281</v>
      </c>
      <c r="T446" s="42"/>
      <c r="U446" s="42"/>
      <c r="V446" s="42"/>
      <c r="W446" s="42"/>
      <c r="X446" s="81"/>
    </row>
    <row r="447" spans="2:24" x14ac:dyDescent="0.25">
      <c r="B447" s="2">
        <v>1</v>
      </c>
      <c r="C447" s="1">
        <f t="shared" si="54"/>
        <v>0.76470588235291359</v>
      </c>
      <c r="D447" s="1">
        <f t="shared" si="52"/>
        <v>1</v>
      </c>
      <c r="E447" s="1">
        <f t="shared" si="55"/>
        <v>0</v>
      </c>
      <c r="F447" s="31">
        <f t="shared" si="53"/>
        <v>14.6</v>
      </c>
      <c r="G447" s="31">
        <f t="shared" ca="1" si="49"/>
        <v>6.4</v>
      </c>
      <c r="H447" s="30">
        <f t="shared" ca="1" si="50"/>
        <v>0</v>
      </c>
      <c r="I447" s="31">
        <f t="shared" ca="1" si="51"/>
        <v>6.4</v>
      </c>
      <c r="Q447" s="80"/>
      <c r="R447" s="42"/>
      <c r="S447" s="90">
        <f t="shared" si="56"/>
        <v>38.900000000000283</v>
      </c>
      <c r="T447" s="42"/>
      <c r="U447" s="42"/>
      <c r="V447" s="42"/>
      <c r="W447" s="42"/>
      <c r="X447" s="81"/>
    </row>
    <row r="448" spans="2:24" x14ac:dyDescent="0.25">
      <c r="B448" s="2">
        <v>1</v>
      </c>
      <c r="C448" s="1">
        <f t="shared" si="54"/>
        <v>1.7647058823529136</v>
      </c>
      <c r="D448" s="1">
        <f t="shared" si="52"/>
        <v>1</v>
      </c>
      <c r="E448" s="1">
        <f t="shared" si="55"/>
        <v>0</v>
      </c>
      <c r="F448" s="31">
        <f t="shared" si="53"/>
        <v>14.6</v>
      </c>
      <c r="G448" s="31">
        <f t="shared" ca="1" si="49"/>
        <v>8.4500000000000011</v>
      </c>
      <c r="H448" s="30">
        <f t="shared" ca="1" si="50"/>
        <v>0</v>
      </c>
      <c r="I448" s="31">
        <f t="shared" ca="1" si="51"/>
        <v>8.4500000000000011</v>
      </c>
      <c r="Q448" s="80"/>
      <c r="R448" s="42"/>
      <c r="S448" s="90">
        <f t="shared" si="56"/>
        <v>39.000000000000284</v>
      </c>
      <c r="T448" s="42"/>
      <c r="U448" s="42"/>
      <c r="V448" s="42"/>
      <c r="W448" s="42"/>
      <c r="X448" s="81"/>
    </row>
    <row r="449" spans="2:24" x14ac:dyDescent="0.25">
      <c r="B449" s="2">
        <v>1</v>
      </c>
      <c r="C449" s="1">
        <f t="shared" si="54"/>
        <v>2.7647058823529136</v>
      </c>
      <c r="D449" s="1">
        <f t="shared" si="52"/>
        <v>1</v>
      </c>
      <c r="E449" s="1">
        <f t="shared" si="55"/>
        <v>0</v>
      </c>
      <c r="F449" s="31">
        <f t="shared" si="53"/>
        <v>14.6</v>
      </c>
      <c r="G449" s="31">
        <f t="shared" ca="1" si="49"/>
        <v>10.5</v>
      </c>
      <c r="H449" s="30">
        <f t="shared" ca="1" si="50"/>
        <v>0</v>
      </c>
      <c r="I449" s="31">
        <f t="shared" ca="1" si="51"/>
        <v>10.5</v>
      </c>
      <c r="Q449" s="80"/>
      <c r="R449" s="42"/>
      <c r="S449" s="90">
        <f t="shared" si="56"/>
        <v>39.100000000000286</v>
      </c>
      <c r="T449" s="42"/>
      <c r="U449" s="42"/>
      <c r="V449" s="42"/>
      <c r="W449" s="42"/>
      <c r="X449" s="81"/>
    </row>
    <row r="450" spans="2:24" x14ac:dyDescent="0.25">
      <c r="B450" s="2">
        <v>1</v>
      </c>
      <c r="C450" s="1">
        <f t="shared" si="54"/>
        <v>3.7647058823529136</v>
      </c>
      <c r="D450" s="1">
        <f t="shared" si="52"/>
        <v>1</v>
      </c>
      <c r="E450" s="1">
        <f t="shared" si="55"/>
        <v>0</v>
      </c>
      <c r="F450" s="31">
        <f t="shared" si="53"/>
        <v>14.6</v>
      </c>
      <c r="G450" s="31">
        <f t="shared" ca="1" si="49"/>
        <v>12.55</v>
      </c>
      <c r="H450" s="30">
        <f t="shared" ca="1" si="50"/>
        <v>0</v>
      </c>
      <c r="I450" s="31">
        <f t="shared" ca="1" si="51"/>
        <v>12.55</v>
      </c>
      <c r="Q450" s="80"/>
      <c r="R450" s="42"/>
      <c r="S450" s="90">
        <f t="shared" si="56"/>
        <v>39.200000000000287</v>
      </c>
      <c r="T450" s="42"/>
      <c r="U450" s="42"/>
      <c r="V450" s="42"/>
      <c r="W450" s="42"/>
      <c r="X450" s="81"/>
    </row>
    <row r="451" spans="2:24" x14ac:dyDescent="0.25">
      <c r="B451" s="2">
        <v>1</v>
      </c>
      <c r="C451" s="1">
        <f t="shared" si="54"/>
        <v>4.7647058823529136</v>
      </c>
      <c r="D451" s="1">
        <f t="shared" si="52"/>
        <v>1</v>
      </c>
      <c r="E451" s="1">
        <f t="shared" si="55"/>
        <v>0</v>
      </c>
      <c r="F451" s="31">
        <f t="shared" si="53"/>
        <v>14.6</v>
      </c>
      <c r="G451" s="31">
        <f t="shared" ca="1" si="49"/>
        <v>14.6</v>
      </c>
      <c r="H451" s="30">
        <f t="shared" ca="1" si="50"/>
        <v>0</v>
      </c>
      <c r="I451" s="31">
        <f t="shared" ca="1" si="51"/>
        <v>14.6</v>
      </c>
      <c r="Q451" s="80"/>
      <c r="R451" s="42"/>
      <c r="S451" s="90">
        <f t="shared" si="56"/>
        <v>39.300000000000288</v>
      </c>
      <c r="T451" s="42"/>
      <c r="U451" s="42"/>
      <c r="V451" s="42"/>
      <c r="W451" s="42"/>
      <c r="X451" s="81"/>
    </row>
    <row r="452" spans="2:24" x14ac:dyDescent="0.25">
      <c r="B452" s="2">
        <v>1</v>
      </c>
      <c r="C452" s="1">
        <f t="shared" si="54"/>
        <v>5.7647058823529136</v>
      </c>
      <c r="D452" s="1">
        <f t="shared" si="52"/>
        <v>1</v>
      </c>
      <c r="E452" s="1">
        <f t="shared" si="55"/>
        <v>0</v>
      </c>
      <c r="F452" s="31">
        <f t="shared" si="53"/>
        <v>14.6</v>
      </c>
      <c r="G452" s="31">
        <f t="shared" ca="1" si="49"/>
        <v>14.6</v>
      </c>
      <c r="H452" s="30">
        <f t="shared" ca="1" si="50"/>
        <v>0</v>
      </c>
      <c r="I452" s="31">
        <f t="shared" ca="1" si="51"/>
        <v>14.6</v>
      </c>
      <c r="Q452" s="80"/>
      <c r="R452" s="42"/>
      <c r="S452" s="90">
        <f t="shared" si="56"/>
        <v>39.40000000000029</v>
      </c>
      <c r="T452" s="42"/>
      <c r="U452" s="42"/>
      <c r="V452" s="42"/>
      <c r="W452" s="42"/>
      <c r="X452" s="81"/>
    </row>
    <row r="453" spans="2:24" x14ac:dyDescent="0.25">
      <c r="B453" s="2">
        <v>1</v>
      </c>
      <c r="C453" s="1">
        <f t="shared" si="54"/>
        <v>6.7647058823529136</v>
      </c>
      <c r="D453" s="1">
        <f t="shared" si="52"/>
        <v>1</v>
      </c>
      <c r="E453" s="1">
        <f t="shared" si="55"/>
        <v>0</v>
      </c>
      <c r="F453" s="31">
        <f t="shared" si="53"/>
        <v>14.6</v>
      </c>
      <c r="G453" s="31">
        <f t="shared" ca="1" si="49"/>
        <v>14.6</v>
      </c>
      <c r="H453" s="30">
        <f t="shared" ca="1" si="50"/>
        <v>0</v>
      </c>
      <c r="I453" s="31">
        <f t="shared" ca="1" si="51"/>
        <v>14.6</v>
      </c>
      <c r="Q453" s="80"/>
      <c r="R453" s="42"/>
      <c r="S453" s="90">
        <f t="shared" si="56"/>
        <v>39.500000000000291</v>
      </c>
      <c r="T453" s="42"/>
      <c r="U453" s="42"/>
      <c r="V453" s="42"/>
      <c r="W453" s="42"/>
      <c r="X453" s="81"/>
    </row>
    <row r="454" spans="2:24" x14ac:dyDescent="0.25">
      <c r="B454" s="2">
        <v>1</v>
      </c>
      <c r="C454" s="1">
        <f t="shared" si="54"/>
        <v>7.7647058823529136</v>
      </c>
      <c r="D454" s="1">
        <f t="shared" si="52"/>
        <v>1</v>
      </c>
      <c r="E454" s="1">
        <f t="shared" si="55"/>
        <v>0</v>
      </c>
      <c r="F454" s="31">
        <f t="shared" si="53"/>
        <v>14.6</v>
      </c>
      <c r="G454" s="31">
        <f t="shared" ca="1" si="49"/>
        <v>14.6</v>
      </c>
      <c r="H454" s="30">
        <f t="shared" ca="1" si="50"/>
        <v>0</v>
      </c>
      <c r="I454" s="31">
        <f t="shared" ca="1" si="51"/>
        <v>14.6</v>
      </c>
      <c r="Q454" s="80"/>
      <c r="R454" s="42"/>
      <c r="S454" s="90">
        <f t="shared" si="56"/>
        <v>39.600000000000293</v>
      </c>
      <c r="T454" s="42"/>
      <c r="U454" s="42"/>
      <c r="V454" s="42"/>
      <c r="W454" s="42"/>
      <c r="X454" s="81"/>
    </row>
    <row r="455" spans="2:24" x14ac:dyDescent="0.25">
      <c r="B455" s="2">
        <v>1</v>
      </c>
      <c r="C455" s="1">
        <f t="shared" si="54"/>
        <v>8.7647058823529136</v>
      </c>
      <c r="D455" s="1">
        <f t="shared" si="52"/>
        <v>1</v>
      </c>
      <c r="E455" s="1">
        <f t="shared" si="55"/>
        <v>0</v>
      </c>
      <c r="F455" s="31">
        <f t="shared" si="53"/>
        <v>14.6</v>
      </c>
      <c r="G455" s="31">
        <f t="shared" ca="1" si="49"/>
        <v>14.6</v>
      </c>
      <c r="H455" s="30">
        <f t="shared" ca="1" si="50"/>
        <v>0</v>
      </c>
      <c r="I455" s="31">
        <f t="shared" ca="1" si="51"/>
        <v>14.6</v>
      </c>
      <c r="Q455" s="80"/>
      <c r="R455" s="42"/>
      <c r="S455" s="90">
        <f t="shared" si="56"/>
        <v>39.700000000000294</v>
      </c>
      <c r="T455" s="42"/>
      <c r="U455" s="42"/>
      <c r="V455" s="42"/>
      <c r="W455" s="42"/>
      <c r="X455" s="81"/>
    </row>
    <row r="456" spans="2:24" x14ac:dyDescent="0.25">
      <c r="B456" s="2">
        <v>1</v>
      </c>
      <c r="C456" s="1">
        <f t="shared" si="54"/>
        <v>9.7647058823529136</v>
      </c>
      <c r="D456" s="1">
        <f t="shared" si="52"/>
        <v>1</v>
      </c>
      <c r="E456" s="1">
        <f t="shared" si="55"/>
        <v>0</v>
      </c>
      <c r="F456" s="31">
        <f t="shared" si="53"/>
        <v>14.6</v>
      </c>
      <c r="G456" s="31">
        <f t="shared" ca="1" si="49"/>
        <v>14.6</v>
      </c>
      <c r="H456" s="30">
        <f t="shared" ca="1" si="50"/>
        <v>0</v>
      </c>
      <c r="I456" s="31">
        <f t="shared" ca="1" si="51"/>
        <v>14.6</v>
      </c>
      <c r="Q456" s="80"/>
      <c r="R456" s="42"/>
      <c r="S456" s="90">
        <f t="shared" si="56"/>
        <v>39.800000000000296</v>
      </c>
      <c r="T456" s="42"/>
      <c r="U456" s="42"/>
      <c r="V456" s="42"/>
      <c r="W456" s="42"/>
      <c r="X456" s="81"/>
    </row>
    <row r="457" spans="2:24" x14ac:dyDescent="0.25">
      <c r="B457" s="2">
        <v>1</v>
      </c>
      <c r="C457" s="1">
        <f t="shared" si="54"/>
        <v>10.764705882352914</v>
      </c>
      <c r="D457" s="1">
        <f t="shared" si="52"/>
        <v>1</v>
      </c>
      <c r="E457" s="1">
        <f t="shared" si="55"/>
        <v>0</v>
      </c>
      <c r="F457" s="31">
        <f t="shared" si="53"/>
        <v>14.6</v>
      </c>
      <c r="G457" s="31">
        <f t="shared" ca="1" si="49"/>
        <v>14.6</v>
      </c>
      <c r="H457" s="30">
        <f t="shared" ca="1" si="50"/>
        <v>0</v>
      </c>
      <c r="I457" s="31">
        <f t="shared" ca="1" si="51"/>
        <v>14.6</v>
      </c>
      <c r="Q457" s="80"/>
      <c r="R457" s="42"/>
      <c r="S457" s="90">
        <f t="shared" si="56"/>
        <v>39.900000000000297</v>
      </c>
      <c r="T457" s="42"/>
      <c r="U457" s="42"/>
      <c r="V457" s="42"/>
      <c r="W457" s="42"/>
      <c r="X457" s="81"/>
    </row>
    <row r="458" spans="2:24" x14ac:dyDescent="0.25">
      <c r="B458" s="2">
        <v>1</v>
      </c>
      <c r="C458" s="1">
        <f t="shared" si="54"/>
        <v>11.764705882352914</v>
      </c>
      <c r="D458" s="1">
        <f t="shared" si="52"/>
        <v>1</v>
      </c>
      <c r="E458" s="1">
        <f t="shared" si="55"/>
        <v>0</v>
      </c>
      <c r="F458" s="31">
        <f t="shared" si="53"/>
        <v>14.6</v>
      </c>
      <c r="G458" s="31">
        <f t="shared" ca="1" si="49"/>
        <v>14.6</v>
      </c>
      <c r="H458" s="30">
        <f t="shared" ca="1" si="50"/>
        <v>0</v>
      </c>
      <c r="I458" s="31">
        <f t="shared" ca="1" si="51"/>
        <v>14.6</v>
      </c>
      <c r="Q458" s="80"/>
      <c r="R458" s="42"/>
      <c r="S458" s="90">
        <f t="shared" si="56"/>
        <v>40.000000000000298</v>
      </c>
      <c r="T458" s="42"/>
      <c r="U458" s="42"/>
      <c r="V458" s="42"/>
      <c r="W458" s="42"/>
      <c r="X458" s="81"/>
    </row>
    <row r="459" spans="2:24" x14ac:dyDescent="0.25">
      <c r="B459" s="2">
        <v>1</v>
      </c>
      <c r="C459" s="1">
        <f t="shared" si="54"/>
        <v>12.764705882352914</v>
      </c>
      <c r="D459" s="1">
        <f t="shared" si="52"/>
        <v>1</v>
      </c>
      <c r="E459" s="1">
        <f t="shared" si="55"/>
        <v>0</v>
      </c>
      <c r="F459" s="31">
        <f t="shared" si="53"/>
        <v>14.6</v>
      </c>
      <c r="G459" s="31">
        <f t="shared" ref="G459:G522" ca="1" si="57">IF(D459=1, AVERAGE(OFFSET(F459,-$L$27,0,$L$27,1)),0)</f>
        <v>14.6</v>
      </c>
      <c r="H459" s="30">
        <f t="shared" ref="H459:H522" ca="1" si="58">IF(D459=0, AVERAGE(OFFSET(F459,-$L$28,0,$L$28,1)),0)</f>
        <v>0</v>
      </c>
      <c r="I459" s="31">
        <f t="shared" ref="I459:I522" ca="1" si="59">G459+H459</f>
        <v>14.6</v>
      </c>
      <c r="Q459" s="80"/>
      <c r="R459" s="42"/>
      <c r="S459" s="90">
        <f t="shared" si="56"/>
        <v>40.1000000000003</v>
      </c>
      <c r="T459" s="42"/>
      <c r="U459" s="42"/>
      <c r="V459" s="42"/>
      <c r="W459" s="42"/>
      <c r="X459" s="81"/>
    </row>
    <row r="460" spans="2:24" x14ac:dyDescent="0.25">
      <c r="B460" s="2">
        <v>1</v>
      </c>
      <c r="C460" s="1">
        <f t="shared" si="54"/>
        <v>13.764705882352914</v>
      </c>
      <c r="D460" s="1">
        <f t="shared" si="52"/>
        <v>1</v>
      </c>
      <c r="E460" s="1">
        <f t="shared" si="55"/>
        <v>0</v>
      </c>
      <c r="F460" s="31">
        <f t="shared" si="53"/>
        <v>14.6</v>
      </c>
      <c r="G460" s="31">
        <f t="shared" ca="1" si="57"/>
        <v>14.6</v>
      </c>
      <c r="H460" s="30">
        <f t="shared" ca="1" si="58"/>
        <v>0</v>
      </c>
      <c r="I460" s="31">
        <f t="shared" ca="1" si="59"/>
        <v>14.6</v>
      </c>
      <c r="Q460" s="80"/>
      <c r="R460" s="42"/>
      <c r="S460" s="90">
        <f t="shared" si="56"/>
        <v>40.200000000000301</v>
      </c>
      <c r="T460" s="42"/>
      <c r="U460" s="42"/>
      <c r="V460" s="42"/>
      <c r="W460" s="42"/>
      <c r="X460" s="81"/>
    </row>
    <row r="461" spans="2:24" x14ac:dyDescent="0.25">
      <c r="B461" s="2">
        <v>1</v>
      </c>
      <c r="C461" s="1">
        <f t="shared" si="54"/>
        <v>14.764705882352914</v>
      </c>
      <c r="D461" s="1">
        <f t="shared" si="52"/>
        <v>1</v>
      </c>
      <c r="E461" s="1">
        <f t="shared" si="55"/>
        <v>0</v>
      </c>
      <c r="F461" s="31">
        <f t="shared" si="53"/>
        <v>14.6</v>
      </c>
      <c r="G461" s="31">
        <f t="shared" ca="1" si="57"/>
        <v>14.6</v>
      </c>
      <c r="H461" s="30">
        <f t="shared" ca="1" si="58"/>
        <v>0</v>
      </c>
      <c r="I461" s="31">
        <f t="shared" ca="1" si="59"/>
        <v>14.6</v>
      </c>
      <c r="Q461" s="80"/>
      <c r="R461" s="42"/>
      <c r="S461" s="90">
        <f t="shared" si="56"/>
        <v>40.300000000000303</v>
      </c>
      <c r="T461" s="42"/>
      <c r="U461" s="42"/>
      <c r="V461" s="42"/>
      <c r="W461" s="42"/>
      <c r="X461" s="81"/>
    </row>
    <row r="462" spans="2:24" x14ac:dyDescent="0.25">
      <c r="B462" s="2">
        <v>1</v>
      </c>
      <c r="C462" s="1">
        <f t="shared" si="54"/>
        <v>15.764705882352914</v>
      </c>
      <c r="D462" s="1">
        <f t="shared" si="52"/>
        <v>1</v>
      </c>
      <c r="E462" s="1">
        <f t="shared" si="55"/>
        <v>0</v>
      </c>
      <c r="F462" s="31">
        <f t="shared" si="53"/>
        <v>14.6</v>
      </c>
      <c r="G462" s="31">
        <f t="shared" ca="1" si="57"/>
        <v>14.6</v>
      </c>
      <c r="H462" s="30">
        <f t="shared" ca="1" si="58"/>
        <v>0</v>
      </c>
      <c r="I462" s="31">
        <f t="shared" ca="1" si="59"/>
        <v>14.6</v>
      </c>
      <c r="Q462" s="80"/>
      <c r="R462" s="42"/>
      <c r="S462" s="90">
        <f t="shared" si="56"/>
        <v>40.400000000000304</v>
      </c>
      <c r="T462" s="42"/>
      <c r="U462" s="42"/>
      <c r="V462" s="42"/>
      <c r="W462" s="42"/>
      <c r="X462" s="81"/>
    </row>
    <row r="463" spans="2:24" x14ac:dyDescent="0.25">
      <c r="B463" s="2">
        <v>1</v>
      </c>
      <c r="C463" s="1">
        <f t="shared" si="54"/>
        <v>16.764705882352914</v>
      </c>
      <c r="D463" s="1">
        <f t="shared" si="52"/>
        <v>1</v>
      </c>
      <c r="E463" s="1">
        <f t="shared" si="55"/>
        <v>0</v>
      </c>
      <c r="F463" s="31">
        <f t="shared" si="53"/>
        <v>14.6</v>
      </c>
      <c r="G463" s="31">
        <f t="shared" ca="1" si="57"/>
        <v>14.6</v>
      </c>
      <c r="H463" s="30">
        <f t="shared" ca="1" si="58"/>
        <v>0</v>
      </c>
      <c r="I463" s="31">
        <f t="shared" ca="1" si="59"/>
        <v>14.6</v>
      </c>
      <c r="Q463" s="80"/>
      <c r="R463" s="42"/>
      <c r="S463" s="90">
        <f t="shared" si="56"/>
        <v>40.500000000000306</v>
      </c>
      <c r="T463" s="42"/>
      <c r="U463" s="42"/>
      <c r="V463" s="42"/>
      <c r="W463" s="42"/>
      <c r="X463" s="81"/>
    </row>
    <row r="464" spans="2:24" x14ac:dyDescent="0.25">
      <c r="B464" s="2">
        <v>1</v>
      </c>
      <c r="C464" s="1">
        <f t="shared" si="54"/>
        <v>17.764705882352914</v>
      </c>
      <c r="D464" s="1">
        <f t="shared" si="52"/>
        <v>1</v>
      </c>
      <c r="E464" s="1">
        <f t="shared" si="55"/>
        <v>0</v>
      </c>
      <c r="F464" s="31">
        <f t="shared" si="53"/>
        <v>14.6</v>
      </c>
      <c r="G464" s="31">
        <f t="shared" ca="1" si="57"/>
        <v>14.6</v>
      </c>
      <c r="H464" s="30">
        <f t="shared" ca="1" si="58"/>
        <v>0</v>
      </c>
      <c r="I464" s="31">
        <f t="shared" ca="1" si="59"/>
        <v>14.6</v>
      </c>
      <c r="Q464" s="80"/>
      <c r="R464" s="42"/>
      <c r="S464" s="90">
        <f t="shared" si="56"/>
        <v>40.600000000000307</v>
      </c>
      <c r="T464" s="42"/>
      <c r="U464" s="42"/>
      <c r="V464" s="42"/>
      <c r="W464" s="42"/>
      <c r="X464" s="81"/>
    </row>
    <row r="465" spans="2:24" x14ac:dyDescent="0.25">
      <c r="B465" s="2">
        <v>1</v>
      </c>
      <c r="C465" s="1">
        <f t="shared" si="54"/>
        <v>18.764705882352914</v>
      </c>
      <c r="D465" s="1">
        <f t="shared" si="52"/>
        <v>1</v>
      </c>
      <c r="E465" s="1">
        <f t="shared" si="55"/>
        <v>0</v>
      </c>
      <c r="F465" s="31">
        <f t="shared" si="53"/>
        <v>14.6</v>
      </c>
      <c r="G465" s="31">
        <f t="shared" ca="1" si="57"/>
        <v>14.6</v>
      </c>
      <c r="H465" s="30">
        <f t="shared" ca="1" si="58"/>
        <v>0</v>
      </c>
      <c r="I465" s="31">
        <f t="shared" ca="1" si="59"/>
        <v>14.6</v>
      </c>
      <c r="Q465" s="80"/>
      <c r="R465" s="42"/>
      <c r="S465" s="90">
        <f t="shared" si="56"/>
        <v>40.700000000000308</v>
      </c>
      <c r="T465" s="42"/>
      <c r="U465" s="42"/>
      <c r="V465" s="42"/>
      <c r="W465" s="42"/>
      <c r="X465" s="81"/>
    </row>
    <row r="466" spans="2:24" x14ac:dyDescent="0.25">
      <c r="B466" s="2">
        <v>1</v>
      </c>
      <c r="C466" s="1">
        <f t="shared" si="54"/>
        <v>19.764705882352914</v>
      </c>
      <c r="D466" s="1">
        <f t="shared" si="52"/>
        <v>1</v>
      </c>
      <c r="E466" s="1">
        <f t="shared" si="55"/>
        <v>0</v>
      </c>
      <c r="F466" s="31">
        <f t="shared" si="53"/>
        <v>14.6</v>
      </c>
      <c r="G466" s="31">
        <f t="shared" ca="1" si="57"/>
        <v>14.6</v>
      </c>
      <c r="H466" s="30">
        <f t="shared" ca="1" si="58"/>
        <v>0</v>
      </c>
      <c r="I466" s="31">
        <f t="shared" ca="1" si="59"/>
        <v>14.6</v>
      </c>
      <c r="Q466" s="80"/>
      <c r="R466" s="42"/>
      <c r="S466" s="90">
        <f t="shared" si="56"/>
        <v>40.80000000000031</v>
      </c>
      <c r="T466" s="42"/>
      <c r="U466" s="42"/>
      <c r="V466" s="42"/>
      <c r="W466" s="42"/>
      <c r="X466" s="81"/>
    </row>
    <row r="467" spans="2:24" x14ac:dyDescent="0.25">
      <c r="B467" s="2">
        <v>1</v>
      </c>
      <c r="C467" s="1">
        <f t="shared" si="54"/>
        <v>20.764705882352914</v>
      </c>
      <c r="D467" s="1">
        <f t="shared" si="52"/>
        <v>1</v>
      </c>
      <c r="E467" s="1">
        <f t="shared" si="55"/>
        <v>0</v>
      </c>
      <c r="F467" s="31">
        <f t="shared" si="53"/>
        <v>14.6</v>
      </c>
      <c r="G467" s="31">
        <f t="shared" ca="1" si="57"/>
        <v>14.6</v>
      </c>
      <c r="H467" s="30">
        <f t="shared" ca="1" si="58"/>
        <v>0</v>
      </c>
      <c r="I467" s="31">
        <f t="shared" ca="1" si="59"/>
        <v>14.6</v>
      </c>
      <c r="Q467" s="80"/>
      <c r="R467" s="42"/>
      <c r="S467" s="90">
        <f t="shared" si="56"/>
        <v>40.900000000000311</v>
      </c>
      <c r="T467" s="42"/>
      <c r="U467" s="42"/>
      <c r="V467" s="42"/>
      <c r="W467" s="42"/>
      <c r="X467" s="81"/>
    </row>
    <row r="468" spans="2:24" x14ac:dyDescent="0.25">
      <c r="B468" s="2">
        <v>1</v>
      </c>
      <c r="C468" s="1">
        <f t="shared" si="54"/>
        <v>21.764705882352914</v>
      </c>
      <c r="D468" s="1">
        <f t="shared" si="52"/>
        <v>1</v>
      </c>
      <c r="E468" s="1">
        <f t="shared" si="55"/>
        <v>0</v>
      </c>
      <c r="F468" s="31">
        <f t="shared" si="53"/>
        <v>14.6</v>
      </c>
      <c r="G468" s="31">
        <f t="shared" ca="1" si="57"/>
        <v>14.6</v>
      </c>
      <c r="H468" s="30">
        <f t="shared" ca="1" si="58"/>
        <v>0</v>
      </c>
      <c r="I468" s="31">
        <f t="shared" ca="1" si="59"/>
        <v>14.6</v>
      </c>
      <c r="Q468" s="80"/>
      <c r="R468" s="42"/>
      <c r="S468" s="90">
        <f t="shared" si="56"/>
        <v>41.000000000000313</v>
      </c>
      <c r="T468" s="42"/>
      <c r="U468" s="42"/>
      <c r="V468" s="42"/>
      <c r="W468" s="42"/>
      <c r="X468" s="81"/>
    </row>
    <row r="469" spans="2:24" x14ac:dyDescent="0.25">
      <c r="B469" s="2">
        <v>1</v>
      </c>
      <c r="C469" s="1">
        <f t="shared" si="54"/>
        <v>22.764705882352914</v>
      </c>
      <c r="D469" s="1">
        <f t="shared" si="52"/>
        <v>0</v>
      </c>
      <c r="E469" s="1">
        <f t="shared" si="55"/>
        <v>1</v>
      </c>
      <c r="F469" s="31">
        <f t="shared" si="53"/>
        <v>6.4</v>
      </c>
      <c r="G469" s="31">
        <f t="shared" ca="1" si="57"/>
        <v>0</v>
      </c>
      <c r="H469" s="30">
        <f t="shared" ca="1" si="58"/>
        <v>14.6</v>
      </c>
      <c r="I469" s="31">
        <f t="shared" ca="1" si="59"/>
        <v>14.6</v>
      </c>
      <c r="Q469" s="80"/>
      <c r="R469" s="42"/>
      <c r="S469" s="90">
        <f t="shared" si="56"/>
        <v>41.100000000000314</v>
      </c>
      <c r="T469" s="42"/>
      <c r="U469" s="42"/>
      <c r="V469" s="42"/>
      <c r="W469" s="42"/>
      <c r="X469" s="81"/>
    </row>
    <row r="470" spans="2:24" x14ac:dyDescent="0.25">
      <c r="B470" s="2">
        <v>1</v>
      </c>
      <c r="C470" s="1">
        <f t="shared" si="54"/>
        <v>23.764705882352914</v>
      </c>
      <c r="D470" s="1">
        <f t="shared" si="52"/>
        <v>0</v>
      </c>
      <c r="E470" s="1">
        <f t="shared" si="55"/>
        <v>1</v>
      </c>
      <c r="F470" s="31">
        <f t="shared" si="53"/>
        <v>6.4</v>
      </c>
      <c r="G470" s="31">
        <f t="shared" ca="1" si="57"/>
        <v>0</v>
      </c>
      <c r="H470" s="30">
        <f t="shared" ca="1" si="58"/>
        <v>6.4</v>
      </c>
      <c r="I470" s="31">
        <f t="shared" ca="1" si="59"/>
        <v>6.4</v>
      </c>
      <c r="Q470" s="80"/>
      <c r="R470" s="42"/>
      <c r="S470" s="90">
        <f t="shared" si="56"/>
        <v>41.200000000000315</v>
      </c>
      <c r="T470" s="42"/>
      <c r="U470" s="42"/>
      <c r="V470" s="42"/>
      <c r="W470" s="42"/>
      <c r="X470" s="81"/>
    </row>
    <row r="471" spans="2:24" x14ac:dyDescent="0.25">
      <c r="B471" s="2">
        <v>1</v>
      </c>
      <c r="C471" s="1">
        <f t="shared" si="54"/>
        <v>24.764705882352914</v>
      </c>
      <c r="D471" s="1">
        <f t="shared" si="52"/>
        <v>0</v>
      </c>
      <c r="E471" s="1">
        <f t="shared" si="55"/>
        <v>1</v>
      </c>
      <c r="F471" s="31">
        <f t="shared" si="53"/>
        <v>6.4</v>
      </c>
      <c r="G471" s="31">
        <f t="shared" ca="1" si="57"/>
        <v>0</v>
      </c>
      <c r="H471" s="30">
        <f t="shared" ca="1" si="58"/>
        <v>6.4</v>
      </c>
      <c r="I471" s="31">
        <f t="shared" ca="1" si="59"/>
        <v>6.4</v>
      </c>
      <c r="Q471" s="80"/>
      <c r="R471" s="42"/>
      <c r="S471" s="90">
        <f t="shared" si="56"/>
        <v>41.300000000000317</v>
      </c>
      <c r="T471" s="42"/>
      <c r="U471" s="42"/>
      <c r="V471" s="42"/>
      <c r="W471" s="42"/>
      <c r="X471" s="81"/>
    </row>
    <row r="472" spans="2:24" x14ac:dyDescent="0.25">
      <c r="B472" s="2">
        <v>1</v>
      </c>
      <c r="C472" s="1">
        <f t="shared" si="54"/>
        <v>25.764705882352914</v>
      </c>
      <c r="D472" s="1">
        <f t="shared" si="52"/>
        <v>0</v>
      </c>
      <c r="E472" s="1">
        <f t="shared" si="55"/>
        <v>1</v>
      </c>
      <c r="F472" s="31">
        <f t="shared" si="53"/>
        <v>6.4</v>
      </c>
      <c r="G472" s="31">
        <f t="shared" ca="1" si="57"/>
        <v>0</v>
      </c>
      <c r="H472" s="30">
        <f t="shared" ca="1" si="58"/>
        <v>6.4</v>
      </c>
      <c r="I472" s="31">
        <f t="shared" ca="1" si="59"/>
        <v>6.4</v>
      </c>
      <c r="Q472" s="80"/>
      <c r="R472" s="42"/>
      <c r="S472" s="90">
        <f t="shared" si="56"/>
        <v>41.400000000000318</v>
      </c>
      <c r="T472" s="42"/>
      <c r="U472" s="42"/>
      <c r="V472" s="42"/>
      <c r="W472" s="42"/>
      <c r="X472" s="81"/>
    </row>
    <row r="473" spans="2:24" x14ac:dyDescent="0.25">
      <c r="B473" s="2">
        <v>1</v>
      </c>
      <c r="C473" s="1">
        <f t="shared" si="54"/>
        <v>26.764705882352914</v>
      </c>
      <c r="D473" s="1">
        <f t="shared" si="52"/>
        <v>0</v>
      </c>
      <c r="E473" s="1">
        <f t="shared" si="55"/>
        <v>1</v>
      </c>
      <c r="F473" s="31">
        <f t="shared" si="53"/>
        <v>6.4</v>
      </c>
      <c r="G473" s="31">
        <f t="shared" ca="1" si="57"/>
        <v>0</v>
      </c>
      <c r="H473" s="30">
        <f t="shared" ca="1" si="58"/>
        <v>6.4</v>
      </c>
      <c r="I473" s="31">
        <f t="shared" ca="1" si="59"/>
        <v>6.4</v>
      </c>
      <c r="Q473" s="80"/>
      <c r="R473" s="42"/>
      <c r="S473" s="90">
        <f t="shared" si="56"/>
        <v>41.50000000000032</v>
      </c>
      <c r="T473" s="42"/>
      <c r="U473" s="42"/>
      <c r="V473" s="42"/>
      <c r="W473" s="42"/>
      <c r="X473" s="81"/>
    </row>
    <row r="474" spans="2:24" x14ac:dyDescent="0.25">
      <c r="B474" s="2">
        <v>1</v>
      </c>
      <c r="C474" s="1">
        <f t="shared" si="54"/>
        <v>27.764705882352914</v>
      </c>
      <c r="D474" s="1">
        <f t="shared" si="52"/>
        <v>0</v>
      </c>
      <c r="E474" s="1">
        <f t="shared" si="55"/>
        <v>1</v>
      </c>
      <c r="F474" s="31">
        <f t="shared" si="53"/>
        <v>6.4</v>
      </c>
      <c r="G474" s="31">
        <f t="shared" ca="1" si="57"/>
        <v>0</v>
      </c>
      <c r="H474" s="30">
        <f t="shared" ca="1" si="58"/>
        <v>6.4</v>
      </c>
      <c r="I474" s="31">
        <f t="shared" ca="1" si="59"/>
        <v>6.4</v>
      </c>
      <c r="Q474" s="80"/>
      <c r="R474" s="42"/>
      <c r="S474" s="90">
        <f t="shared" si="56"/>
        <v>41.600000000000321</v>
      </c>
      <c r="T474" s="42"/>
      <c r="U474" s="42"/>
      <c r="V474" s="42"/>
      <c r="W474" s="42"/>
      <c r="X474" s="81"/>
    </row>
    <row r="475" spans="2:24" x14ac:dyDescent="0.25">
      <c r="B475" s="2">
        <v>1</v>
      </c>
      <c r="C475" s="1">
        <f t="shared" si="54"/>
        <v>28.764705882352914</v>
      </c>
      <c r="D475" s="1">
        <f t="shared" si="52"/>
        <v>0</v>
      </c>
      <c r="E475" s="1">
        <f t="shared" si="55"/>
        <v>1</v>
      </c>
      <c r="F475" s="31">
        <f t="shared" si="53"/>
        <v>6.4</v>
      </c>
      <c r="G475" s="31">
        <f t="shared" ca="1" si="57"/>
        <v>0</v>
      </c>
      <c r="H475" s="30">
        <f t="shared" ca="1" si="58"/>
        <v>6.4</v>
      </c>
      <c r="I475" s="31">
        <f t="shared" ca="1" si="59"/>
        <v>6.4</v>
      </c>
      <c r="Q475" s="80"/>
      <c r="R475" s="42"/>
      <c r="S475" s="90">
        <f t="shared" si="56"/>
        <v>41.700000000000323</v>
      </c>
      <c r="T475" s="42"/>
      <c r="U475" s="42"/>
      <c r="V475" s="42"/>
      <c r="W475" s="42"/>
      <c r="X475" s="81"/>
    </row>
    <row r="476" spans="2:24" x14ac:dyDescent="0.25">
      <c r="B476" s="2">
        <v>1</v>
      </c>
      <c r="C476" s="1">
        <f t="shared" si="54"/>
        <v>29.764705882352914</v>
      </c>
      <c r="D476" s="1">
        <f t="shared" si="52"/>
        <v>0</v>
      </c>
      <c r="E476" s="1">
        <f t="shared" si="55"/>
        <v>1</v>
      </c>
      <c r="F476" s="31">
        <f t="shared" si="53"/>
        <v>6.4</v>
      </c>
      <c r="G476" s="31">
        <f t="shared" ca="1" si="57"/>
        <v>0</v>
      </c>
      <c r="H476" s="30">
        <f t="shared" ca="1" si="58"/>
        <v>6.4</v>
      </c>
      <c r="I476" s="31">
        <f t="shared" ca="1" si="59"/>
        <v>6.4</v>
      </c>
      <c r="Q476" s="80"/>
      <c r="R476" s="42"/>
      <c r="S476" s="90">
        <f t="shared" si="56"/>
        <v>41.800000000000324</v>
      </c>
      <c r="T476" s="42"/>
      <c r="U476" s="42"/>
      <c r="V476" s="42"/>
      <c r="W476" s="42"/>
      <c r="X476" s="81"/>
    </row>
    <row r="477" spans="2:24" x14ac:dyDescent="0.25">
      <c r="B477" s="2">
        <v>1</v>
      </c>
      <c r="C477" s="1">
        <f t="shared" si="54"/>
        <v>30.764705882352914</v>
      </c>
      <c r="D477" s="1">
        <f t="shared" si="52"/>
        <v>0</v>
      </c>
      <c r="E477" s="1">
        <f t="shared" si="55"/>
        <v>1</v>
      </c>
      <c r="F477" s="31">
        <f t="shared" si="53"/>
        <v>6.4</v>
      </c>
      <c r="G477" s="31">
        <f t="shared" ca="1" si="57"/>
        <v>0</v>
      </c>
      <c r="H477" s="30">
        <f t="shared" ca="1" si="58"/>
        <v>6.4</v>
      </c>
      <c r="I477" s="31">
        <f t="shared" ca="1" si="59"/>
        <v>6.4</v>
      </c>
      <c r="Q477" s="80"/>
      <c r="R477" s="42"/>
      <c r="S477" s="90">
        <f t="shared" si="56"/>
        <v>41.900000000000325</v>
      </c>
      <c r="T477" s="42"/>
      <c r="U477" s="42"/>
      <c r="V477" s="42"/>
      <c r="W477" s="42"/>
      <c r="X477" s="81"/>
    </row>
    <row r="478" spans="2:24" x14ac:dyDescent="0.25">
      <c r="B478" s="2">
        <v>1</v>
      </c>
      <c r="C478" s="1">
        <f t="shared" si="54"/>
        <v>31.764705882352914</v>
      </c>
      <c r="D478" s="1">
        <f t="shared" si="52"/>
        <v>0</v>
      </c>
      <c r="E478" s="1">
        <f t="shared" si="55"/>
        <v>1</v>
      </c>
      <c r="F478" s="31">
        <f t="shared" si="53"/>
        <v>6.4</v>
      </c>
      <c r="G478" s="31">
        <f t="shared" ca="1" si="57"/>
        <v>0</v>
      </c>
      <c r="H478" s="30">
        <f t="shared" ca="1" si="58"/>
        <v>6.4</v>
      </c>
      <c r="I478" s="31">
        <f t="shared" ca="1" si="59"/>
        <v>6.4</v>
      </c>
      <c r="Q478" s="80"/>
      <c r="R478" s="42"/>
      <c r="S478" s="90">
        <f t="shared" si="56"/>
        <v>42.000000000000327</v>
      </c>
      <c r="T478" s="42"/>
      <c r="U478" s="42"/>
      <c r="V478" s="42"/>
      <c r="W478" s="42"/>
      <c r="X478" s="81"/>
    </row>
    <row r="479" spans="2:24" x14ac:dyDescent="0.25">
      <c r="B479" s="2">
        <v>1</v>
      </c>
      <c r="C479" s="1">
        <f t="shared" si="54"/>
        <v>32.764705882352914</v>
      </c>
      <c r="D479" s="1">
        <f t="shared" si="52"/>
        <v>0</v>
      </c>
      <c r="E479" s="1">
        <f t="shared" si="55"/>
        <v>1</v>
      </c>
      <c r="F479" s="31">
        <f t="shared" si="53"/>
        <v>6.4</v>
      </c>
      <c r="G479" s="31">
        <f t="shared" ca="1" si="57"/>
        <v>0</v>
      </c>
      <c r="H479" s="30">
        <f t="shared" ca="1" si="58"/>
        <v>6.4</v>
      </c>
      <c r="I479" s="31">
        <f t="shared" ca="1" si="59"/>
        <v>6.4</v>
      </c>
      <c r="Q479" s="80"/>
      <c r="R479" s="42"/>
      <c r="S479" s="90">
        <f t="shared" si="56"/>
        <v>42.100000000000328</v>
      </c>
      <c r="T479" s="42"/>
      <c r="U479" s="42"/>
      <c r="V479" s="42"/>
      <c r="W479" s="42"/>
      <c r="X479" s="81"/>
    </row>
    <row r="480" spans="2:24" x14ac:dyDescent="0.25">
      <c r="B480" s="2">
        <v>1</v>
      </c>
      <c r="C480" s="1">
        <f t="shared" si="54"/>
        <v>33.764705882352914</v>
      </c>
      <c r="D480" s="1">
        <f t="shared" si="52"/>
        <v>0</v>
      </c>
      <c r="E480" s="1">
        <f t="shared" si="55"/>
        <v>1</v>
      </c>
      <c r="F480" s="31">
        <f t="shared" si="53"/>
        <v>6.4</v>
      </c>
      <c r="G480" s="31">
        <f t="shared" ca="1" si="57"/>
        <v>0</v>
      </c>
      <c r="H480" s="30">
        <f t="shared" ca="1" si="58"/>
        <v>6.4</v>
      </c>
      <c r="I480" s="31">
        <f t="shared" ca="1" si="59"/>
        <v>6.4</v>
      </c>
      <c r="Q480" s="80"/>
      <c r="R480" s="42"/>
      <c r="S480" s="90">
        <f t="shared" si="56"/>
        <v>42.20000000000033</v>
      </c>
      <c r="T480" s="42"/>
      <c r="U480" s="42"/>
      <c r="V480" s="42"/>
      <c r="W480" s="42"/>
      <c r="X480" s="81"/>
    </row>
    <row r="481" spans="2:24" x14ac:dyDescent="0.25">
      <c r="B481" s="2">
        <v>1</v>
      </c>
      <c r="C481" s="1">
        <f t="shared" si="54"/>
        <v>34.764705882352914</v>
      </c>
      <c r="D481" s="1">
        <f t="shared" si="52"/>
        <v>0</v>
      </c>
      <c r="E481" s="1">
        <f t="shared" si="55"/>
        <v>1</v>
      </c>
      <c r="F481" s="31">
        <f t="shared" si="53"/>
        <v>6.4</v>
      </c>
      <c r="G481" s="31">
        <f t="shared" ca="1" si="57"/>
        <v>0</v>
      </c>
      <c r="H481" s="30">
        <f t="shared" ca="1" si="58"/>
        <v>6.4</v>
      </c>
      <c r="I481" s="31">
        <f t="shared" ca="1" si="59"/>
        <v>6.4</v>
      </c>
      <c r="Q481" s="80"/>
      <c r="R481" s="42"/>
      <c r="S481" s="90">
        <f t="shared" si="56"/>
        <v>42.300000000000331</v>
      </c>
      <c r="T481" s="42"/>
      <c r="U481" s="42"/>
      <c r="V481" s="42"/>
      <c r="W481" s="42"/>
      <c r="X481" s="81"/>
    </row>
    <row r="482" spans="2:24" x14ac:dyDescent="0.25">
      <c r="B482" s="2">
        <v>1</v>
      </c>
      <c r="C482" s="1">
        <f t="shared" si="54"/>
        <v>0.47058823529408755</v>
      </c>
      <c r="D482" s="1">
        <f t="shared" si="52"/>
        <v>1</v>
      </c>
      <c r="E482" s="1">
        <f t="shared" si="55"/>
        <v>0</v>
      </c>
      <c r="F482" s="31">
        <f t="shared" si="53"/>
        <v>14.6</v>
      </c>
      <c r="G482" s="31">
        <f t="shared" ca="1" si="57"/>
        <v>6.4</v>
      </c>
      <c r="H482" s="30">
        <f t="shared" ca="1" si="58"/>
        <v>0</v>
      </c>
      <c r="I482" s="31">
        <f t="shared" ca="1" si="59"/>
        <v>6.4</v>
      </c>
      <c r="Q482" s="80"/>
      <c r="R482" s="42"/>
      <c r="S482" s="90">
        <f t="shared" si="56"/>
        <v>42.400000000000333</v>
      </c>
      <c r="T482" s="42"/>
      <c r="U482" s="42"/>
      <c r="V482" s="42"/>
      <c r="W482" s="42"/>
      <c r="X482" s="81"/>
    </row>
    <row r="483" spans="2:24" x14ac:dyDescent="0.25">
      <c r="B483" s="2">
        <v>1</v>
      </c>
      <c r="C483" s="1">
        <f t="shared" si="54"/>
        <v>1.4705882352940876</v>
      </c>
      <c r="D483" s="1">
        <f t="shared" si="52"/>
        <v>1</v>
      </c>
      <c r="E483" s="1">
        <f t="shared" si="55"/>
        <v>0</v>
      </c>
      <c r="F483" s="31">
        <f t="shared" si="53"/>
        <v>14.6</v>
      </c>
      <c r="G483" s="31">
        <f t="shared" ca="1" si="57"/>
        <v>8.4500000000000011</v>
      </c>
      <c r="H483" s="30">
        <f t="shared" ca="1" si="58"/>
        <v>0</v>
      </c>
      <c r="I483" s="31">
        <f t="shared" ca="1" si="59"/>
        <v>8.4500000000000011</v>
      </c>
      <c r="Q483" s="80"/>
      <c r="R483" s="42"/>
      <c r="S483" s="90">
        <f t="shared" si="56"/>
        <v>42.500000000000334</v>
      </c>
      <c r="T483" s="42"/>
      <c r="U483" s="42"/>
      <c r="V483" s="42"/>
      <c r="W483" s="42"/>
      <c r="X483" s="81"/>
    </row>
    <row r="484" spans="2:24" x14ac:dyDescent="0.25">
      <c r="B484" s="2">
        <v>1</v>
      </c>
      <c r="C484" s="1">
        <f t="shared" si="54"/>
        <v>2.4705882352940876</v>
      </c>
      <c r="D484" s="1">
        <f t="shared" si="52"/>
        <v>1</v>
      </c>
      <c r="E484" s="1">
        <f t="shared" si="55"/>
        <v>0</v>
      </c>
      <c r="F484" s="31">
        <f t="shared" si="53"/>
        <v>14.6</v>
      </c>
      <c r="G484" s="31">
        <f t="shared" ca="1" si="57"/>
        <v>10.5</v>
      </c>
      <c r="H484" s="30">
        <f t="shared" ca="1" si="58"/>
        <v>0</v>
      </c>
      <c r="I484" s="31">
        <f t="shared" ca="1" si="59"/>
        <v>10.5</v>
      </c>
      <c r="Q484" s="80"/>
      <c r="R484" s="42"/>
      <c r="S484" s="90">
        <f t="shared" si="56"/>
        <v>42.600000000000335</v>
      </c>
      <c r="T484" s="42"/>
      <c r="U484" s="42"/>
      <c r="V484" s="42"/>
      <c r="W484" s="42"/>
      <c r="X484" s="81"/>
    </row>
    <row r="485" spans="2:24" x14ac:dyDescent="0.25">
      <c r="B485" s="2">
        <v>1</v>
      </c>
      <c r="C485" s="1">
        <f t="shared" si="54"/>
        <v>3.4705882352940876</v>
      </c>
      <c r="D485" s="1">
        <f t="shared" si="52"/>
        <v>1</v>
      </c>
      <c r="E485" s="1">
        <f t="shared" si="55"/>
        <v>0</v>
      </c>
      <c r="F485" s="31">
        <f t="shared" si="53"/>
        <v>14.6</v>
      </c>
      <c r="G485" s="31">
        <f t="shared" ca="1" si="57"/>
        <v>12.55</v>
      </c>
      <c r="H485" s="30">
        <f t="shared" ca="1" si="58"/>
        <v>0</v>
      </c>
      <c r="I485" s="31">
        <f t="shared" ca="1" si="59"/>
        <v>12.55</v>
      </c>
      <c r="Q485" s="80"/>
      <c r="R485" s="42"/>
      <c r="S485" s="90">
        <f t="shared" si="56"/>
        <v>42.700000000000337</v>
      </c>
      <c r="T485" s="42"/>
      <c r="U485" s="42"/>
      <c r="V485" s="42"/>
      <c r="W485" s="42"/>
      <c r="X485" s="81"/>
    </row>
    <row r="486" spans="2:24" x14ac:dyDescent="0.25">
      <c r="B486" s="2">
        <v>1</v>
      </c>
      <c r="C486" s="1">
        <f t="shared" si="54"/>
        <v>4.4705882352940876</v>
      </c>
      <c r="D486" s="1">
        <f t="shared" si="52"/>
        <v>1</v>
      </c>
      <c r="E486" s="1">
        <f t="shared" si="55"/>
        <v>0</v>
      </c>
      <c r="F486" s="31">
        <f t="shared" si="53"/>
        <v>14.6</v>
      </c>
      <c r="G486" s="31">
        <f t="shared" ca="1" si="57"/>
        <v>14.6</v>
      </c>
      <c r="H486" s="30">
        <f t="shared" ca="1" si="58"/>
        <v>0</v>
      </c>
      <c r="I486" s="31">
        <f t="shared" ca="1" si="59"/>
        <v>14.6</v>
      </c>
      <c r="Q486" s="80"/>
      <c r="R486" s="42"/>
      <c r="S486" s="90">
        <f t="shared" si="56"/>
        <v>42.800000000000338</v>
      </c>
      <c r="T486" s="42"/>
      <c r="U486" s="42"/>
      <c r="V486" s="42"/>
      <c r="W486" s="42"/>
      <c r="X486" s="81"/>
    </row>
    <row r="487" spans="2:24" x14ac:dyDescent="0.25">
      <c r="B487" s="2">
        <v>1</v>
      </c>
      <c r="C487" s="1">
        <f t="shared" si="54"/>
        <v>5.4705882352940876</v>
      </c>
      <c r="D487" s="1">
        <f t="shared" si="52"/>
        <v>1</v>
      </c>
      <c r="E487" s="1">
        <f t="shared" si="55"/>
        <v>0</v>
      </c>
      <c r="F487" s="31">
        <f t="shared" si="53"/>
        <v>14.6</v>
      </c>
      <c r="G487" s="31">
        <f t="shared" ca="1" si="57"/>
        <v>14.6</v>
      </c>
      <c r="H487" s="30">
        <f t="shared" ca="1" si="58"/>
        <v>0</v>
      </c>
      <c r="I487" s="31">
        <f t="shared" ca="1" si="59"/>
        <v>14.6</v>
      </c>
      <c r="Q487" s="80"/>
      <c r="R487" s="42"/>
      <c r="S487" s="90">
        <f t="shared" si="56"/>
        <v>42.90000000000034</v>
      </c>
      <c r="T487" s="42"/>
      <c r="U487" s="42"/>
      <c r="V487" s="42"/>
      <c r="W487" s="42"/>
      <c r="X487" s="81"/>
    </row>
    <row r="488" spans="2:24" x14ac:dyDescent="0.25">
      <c r="B488" s="2">
        <v>1</v>
      </c>
      <c r="C488" s="1">
        <f t="shared" si="54"/>
        <v>6.4705882352940876</v>
      </c>
      <c r="D488" s="1">
        <f t="shared" si="52"/>
        <v>1</v>
      </c>
      <c r="E488" s="1">
        <f t="shared" si="55"/>
        <v>0</v>
      </c>
      <c r="F488" s="31">
        <f t="shared" si="53"/>
        <v>14.6</v>
      </c>
      <c r="G488" s="31">
        <f t="shared" ca="1" si="57"/>
        <v>14.6</v>
      </c>
      <c r="H488" s="30">
        <f t="shared" ca="1" si="58"/>
        <v>0</v>
      </c>
      <c r="I488" s="31">
        <f t="shared" ca="1" si="59"/>
        <v>14.6</v>
      </c>
      <c r="Q488" s="80"/>
      <c r="R488" s="42"/>
      <c r="S488" s="90">
        <f t="shared" si="56"/>
        <v>43.000000000000341</v>
      </c>
      <c r="T488" s="42"/>
      <c r="U488" s="42"/>
      <c r="V488" s="42"/>
      <c r="W488" s="42"/>
      <c r="X488" s="81"/>
    </row>
    <row r="489" spans="2:24" x14ac:dyDescent="0.25">
      <c r="B489" s="2">
        <v>1</v>
      </c>
      <c r="C489" s="1">
        <f t="shared" si="54"/>
        <v>7.4705882352940876</v>
      </c>
      <c r="D489" s="1">
        <f t="shared" si="52"/>
        <v>1</v>
      </c>
      <c r="E489" s="1">
        <f t="shared" si="55"/>
        <v>0</v>
      </c>
      <c r="F489" s="31">
        <f t="shared" si="53"/>
        <v>14.6</v>
      </c>
      <c r="G489" s="31">
        <f t="shared" ca="1" si="57"/>
        <v>14.6</v>
      </c>
      <c r="H489" s="30">
        <f t="shared" ca="1" si="58"/>
        <v>0</v>
      </c>
      <c r="I489" s="31">
        <f t="shared" ca="1" si="59"/>
        <v>14.6</v>
      </c>
      <c r="Q489" s="80"/>
      <c r="R489" s="42"/>
      <c r="S489" s="90">
        <f t="shared" si="56"/>
        <v>43.100000000000342</v>
      </c>
      <c r="T489" s="42"/>
      <c r="U489" s="42"/>
      <c r="V489" s="42"/>
      <c r="W489" s="42"/>
      <c r="X489" s="81"/>
    </row>
    <row r="490" spans="2:24" x14ac:dyDescent="0.25">
      <c r="B490" s="2">
        <v>1</v>
      </c>
      <c r="C490" s="1">
        <f t="shared" si="54"/>
        <v>8.4705882352940876</v>
      </c>
      <c r="D490" s="1">
        <f t="shared" si="52"/>
        <v>1</v>
      </c>
      <c r="E490" s="1">
        <f t="shared" si="55"/>
        <v>0</v>
      </c>
      <c r="F490" s="31">
        <f t="shared" si="53"/>
        <v>14.6</v>
      </c>
      <c r="G490" s="31">
        <f t="shared" ca="1" si="57"/>
        <v>14.6</v>
      </c>
      <c r="H490" s="30">
        <f t="shared" ca="1" si="58"/>
        <v>0</v>
      </c>
      <c r="I490" s="31">
        <f t="shared" ca="1" si="59"/>
        <v>14.6</v>
      </c>
      <c r="Q490" s="80"/>
      <c r="R490" s="42"/>
      <c r="S490" s="90">
        <f t="shared" si="56"/>
        <v>43.200000000000344</v>
      </c>
      <c r="T490" s="42"/>
      <c r="U490" s="42"/>
      <c r="V490" s="42"/>
      <c r="W490" s="42"/>
      <c r="X490" s="81"/>
    </row>
    <row r="491" spans="2:24" x14ac:dyDescent="0.25">
      <c r="B491" s="2">
        <v>1</v>
      </c>
      <c r="C491" s="1">
        <f t="shared" si="54"/>
        <v>9.4705882352940876</v>
      </c>
      <c r="D491" s="1">
        <f t="shared" si="52"/>
        <v>1</v>
      </c>
      <c r="E491" s="1">
        <f t="shared" si="55"/>
        <v>0</v>
      </c>
      <c r="F491" s="31">
        <f t="shared" si="53"/>
        <v>14.6</v>
      </c>
      <c r="G491" s="31">
        <f t="shared" ca="1" si="57"/>
        <v>14.6</v>
      </c>
      <c r="H491" s="30">
        <f t="shared" ca="1" si="58"/>
        <v>0</v>
      </c>
      <c r="I491" s="31">
        <f t="shared" ca="1" si="59"/>
        <v>14.6</v>
      </c>
      <c r="Q491" s="80"/>
      <c r="R491" s="42"/>
      <c r="S491" s="90">
        <f t="shared" si="56"/>
        <v>43.300000000000345</v>
      </c>
      <c r="T491" s="42"/>
      <c r="U491" s="42"/>
      <c r="V491" s="42"/>
      <c r="W491" s="42"/>
      <c r="X491" s="81"/>
    </row>
    <row r="492" spans="2:24" x14ac:dyDescent="0.25">
      <c r="B492" s="2">
        <v>1</v>
      </c>
      <c r="C492" s="1">
        <f t="shared" si="54"/>
        <v>10.470588235294088</v>
      </c>
      <c r="D492" s="1">
        <f t="shared" si="52"/>
        <v>1</v>
      </c>
      <c r="E492" s="1">
        <f t="shared" si="55"/>
        <v>0</v>
      </c>
      <c r="F492" s="31">
        <f t="shared" si="53"/>
        <v>14.6</v>
      </c>
      <c r="G492" s="31">
        <f t="shared" ca="1" si="57"/>
        <v>14.6</v>
      </c>
      <c r="H492" s="30">
        <f t="shared" ca="1" si="58"/>
        <v>0</v>
      </c>
      <c r="I492" s="31">
        <f t="shared" ca="1" si="59"/>
        <v>14.6</v>
      </c>
      <c r="Q492" s="80"/>
      <c r="R492" s="42"/>
      <c r="S492" s="90">
        <f t="shared" si="56"/>
        <v>43.400000000000347</v>
      </c>
      <c r="T492" s="42"/>
      <c r="U492" s="42"/>
      <c r="V492" s="42"/>
      <c r="W492" s="42"/>
      <c r="X492" s="81"/>
    </row>
    <row r="493" spans="2:24" x14ac:dyDescent="0.25">
      <c r="B493" s="2">
        <v>1</v>
      </c>
      <c r="C493" s="1">
        <f t="shared" si="54"/>
        <v>11.470588235294088</v>
      </c>
      <c r="D493" s="1">
        <f t="shared" si="52"/>
        <v>1</v>
      </c>
      <c r="E493" s="1">
        <f t="shared" si="55"/>
        <v>0</v>
      </c>
      <c r="F493" s="31">
        <f t="shared" si="53"/>
        <v>14.6</v>
      </c>
      <c r="G493" s="31">
        <f t="shared" ca="1" si="57"/>
        <v>14.6</v>
      </c>
      <c r="H493" s="30">
        <f t="shared" ca="1" si="58"/>
        <v>0</v>
      </c>
      <c r="I493" s="31">
        <f t="shared" ca="1" si="59"/>
        <v>14.6</v>
      </c>
      <c r="Q493" s="80"/>
      <c r="R493" s="42"/>
      <c r="S493" s="90">
        <f t="shared" si="56"/>
        <v>43.500000000000348</v>
      </c>
      <c r="T493" s="42"/>
      <c r="U493" s="42"/>
      <c r="V493" s="42"/>
      <c r="W493" s="42"/>
      <c r="X493" s="81"/>
    </row>
    <row r="494" spans="2:24" x14ac:dyDescent="0.25">
      <c r="B494" s="2">
        <v>1</v>
      </c>
      <c r="C494" s="1">
        <f t="shared" si="54"/>
        <v>12.470588235294088</v>
      </c>
      <c r="D494" s="1">
        <f t="shared" si="52"/>
        <v>1</v>
      </c>
      <c r="E494" s="1">
        <f t="shared" si="55"/>
        <v>0</v>
      </c>
      <c r="F494" s="31">
        <f t="shared" si="53"/>
        <v>14.6</v>
      </c>
      <c r="G494" s="31">
        <f t="shared" ca="1" si="57"/>
        <v>14.6</v>
      </c>
      <c r="H494" s="30">
        <f t="shared" ca="1" si="58"/>
        <v>0</v>
      </c>
      <c r="I494" s="31">
        <f t="shared" ca="1" si="59"/>
        <v>14.6</v>
      </c>
      <c r="Q494" s="80"/>
      <c r="R494" s="42"/>
      <c r="S494" s="90">
        <f t="shared" si="56"/>
        <v>43.60000000000035</v>
      </c>
      <c r="T494" s="42"/>
      <c r="U494" s="42"/>
      <c r="V494" s="42"/>
      <c r="W494" s="42"/>
      <c r="X494" s="81"/>
    </row>
    <row r="495" spans="2:24" x14ac:dyDescent="0.25">
      <c r="B495" s="2">
        <v>1</v>
      </c>
      <c r="C495" s="1">
        <f t="shared" si="54"/>
        <v>13.470588235294088</v>
      </c>
      <c r="D495" s="1">
        <f t="shared" si="52"/>
        <v>1</v>
      </c>
      <c r="E495" s="1">
        <f t="shared" si="55"/>
        <v>0</v>
      </c>
      <c r="F495" s="31">
        <f t="shared" si="53"/>
        <v>14.6</v>
      </c>
      <c r="G495" s="31">
        <f t="shared" ca="1" si="57"/>
        <v>14.6</v>
      </c>
      <c r="H495" s="30">
        <f t="shared" ca="1" si="58"/>
        <v>0</v>
      </c>
      <c r="I495" s="31">
        <f t="shared" ca="1" si="59"/>
        <v>14.6</v>
      </c>
      <c r="Q495" s="80"/>
      <c r="R495" s="42"/>
      <c r="S495" s="90">
        <f t="shared" si="56"/>
        <v>43.700000000000351</v>
      </c>
      <c r="T495" s="42"/>
      <c r="U495" s="42"/>
      <c r="V495" s="42"/>
      <c r="W495" s="42"/>
      <c r="X495" s="81"/>
    </row>
    <row r="496" spans="2:24" x14ac:dyDescent="0.25">
      <c r="B496" s="2">
        <v>1</v>
      </c>
      <c r="C496" s="1">
        <f t="shared" si="54"/>
        <v>14.470588235294088</v>
      </c>
      <c r="D496" s="1">
        <f t="shared" si="52"/>
        <v>1</v>
      </c>
      <c r="E496" s="1">
        <f t="shared" si="55"/>
        <v>0</v>
      </c>
      <c r="F496" s="31">
        <f t="shared" si="53"/>
        <v>14.6</v>
      </c>
      <c r="G496" s="31">
        <f t="shared" ca="1" si="57"/>
        <v>14.6</v>
      </c>
      <c r="H496" s="30">
        <f t="shared" ca="1" si="58"/>
        <v>0</v>
      </c>
      <c r="I496" s="31">
        <f t="shared" ca="1" si="59"/>
        <v>14.6</v>
      </c>
      <c r="Q496" s="80"/>
      <c r="R496" s="42"/>
      <c r="S496" s="90">
        <f t="shared" si="56"/>
        <v>43.800000000000352</v>
      </c>
      <c r="T496" s="42"/>
      <c r="U496" s="42"/>
      <c r="V496" s="42"/>
      <c r="W496" s="42"/>
      <c r="X496" s="81"/>
    </row>
    <row r="497" spans="2:24" x14ac:dyDescent="0.25">
      <c r="B497" s="2">
        <v>1</v>
      </c>
      <c r="C497" s="1">
        <f t="shared" si="54"/>
        <v>15.470588235294088</v>
      </c>
      <c r="D497" s="1">
        <f t="shared" si="52"/>
        <v>1</v>
      </c>
      <c r="E497" s="1">
        <f t="shared" si="55"/>
        <v>0</v>
      </c>
      <c r="F497" s="31">
        <f t="shared" si="53"/>
        <v>14.6</v>
      </c>
      <c r="G497" s="31">
        <f t="shared" ca="1" si="57"/>
        <v>14.6</v>
      </c>
      <c r="H497" s="30">
        <f t="shared" ca="1" si="58"/>
        <v>0</v>
      </c>
      <c r="I497" s="31">
        <f t="shared" ca="1" si="59"/>
        <v>14.6</v>
      </c>
      <c r="Q497" s="80"/>
      <c r="R497" s="42"/>
      <c r="S497" s="90">
        <f t="shared" si="56"/>
        <v>43.900000000000354</v>
      </c>
      <c r="T497" s="42"/>
      <c r="U497" s="42"/>
      <c r="V497" s="42"/>
      <c r="W497" s="42"/>
      <c r="X497" s="81"/>
    </row>
    <row r="498" spans="2:24" x14ac:dyDescent="0.25">
      <c r="B498" s="2">
        <v>1</v>
      </c>
      <c r="C498" s="1">
        <f t="shared" si="54"/>
        <v>16.470588235294088</v>
      </c>
      <c r="D498" s="1">
        <f t="shared" si="52"/>
        <v>1</v>
      </c>
      <c r="E498" s="1">
        <f t="shared" si="55"/>
        <v>0</v>
      </c>
      <c r="F498" s="31">
        <f t="shared" si="53"/>
        <v>14.6</v>
      </c>
      <c r="G498" s="31">
        <f t="shared" ca="1" si="57"/>
        <v>14.6</v>
      </c>
      <c r="H498" s="30">
        <f t="shared" ca="1" si="58"/>
        <v>0</v>
      </c>
      <c r="I498" s="31">
        <f t="shared" ca="1" si="59"/>
        <v>14.6</v>
      </c>
      <c r="Q498" s="80"/>
      <c r="R498" s="42"/>
      <c r="S498" s="90">
        <f t="shared" si="56"/>
        <v>44.000000000000355</v>
      </c>
      <c r="T498" s="42"/>
      <c r="U498" s="42"/>
      <c r="V498" s="42"/>
      <c r="W498" s="42"/>
      <c r="X498" s="81"/>
    </row>
    <row r="499" spans="2:24" x14ac:dyDescent="0.25">
      <c r="B499" s="2">
        <v>1</v>
      </c>
      <c r="C499" s="1">
        <f t="shared" si="54"/>
        <v>17.470588235294088</v>
      </c>
      <c r="D499" s="1">
        <f t="shared" si="52"/>
        <v>1</v>
      </c>
      <c r="E499" s="1">
        <f t="shared" si="55"/>
        <v>0</v>
      </c>
      <c r="F499" s="31">
        <f t="shared" si="53"/>
        <v>14.6</v>
      </c>
      <c r="G499" s="31">
        <f t="shared" ca="1" si="57"/>
        <v>14.6</v>
      </c>
      <c r="H499" s="30">
        <f t="shared" ca="1" si="58"/>
        <v>0</v>
      </c>
      <c r="I499" s="31">
        <f t="shared" ca="1" si="59"/>
        <v>14.6</v>
      </c>
      <c r="Q499" s="80"/>
      <c r="R499" s="42"/>
      <c r="S499" s="90">
        <f t="shared" si="56"/>
        <v>44.100000000000357</v>
      </c>
      <c r="T499" s="42"/>
      <c r="U499" s="42"/>
      <c r="V499" s="42"/>
      <c r="W499" s="42"/>
      <c r="X499" s="81"/>
    </row>
    <row r="500" spans="2:24" x14ac:dyDescent="0.25">
      <c r="B500" s="2">
        <v>1</v>
      </c>
      <c r="C500" s="1">
        <f t="shared" si="54"/>
        <v>18.470588235294088</v>
      </c>
      <c r="D500" s="1">
        <f t="shared" si="52"/>
        <v>1</v>
      </c>
      <c r="E500" s="1">
        <f t="shared" si="55"/>
        <v>0</v>
      </c>
      <c r="F500" s="31">
        <f t="shared" si="53"/>
        <v>14.6</v>
      </c>
      <c r="G500" s="31">
        <f t="shared" ca="1" si="57"/>
        <v>14.6</v>
      </c>
      <c r="H500" s="30">
        <f t="shared" ca="1" si="58"/>
        <v>0</v>
      </c>
      <c r="I500" s="31">
        <f t="shared" ca="1" si="59"/>
        <v>14.6</v>
      </c>
      <c r="Q500" s="80"/>
      <c r="R500" s="42"/>
      <c r="S500" s="90">
        <f t="shared" si="56"/>
        <v>44.200000000000358</v>
      </c>
      <c r="T500" s="42"/>
      <c r="U500" s="42"/>
      <c r="V500" s="42"/>
      <c r="W500" s="42"/>
      <c r="X500" s="81"/>
    </row>
    <row r="501" spans="2:24" x14ac:dyDescent="0.25">
      <c r="B501" s="2">
        <v>1</v>
      </c>
      <c r="C501" s="1">
        <f t="shared" si="54"/>
        <v>19.470588235294088</v>
      </c>
      <c r="D501" s="1">
        <f t="shared" si="52"/>
        <v>1</v>
      </c>
      <c r="E501" s="1">
        <f t="shared" si="55"/>
        <v>0</v>
      </c>
      <c r="F501" s="31">
        <f t="shared" si="53"/>
        <v>14.6</v>
      </c>
      <c r="G501" s="31">
        <f t="shared" ca="1" si="57"/>
        <v>14.6</v>
      </c>
      <c r="H501" s="30">
        <f t="shared" ca="1" si="58"/>
        <v>0</v>
      </c>
      <c r="I501" s="31">
        <f t="shared" ca="1" si="59"/>
        <v>14.6</v>
      </c>
      <c r="Q501" s="80"/>
      <c r="R501" s="42"/>
      <c r="S501" s="90">
        <f t="shared" si="56"/>
        <v>44.30000000000036</v>
      </c>
      <c r="T501" s="42"/>
      <c r="U501" s="42"/>
      <c r="V501" s="42"/>
      <c r="W501" s="42"/>
      <c r="X501" s="81"/>
    </row>
    <row r="502" spans="2:24" x14ac:dyDescent="0.25">
      <c r="B502" s="2">
        <v>1</v>
      </c>
      <c r="C502" s="1">
        <f t="shared" si="54"/>
        <v>20.470588235294088</v>
      </c>
      <c r="D502" s="1">
        <f t="shared" si="52"/>
        <v>1</v>
      </c>
      <c r="E502" s="1">
        <f t="shared" si="55"/>
        <v>0</v>
      </c>
      <c r="F502" s="31">
        <f t="shared" si="53"/>
        <v>14.6</v>
      </c>
      <c r="G502" s="31">
        <f t="shared" ca="1" si="57"/>
        <v>14.6</v>
      </c>
      <c r="H502" s="30">
        <f t="shared" ca="1" si="58"/>
        <v>0</v>
      </c>
      <c r="I502" s="31">
        <f t="shared" ca="1" si="59"/>
        <v>14.6</v>
      </c>
      <c r="Q502" s="80"/>
      <c r="R502" s="42"/>
      <c r="S502" s="90">
        <f t="shared" si="56"/>
        <v>44.400000000000361</v>
      </c>
      <c r="T502" s="42"/>
      <c r="U502" s="42"/>
      <c r="V502" s="42"/>
      <c r="W502" s="42"/>
      <c r="X502" s="81"/>
    </row>
    <row r="503" spans="2:24" x14ac:dyDescent="0.25">
      <c r="B503" s="2">
        <v>1</v>
      </c>
      <c r="C503" s="1">
        <f t="shared" si="54"/>
        <v>21.470588235294088</v>
      </c>
      <c r="D503" s="1">
        <f t="shared" si="52"/>
        <v>1</v>
      </c>
      <c r="E503" s="1">
        <f t="shared" si="55"/>
        <v>0</v>
      </c>
      <c r="F503" s="31">
        <f t="shared" si="53"/>
        <v>14.6</v>
      </c>
      <c r="G503" s="31">
        <f t="shared" ca="1" si="57"/>
        <v>14.6</v>
      </c>
      <c r="H503" s="30">
        <f t="shared" ca="1" si="58"/>
        <v>0</v>
      </c>
      <c r="I503" s="31">
        <f t="shared" ca="1" si="59"/>
        <v>14.6</v>
      </c>
      <c r="Q503" s="80"/>
      <c r="R503" s="42"/>
      <c r="S503" s="90">
        <f t="shared" si="56"/>
        <v>44.500000000000362</v>
      </c>
      <c r="T503" s="42"/>
      <c r="U503" s="42"/>
      <c r="V503" s="42"/>
      <c r="W503" s="42"/>
      <c r="X503" s="81"/>
    </row>
    <row r="504" spans="2:24" x14ac:dyDescent="0.25">
      <c r="B504" s="2">
        <v>1</v>
      </c>
      <c r="C504" s="1">
        <f t="shared" si="54"/>
        <v>22.470588235294088</v>
      </c>
      <c r="D504" s="1">
        <f t="shared" si="52"/>
        <v>1</v>
      </c>
      <c r="E504" s="1">
        <f t="shared" si="55"/>
        <v>0</v>
      </c>
      <c r="F504" s="31">
        <f t="shared" si="53"/>
        <v>14.6</v>
      </c>
      <c r="G504" s="31">
        <f t="shared" ca="1" si="57"/>
        <v>14.6</v>
      </c>
      <c r="H504" s="30">
        <f t="shared" ca="1" si="58"/>
        <v>0</v>
      </c>
      <c r="I504" s="31">
        <f t="shared" ca="1" si="59"/>
        <v>14.6</v>
      </c>
      <c r="Q504" s="80"/>
      <c r="R504" s="42"/>
      <c r="S504" s="90">
        <f t="shared" si="56"/>
        <v>44.600000000000364</v>
      </c>
      <c r="T504" s="42"/>
      <c r="U504" s="42"/>
      <c r="V504" s="42"/>
      <c r="W504" s="42"/>
      <c r="X504" s="81"/>
    </row>
    <row r="505" spans="2:24" x14ac:dyDescent="0.25">
      <c r="B505" s="2">
        <v>1</v>
      </c>
      <c r="C505" s="1">
        <f t="shared" si="54"/>
        <v>23.470588235294088</v>
      </c>
      <c r="D505" s="1">
        <f t="shared" si="52"/>
        <v>0</v>
      </c>
      <c r="E505" s="1">
        <f t="shared" si="55"/>
        <v>1</v>
      </c>
      <c r="F505" s="31">
        <f t="shared" si="53"/>
        <v>6.4</v>
      </c>
      <c r="G505" s="31">
        <f t="shared" ca="1" si="57"/>
        <v>0</v>
      </c>
      <c r="H505" s="30">
        <f t="shared" ca="1" si="58"/>
        <v>14.6</v>
      </c>
      <c r="I505" s="31">
        <f t="shared" ca="1" si="59"/>
        <v>14.6</v>
      </c>
      <c r="Q505" s="80"/>
      <c r="R505" s="42"/>
      <c r="S505" s="90">
        <f t="shared" si="56"/>
        <v>44.700000000000365</v>
      </c>
      <c r="T505" s="42"/>
      <c r="U505" s="42"/>
      <c r="V505" s="42"/>
      <c r="W505" s="42"/>
      <c r="X505" s="81"/>
    </row>
    <row r="506" spans="2:24" x14ac:dyDescent="0.25">
      <c r="B506" s="2">
        <v>1</v>
      </c>
      <c r="C506" s="1">
        <f t="shared" si="54"/>
        <v>24.470588235294088</v>
      </c>
      <c r="D506" s="1">
        <f t="shared" ref="D506:D569" si="60">IF(C506&lt;=Inhelation_Time_RT,1,0)</f>
        <v>0</v>
      </c>
      <c r="E506" s="1">
        <f t="shared" si="55"/>
        <v>1</v>
      </c>
      <c r="F506" s="31">
        <f t="shared" ref="F506:F569" si="61">(D506*Inspiratory_pressure_level) + (E506*PEEP)</f>
        <v>6.4</v>
      </c>
      <c r="G506" s="31">
        <f t="shared" ca="1" si="57"/>
        <v>0</v>
      </c>
      <c r="H506" s="30">
        <f t="shared" ca="1" si="58"/>
        <v>6.4</v>
      </c>
      <c r="I506" s="31">
        <f t="shared" ca="1" si="59"/>
        <v>6.4</v>
      </c>
      <c r="Q506" s="80"/>
      <c r="R506" s="42"/>
      <c r="S506" s="90">
        <f t="shared" si="56"/>
        <v>44.800000000000367</v>
      </c>
      <c r="T506" s="42"/>
      <c r="U506" s="42"/>
      <c r="V506" s="42"/>
      <c r="W506" s="42"/>
      <c r="X506" s="81"/>
    </row>
    <row r="507" spans="2:24" x14ac:dyDescent="0.25">
      <c r="B507" s="2">
        <v>1</v>
      </c>
      <c r="C507" s="1">
        <f t="shared" ref="C507:C570" si="62">MOD(C506+B507,time_for_breath_RT)</f>
        <v>25.470588235294088</v>
      </c>
      <c r="D507" s="1">
        <f t="shared" si="60"/>
        <v>0</v>
      </c>
      <c r="E507" s="1">
        <f t="shared" ref="E507:E570" si="63">IF(D507=1,0,1)</f>
        <v>1</v>
      </c>
      <c r="F507" s="31">
        <f t="shared" si="61"/>
        <v>6.4</v>
      </c>
      <c r="G507" s="31">
        <f t="shared" ca="1" si="57"/>
        <v>0</v>
      </c>
      <c r="H507" s="30">
        <f t="shared" ca="1" si="58"/>
        <v>6.4</v>
      </c>
      <c r="I507" s="31">
        <f t="shared" ca="1" si="59"/>
        <v>6.4</v>
      </c>
      <c r="Q507" s="80"/>
      <c r="R507" s="42"/>
      <c r="S507" s="90">
        <f t="shared" ref="S507:S570" si="64">S506+(B506 / RTC_to_seconds)</f>
        <v>44.900000000000368</v>
      </c>
      <c r="T507" s="42"/>
      <c r="U507" s="42"/>
      <c r="V507" s="42"/>
      <c r="W507" s="42"/>
      <c r="X507" s="81"/>
    </row>
    <row r="508" spans="2:24" x14ac:dyDescent="0.25">
      <c r="B508" s="2">
        <v>1</v>
      </c>
      <c r="C508" s="1">
        <f t="shared" si="62"/>
        <v>26.470588235294088</v>
      </c>
      <c r="D508" s="1">
        <f t="shared" si="60"/>
        <v>0</v>
      </c>
      <c r="E508" s="1">
        <f t="shared" si="63"/>
        <v>1</v>
      </c>
      <c r="F508" s="31">
        <f t="shared" si="61"/>
        <v>6.4</v>
      </c>
      <c r="G508" s="31">
        <f t="shared" ca="1" si="57"/>
        <v>0</v>
      </c>
      <c r="H508" s="30">
        <f t="shared" ca="1" si="58"/>
        <v>6.4</v>
      </c>
      <c r="I508" s="31">
        <f t="shared" ca="1" si="59"/>
        <v>6.4</v>
      </c>
      <c r="Q508" s="80"/>
      <c r="R508" s="42"/>
      <c r="S508" s="90">
        <f t="shared" si="64"/>
        <v>45.000000000000369</v>
      </c>
      <c r="T508" s="42"/>
      <c r="U508" s="42"/>
      <c r="V508" s="42"/>
      <c r="W508" s="42"/>
      <c r="X508" s="81"/>
    </row>
    <row r="509" spans="2:24" x14ac:dyDescent="0.25">
      <c r="B509" s="2">
        <v>1</v>
      </c>
      <c r="C509" s="1">
        <f t="shared" si="62"/>
        <v>27.470588235294088</v>
      </c>
      <c r="D509" s="1">
        <f t="shared" si="60"/>
        <v>0</v>
      </c>
      <c r="E509" s="1">
        <f t="shared" si="63"/>
        <v>1</v>
      </c>
      <c r="F509" s="31">
        <f t="shared" si="61"/>
        <v>6.4</v>
      </c>
      <c r="G509" s="31">
        <f t="shared" ca="1" si="57"/>
        <v>0</v>
      </c>
      <c r="H509" s="30">
        <f t="shared" ca="1" si="58"/>
        <v>6.4</v>
      </c>
      <c r="I509" s="31">
        <f t="shared" ca="1" si="59"/>
        <v>6.4</v>
      </c>
      <c r="Q509" s="80"/>
      <c r="R509" s="42"/>
      <c r="S509" s="90">
        <f t="shared" si="64"/>
        <v>45.100000000000371</v>
      </c>
      <c r="T509" s="42"/>
      <c r="U509" s="42"/>
      <c r="V509" s="42"/>
      <c r="W509" s="42"/>
      <c r="X509" s="81"/>
    </row>
    <row r="510" spans="2:24" x14ac:dyDescent="0.25">
      <c r="B510" s="2">
        <v>1</v>
      </c>
      <c r="C510" s="1">
        <f t="shared" si="62"/>
        <v>28.470588235294088</v>
      </c>
      <c r="D510" s="1">
        <f t="shared" si="60"/>
        <v>0</v>
      </c>
      <c r="E510" s="1">
        <f t="shared" si="63"/>
        <v>1</v>
      </c>
      <c r="F510" s="31">
        <f t="shared" si="61"/>
        <v>6.4</v>
      </c>
      <c r="G510" s="31">
        <f t="shared" ca="1" si="57"/>
        <v>0</v>
      </c>
      <c r="H510" s="30">
        <f t="shared" ca="1" si="58"/>
        <v>6.4</v>
      </c>
      <c r="I510" s="31">
        <f t="shared" ca="1" si="59"/>
        <v>6.4</v>
      </c>
      <c r="Q510" s="80"/>
      <c r="R510" s="42"/>
      <c r="S510" s="90">
        <f t="shared" si="64"/>
        <v>45.200000000000372</v>
      </c>
      <c r="T510" s="42"/>
      <c r="U510" s="42"/>
      <c r="V510" s="42"/>
      <c r="W510" s="42"/>
      <c r="X510" s="81"/>
    </row>
    <row r="511" spans="2:24" x14ac:dyDescent="0.25">
      <c r="B511" s="2">
        <v>1</v>
      </c>
      <c r="C511" s="1">
        <f t="shared" si="62"/>
        <v>29.470588235294088</v>
      </c>
      <c r="D511" s="1">
        <f t="shared" si="60"/>
        <v>0</v>
      </c>
      <c r="E511" s="1">
        <f t="shared" si="63"/>
        <v>1</v>
      </c>
      <c r="F511" s="31">
        <f t="shared" si="61"/>
        <v>6.4</v>
      </c>
      <c r="G511" s="31">
        <f t="shared" ca="1" si="57"/>
        <v>0</v>
      </c>
      <c r="H511" s="30">
        <f t="shared" ca="1" si="58"/>
        <v>6.4</v>
      </c>
      <c r="I511" s="31">
        <f t="shared" ca="1" si="59"/>
        <v>6.4</v>
      </c>
      <c r="Q511" s="80"/>
      <c r="R511" s="42"/>
      <c r="S511" s="90">
        <f t="shared" si="64"/>
        <v>45.300000000000374</v>
      </c>
      <c r="T511" s="42"/>
      <c r="U511" s="42"/>
      <c r="V511" s="42"/>
      <c r="W511" s="42"/>
      <c r="X511" s="81"/>
    </row>
    <row r="512" spans="2:24" x14ac:dyDescent="0.25">
      <c r="B512" s="2">
        <v>1</v>
      </c>
      <c r="C512" s="1">
        <f t="shared" si="62"/>
        <v>30.470588235294088</v>
      </c>
      <c r="D512" s="1">
        <f t="shared" si="60"/>
        <v>0</v>
      </c>
      <c r="E512" s="1">
        <f t="shared" si="63"/>
        <v>1</v>
      </c>
      <c r="F512" s="31">
        <f t="shared" si="61"/>
        <v>6.4</v>
      </c>
      <c r="G512" s="31">
        <f t="shared" ca="1" si="57"/>
        <v>0</v>
      </c>
      <c r="H512" s="30">
        <f t="shared" ca="1" si="58"/>
        <v>6.4</v>
      </c>
      <c r="I512" s="31">
        <f t="shared" ca="1" si="59"/>
        <v>6.4</v>
      </c>
      <c r="Q512" s="80"/>
      <c r="R512" s="42"/>
      <c r="S512" s="90">
        <f t="shared" si="64"/>
        <v>45.400000000000375</v>
      </c>
      <c r="T512" s="42"/>
      <c r="U512" s="42"/>
      <c r="V512" s="42"/>
      <c r="W512" s="42"/>
      <c r="X512" s="81"/>
    </row>
    <row r="513" spans="2:24" x14ac:dyDescent="0.25">
      <c r="B513" s="2">
        <v>1</v>
      </c>
      <c r="C513" s="1">
        <f t="shared" si="62"/>
        <v>31.470588235294088</v>
      </c>
      <c r="D513" s="1">
        <f t="shared" si="60"/>
        <v>0</v>
      </c>
      <c r="E513" s="1">
        <f t="shared" si="63"/>
        <v>1</v>
      </c>
      <c r="F513" s="31">
        <f t="shared" si="61"/>
        <v>6.4</v>
      </c>
      <c r="G513" s="31">
        <f t="shared" ca="1" si="57"/>
        <v>0</v>
      </c>
      <c r="H513" s="30">
        <f t="shared" ca="1" si="58"/>
        <v>6.4</v>
      </c>
      <c r="I513" s="31">
        <f t="shared" ca="1" si="59"/>
        <v>6.4</v>
      </c>
      <c r="Q513" s="80"/>
      <c r="R513" s="42"/>
      <c r="S513" s="90">
        <f t="shared" si="64"/>
        <v>45.500000000000377</v>
      </c>
      <c r="T513" s="42"/>
      <c r="U513" s="42"/>
      <c r="V513" s="42"/>
      <c r="W513" s="42"/>
      <c r="X513" s="81"/>
    </row>
    <row r="514" spans="2:24" x14ac:dyDescent="0.25">
      <c r="B514" s="2">
        <v>1</v>
      </c>
      <c r="C514" s="1">
        <f t="shared" si="62"/>
        <v>32.470588235294088</v>
      </c>
      <c r="D514" s="1">
        <f t="shared" si="60"/>
        <v>0</v>
      </c>
      <c r="E514" s="1">
        <f t="shared" si="63"/>
        <v>1</v>
      </c>
      <c r="F514" s="31">
        <f t="shared" si="61"/>
        <v>6.4</v>
      </c>
      <c r="G514" s="31">
        <f t="shared" ca="1" si="57"/>
        <v>0</v>
      </c>
      <c r="H514" s="30">
        <f t="shared" ca="1" si="58"/>
        <v>6.4</v>
      </c>
      <c r="I514" s="31">
        <f t="shared" ca="1" si="59"/>
        <v>6.4</v>
      </c>
      <c r="Q514" s="80"/>
      <c r="R514" s="42"/>
      <c r="S514" s="90">
        <f t="shared" si="64"/>
        <v>45.600000000000378</v>
      </c>
      <c r="T514" s="42"/>
      <c r="U514" s="42"/>
      <c r="V514" s="42"/>
      <c r="W514" s="42"/>
      <c r="X514" s="81"/>
    </row>
    <row r="515" spans="2:24" x14ac:dyDescent="0.25">
      <c r="B515" s="2">
        <v>1</v>
      </c>
      <c r="C515" s="1">
        <f t="shared" si="62"/>
        <v>33.470588235294088</v>
      </c>
      <c r="D515" s="1">
        <f t="shared" si="60"/>
        <v>0</v>
      </c>
      <c r="E515" s="1">
        <f t="shared" si="63"/>
        <v>1</v>
      </c>
      <c r="F515" s="31">
        <f t="shared" si="61"/>
        <v>6.4</v>
      </c>
      <c r="G515" s="31">
        <f t="shared" ca="1" si="57"/>
        <v>0</v>
      </c>
      <c r="H515" s="30">
        <f t="shared" ca="1" si="58"/>
        <v>6.4</v>
      </c>
      <c r="I515" s="31">
        <f t="shared" ca="1" si="59"/>
        <v>6.4</v>
      </c>
      <c r="Q515" s="80"/>
      <c r="R515" s="42"/>
      <c r="S515" s="90">
        <f t="shared" si="64"/>
        <v>45.700000000000379</v>
      </c>
      <c r="T515" s="42"/>
      <c r="U515" s="42"/>
      <c r="V515" s="42"/>
      <c r="W515" s="42"/>
      <c r="X515" s="81"/>
    </row>
    <row r="516" spans="2:24" x14ac:dyDescent="0.25">
      <c r="B516" s="2">
        <v>1</v>
      </c>
      <c r="C516" s="1">
        <f t="shared" si="62"/>
        <v>34.470588235294088</v>
      </c>
      <c r="D516" s="1">
        <f t="shared" si="60"/>
        <v>0</v>
      </c>
      <c r="E516" s="1">
        <f t="shared" si="63"/>
        <v>1</v>
      </c>
      <c r="F516" s="31">
        <f t="shared" si="61"/>
        <v>6.4</v>
      </c>
      <c r="G516" s="31">
        <f t="shared" ca="1" si="57"/>
        <v>0</v>
      </c>
      <c r="H516" s="30">
        <f t="shared" ca="1" si="58"/>
        <v>6.4</v>
      </c>
      <c r="I516" s="31">
        <f t="shared" ca="1" si="59"/>
        <v>6.4</v>
      </c>
      <c r="Q516" s="80"/>
      <c r="R516" s="42"/>
      <c r="S516" s="90">
        <f t="shared" si="64"/>
        <v>45.800000000000381</v>
      </c>
      <c r="T516" s="42"/>
      <c r="U516" s="42"/>
      <c r="V516" s="42"/>
      <c r="W516" s="42"/>
      <c r="X516" s="81"/>
    </row>
    <row r="517" spans="2:24" x14ac:dyDescent="0.25">
      <c r="B517" s="2">
        <v>1</v>
      </c>
      <c r="C517" s="1">
        <f t="shared" si="62"/>
        <v>0.17647058823526152</v>
      </c>
      <c r="D517" s="1">
        <f t="shared" si="60"/>
        <v>1</v>
      </c>
      <c r="E517" s="1">
        <f t="shared" si="63"/>
        <v>0</v>
      </c>
      <c r="F517" s="31">
        <f t="shared" si="61"/>
        <v>14.6</v>
      </c>
      <c r="G517" s="31">
        <f t="shared" ca="1" si="57"/>
        <v>6.4</v>
      </c>
      <c r="H517" s="30">
        <f t="shared" ca="1" si="58"/>
        <v>0</v>
      </c>
      <c r="I517" s="31">
        <f t="shared" ca="1" si="59"/>
        <v>6.4</v>
      </c>
      <c r="Q517" s="80"/>
      <c r="R517" s="42"/>
      <c r="S517" s="90">
        <f t="shared" si="64"/>
        <v>45.900000000000382</v>
      </c>
      <c r="T517" s="42"/>
      <c r="U517" s="42"/>
      <c r="V517" s="42"/>
      <c r="W517" s="42"/>
      <c r="X517" s="81"/>
    </row>
    <row r="518" spans="2:24" x14ac:dyDescent="0.25">
      <c r="B518" s="2">
        <v>1</v>
      </c>
      <c r="C518" s="1">
        <f t="shared" si="62"/>
        <v>1.1764705882352615</v>
      </c>
      <c r="D518" s="1">
        <f t="shared" si="60"/>
        <v>1</v>
      </c>
      <c r="E518" s="1">
        <f t="shared" si="63"/>
        <v>0</v>
      </c>
      <c r="F518" s="31">
        <f t="shared" si="61"/>
        <v>14.6</v>
      </c>
      <c r="G518" s="31">
        <f t="shared" ca="1" si="57"/>
        <v>8.4500000000000011</v>
      </c>
      <c r="H518" s="30">
        <f t="shared" ca="1" si="58"/>
        <v>0</v>
      </c>
      <c r="I518" s="31">
        <f t="shared" ca="1" si="59"/>
        <v>8.4500000000000011</v>
      </c>
      <c r="Q518" s="80"/>
      <c r="R518" s="42"/>
      <c r="S518" s="90">
        <f t="shared" si="64"/>
        <v>46.000000000000384</v>
      </c>
      <c r="T518" s="42"/>
      <c r="U518" s="42"/>
      <c r="V518" s="42"/>
      <c r="W518" s="42"/>
      <c r="X518" s="81"/>
    </row>
    <row r="519" spans="2:24" x14ac:dyDescent="0.25">
      <c r="B519" s="2">
        <v>1</v>
      </c>
      <c r="C519" s="1">
        <f t="shared" si="62"/>
        <v>2.1764705882352615</v>
      </c>
      <c r="D519" s="1">
        <f t="shared" si="60"/>
        <v>1</v>
      </c>
      <c r="E519" s="1">
        <f t="shared" si="63"/>
        <v>0</v>
      </c>
      <c r="F519" s="31">
        <f t="shared" si="61"/>
        <v>14.6</v>
      </c>
      <c r="G519" s="31">
        <f t="shared" ca="1" si="57"/>
        <v>10.5</v>
      </c>
      <c r="H519" s="30">
        <f t="shared" ca="1" si="58"/>
        <v>0</v>
      </c>
      <c r="I519" s="31">
        <f t="shared" ca="1" si="59"/>
        <v>10.5</v>
      </c>
      <c r="Q519" s="80"/>
      <c r="R519" s="42"/>
      <c r="S519" s="90">
        <f t="shared" si="64"/>
        <v>46.100000000000385</v>
      </c>
      <c r="T519" s="42"/>
      <c r="U519" s="42"/>
      <c r="V519" s="42"/>
      <c r="W519" s="42"/>
      <c r="X519" s="81"/>
    </row>
    <row r="520" spans="2:24" x14ac:dyDescent="0.25">
      <c r="B520" s="2">
        <v>1</v>
      </c>
      <c r="C520" s="1">
        <f t="shared" si="62"/>
        <v>3.1764705882352615</v>
      </c>
      <c r="D520" s="1">
        <f t="shared" si="60"/>
        <v>1</v>
      </c>
      <c r="E520" s="1">
        <f t="shared" si="63"/>
        <v>0</v>
      </c>
      <c r="F520" s="31">
        <f t="shared" si="61"/>
        <v>14.6</v>
      </c>
      <c r="G520" s="31">
        <f t="shared" ca="1" si="57"/>
        <v>12.55</v>
      </c>
      <c r="H520" s="30">
        <f t="shared" ca="1" si="58"/>
        <v>0</v>
      </c>
      <c r="I520" s="31">
        <f t="shared" ca="1" si="59"/>
        <v>12.55</v>
      </c>
      <c r="Q520" s="80"/>
      <c r="R520" s="42"/>
      <c r="S520" s="90">
        <f t="shared" si="64"/>
        <v>46.200000000000387</v>
      </c>
      <c r="T520" s="42"/>
      <c r="U520" s="42"/>
      <c r="V520" s="42"/>
      <c r="W520" s="42"/>
      <c r="X520" s="81"/>
    </row>
    <row r="521" spans="2:24" x14ac:dyDescent="0.25">
      <c r="B521" s="2">
        <v>1</v>
      </c>
      <c r="C521" s="1">
        <f t="shared" si="62"/>
        <v>4.1764705882352615</v>
      </c>
      <c r="D521" s="1">
        <f t="shared" si="60"/>
        <v>1</v>
      </c>
      <c r="E521" s="1">
        <f t="shared" si="63"/>
        <v>0</v>
      </c>
      <c r="F521" s="31">
        <f t="shared" si="61"/>
        <v>14.6</v>
      </c>
      <c r="G521" s="31">
        <f t="shared" ca="1" si="57"/>
        <v>14.6</v>
      </c>
      <c r="H521" s="30">
        <f t="shared" ca="1" si="58"/>
        <v>0</v>
      </c>
      <c r="I521" s="31">
        <f t="shared" ca="1" si="59"/>
        <v>14.6</v>
      </c>
      <c r="Q521" s="80"/>
      <c r="R521" s="42"/>
      <c r="S521" s="90">
        <f t="shared" si="64"/>
        <v>46.300000000000388</v>
      </c>
      <c r="T521" s="42"/>
      <c r="U521" s="42"/>
      <c r="V521" s="42"/>
      <c r="W521" s="42"/>
      <c r="X521" s="81"/>
    </row>
    <row r="522" spans="2:24" x14ac:dyDescent="0.25">
      <c r="B522" s="2">
        <v>1</v>
      </c>
      <c r="C522" s="1">
        <f t="shared" si="62"/>
        <v>5.1764705882352615</v>
      </c>
      <c r="D522" s="1">
        <f t="shared" si="60"/>
        <v>1</v>
      </c>
      <c r="E522" s="1">
        <f t="shared" si="63"/>
        <v>0</v>
      </c>
      <c r="F522" s="31">
        <f t="shared" si="61"/>
        <v>14.6</v>
      </c>
      <c r="G522" s="31">
        <f t="shared" ca="1" si="57"/>
        <v>14.6</v>
      </c>
      <c r="H522" s="30">
        <f t="shared" ca="1" si="58"/>
        <v>0</v>
      </c>
      <c r="I522" s="31">
        <f t="shared" ca="1" si="59"/>
        <v>14.6</v>
      </c>
      <c r="Q522" s="80"/>
      <c r="R522" s="42"/>
      <c r="S522" s="90">
        <f t="shared" si="64"/>
        <v>46.400000000000389</v>
      </c>
      <c r="T522" s="42"/>
      <c r="U522" s="42"/>
      <c r="V522" s="42"/>
      <c r="W522" s="42"/>
      <c r="X522" s="81"/>
    </row>
    <row r="523" spans="2:24" x14ac:dyDescent="0.25">
      <c r="B523" s="2">
        <v>1</v>
      </c>
      <c r="C523" s="1">
        <f t="shared" si="62"/>
        <v>6.1764705882352615</v>
      </c>
      <c r="D523" s="1">
        <f t="shared" si="60"/>
        <v>1</v>
      </c>
      <c r="E523" s="1">
        <f t="shared" si="63"/>
        <v>0</v>
      </c>
      <c r="F523" s="31">
        <f t="shared" si="61"/>
        <v>14.6</v>
      </c>
      <c r="G523" s="31">
        <f t="shared" ref="G523:G586" ca="1" si="65">IF(D523=1, AVERAGE(OFFSET(F523,-$L$27,0,$L$27,1)),0)</f>
        <v>14.6</v>
      </c>
      <c r="H523" s="30">
        <f t="shared" ref="H523:H586" ca="1" si="66">IF(D523=0, AVERAGE(OFFSET(F523,-$L$28,0,$L$28,1)),0)</f>
        <v>0</v>
      </c>
      <c r="I523" s="31">
        <f t="shared" ref="I523:I586" ca="1" si="67">G523+H523</f>
        <v>14.6</v>
      </c>
      <c r="Q523" s="80"/>
      <c r="R523" s="42"/>
      <c r="S523" s="90">
        <f t="shared" si="64"/>
        <v>46.500000000000391</v>
      </c>
      <c r="T523" s="42"/>
      <c r="U523" s="42"/>
      <c r="V523" s="42"/>
      <c r="W523" s="42"/>
      <c r="X523" s="81"/>
    </row>
    <row r="524" spans="2:24" x14ac:dyDescent="0.25">
      <c r="B524" s="2">
        <v>1</v>
      </c>
      <c r="C524" s="1">
        <f t="shared" si="62"/>
        <v>7.1764705882352615</v>
      </c>
      <c r="D524" s="1">
        <f t="shared" si="60"/>
        <v>1</v>
      </c>
      <c r="E524" s="1">
        <f t="shared" si="63"/>
        <v>0</v>
      </c>
      <c r="F524" s="31">
        <f t="shared" si="61"/>
        <v>14.6</v>
      </c>
      <c r="G524" s="31">
        <f t="shared" ca="1" si="65"/>
        <v>14.6</v>
      </c>
      <c r="H524" s="30">
        <f t="shared" ca="1" si="66"/>
        <v>0</v>
      </c>
      <c r="I524" s="31">
        <f t="shared" ca="1" si="67"/>
        <v>14.6</v>
      </c>
      <c r="Q524" s="80"/>
      <c r="R524" s="42"/>
      <c r="S524" s="90">
        <f t="shared" si="64"/>
        <v>46.600000000000392</v>
      </c>
      <c r="T524" s="42"/>
      <c r="U524" s="42"/>
      <c r="V524" s="42"/>
      <c r="W524" s="42"/>
      <c r="X524" s="81"/>
    </row>
    <row r="525" spans="2:24" x14ac:dyDescent="0.25">
      <c r="B525" s="2">
        <v>1</v>
      </c>
      <c r="C525" s="1">
        <f t="shared" si="62"/>
        <v>8.1764705882352615</v>
      </c>
      <c r="D525" s="1">
        <f t="shared" si="60"/>
        <v>1</v>
      </c>
      <c r="E525" s="1">
        <f t="shared" si="63"/>
        <v>0</v>
      </c>
      <c r="F525" s="31">
        <f t="shared" si="61"/>
        <v>14.6</v>
      </c>
      <c r="G525" s="31">
        <f t="shared" ca="1" si="65"/>
        <v>14.6</v>
      </c>
      <c r="H525" s="30">
        <f t="shared" ca="1" si="66"/>
        <v>0</v>
      </c>
      <c r="I525" s="31">
        <f t="shared" ca="1" si="67"/>
        <v>14.6</v>
      </c>
      <c r="Q525" s="80"/>
      <c r="R525" s="42"/>
      <c r="S525" s="90">
        <f t="shared" si="64"/>
        <v>46.700000000000394</v>
      </c>
      <c r="T525" s="42"/>
      <c r="U525" s="42"/>
      <c r="V525" s="42"/>
      <c r="W525" s="42"/>
      <c r="X525" s="81"/>
    </row>
    <row r="526" spans="2:24" x14ac:dyDescent="0.25">
      <c r="B526" s="2">
        <v>1</v>
      </c>
      <c r="C526" s="1">
        <f t="shared" si="62"/>
        <v>9.1764705882352615</v>
      </c>
      <c r="D526" s="1">
        <f t="shared" si="60"/>
        <v>1</v>
      </c>
      <c r="E526" s="1">
        <f t="shared" si="63"/>
        <v>0</v>
      </c>
      <c r="F526" s="31">
        <f t="shared" si="61"/>
        <v>14.6</v>
      </c>
      <c r="G526" s="31">
        <f t="shared" ca="1" si="65"/>
        <v>14.6</v>
      </c>
      <c r="H526" s="30">
        <f t="shared" ca="1" si="66"/>
        <v>0</v>
      </c>
      <c r="I526" s="31">
        <f t="shared" ca="1" si="67"/>
        <v>14.6</v>
      </c>
      <c r="Q526" s="80"/>
      <c r="R526" s="42"/>
      <c r="S526" s="90">
        <f t="shared" si="64"/>
        <v>46.800000000000395</v>
      </c>
      <c r="T526" s="42"/>
      <c r="U526" s="42"/>
      <c r="V526" s="42"/>
      <c r="W526" s="42"/>
      <c r="X526" s="81"/>
    </row>
    <row r="527" spans="2:24" x14ac:dyDescent="0.25">
      <c r="B527" s="2">
        <v>1</v>
      </c>
      <c r="C527" s="1">
        <f t="shared" si="62"/>
        <v>10.176470588235262</v>
      </c>
      <c r="D527" s="1">
        <f t="shared" si="60"/>
        <v>1</v>
      </c>
      <c r="E527" s="1">
        <f t="shared" si="63"/>
        <v>0</v>
      </c>
      <c r="F527" s="31">
        <f t="shared" si="61"/>
        <v>14.6</v>
      </c>
      <c r="G527" s="31">
        <f t="shared" ca="1" si="65"/>
        <v>14.6</v>
      </c>
      <c r="H527" s="30">
        <f t="shared" ca="1" si="66"/>
        <v>0</v>
      </c>
      <c r="I527" s="31">
        <f t="shared" ca="1" si="67"/>
        <v>14.6</v>
      </c>
      <c r="Q527" s="80"/>
      <c r="R527" s="42"/>
      <c r="S527" s="90">
        <f t="shared" si="64"/>
        <v>46.900000000000396</v>
      </c>
      <c r="T527" s="42"/>
      <c r="U527" s="42"/>
      <c r="V527" s="42"/>
      <c r="W527" s="42"/>
      <c r="X527" s="81"/>
    </row>
    <row r="528" spans="2:24" x14ac:dyDescent="0.25">
      <c r="B528" s="2">
        <v>1</v>
      </c>
      <c r="C528" s="1">
        <f t="shared" si="62"/>
        <v>11.176470588235262</v>
      </c>
      <c r="D528" s="1">
        <f t="shared" si="60"/>
        <v>1</v>
      </c>
      <c r="E528" s="1">
        <f t="shared" si="63"/>
        <v>0</v>
      </c>
      <c r="F528" s="31">
        <f t="shared" si="61"/>
        <v>14.6</v>
      </c>
      <c r="G528" s="31">
        <f t="shared" ca="1" si="65"/>
        <v>14.6</v>
      </c>
      <c r="H528" s="30">
        <f t="shared" ca="1" si="66"/>
        <v>0</v>
      </c>
      <c r="I528" s="31">
        <f t="shared" ca="1" si="67"/>
        <v>14.6</v>
      </c>
      <c r="Q528" s="80"/>
      <c r="R528" s="42"/>
      <c r="S528" s="90">
        <f t="shared" si="64"/>
        <v>47.000000000000398</v>
      </c>
      <c r="T528" s="42"/>
      <c r="U528" s="42"/>
      <c r="V528" s="42"/>
      <c r="W528" s="42"/>
      <c r="X528" s="81"/>
    </row>
    <row r="529" spans="2:24" x14ac:dyDescent="0.25">
      <c r="B529" s="2">
        <v>1</v>
      </c>
      <c r="C529" s="1">
        <f t="shared" si="62"/>
        <v>12.176470588235262</v>
      </c>
      <c r="D529" s="1">
        <f t="shared" si="60"/>
        <v>1</v>
      </c>
      <c r="E529" s="1">
        <f t="shared" si="63"/>
        <v>0</v>
      </c>
      <c r="F529" s="31">
        <f t="shared" si="61"/>
        <v>14.6</v>
      </c>
      <c r="G529" s="31">
        <f t="shared" ca="1" si="65"/>
        <v>14.6</v>
      </c>
      <c r="H529" s="30">
        <f t="shared" ca="1" si="66"/>
        <v>0</v>
      </c>
      <c r="I529" s="31">
        <f t="shared" ca="1" si="67"/>
        <v>14.6</v>
      </c>
      <c r="Q529" s="80"/>
      <c r="R529" s="42"/>
      <c r="S529" s="90">
        <f t="shared" si="64"/>
        <v>47.100000000000399</v>
      </c>
      <c r="T529" s="42"/>
      <c r="U529" s="42"/>
      <c r="V529" s="42"/>
      <c r="W529" s="42"/>
      <c r="X529" s="81"/>
    </row>
    <row r="530" spans="2:24" x14ac:dyDescent="0.25">
      <c r="B530" s="2">
        <v>1</v>
      </c>
      <c r="C530" s="1">
        <f t="shared" si="62"/>
        <v>13.176470588235262</v>
      </c>
      <c r="D530" s="1">
        <f t="shared" si="60"/>
        <v>1</v>
      </c>
      <c r="E530" s="1">
        <f t="shared" si="63"/>
        <v>0</v>
      </c>
      <c r="F530" s="31">
        <f t="shared" si="61"/>
        <v>14.6</v>
      </c>
      <c r="G530" s="31">
        <f t="shared" ca="1" si="65"/>
        <v>14.6</v>
      </c>
      <c r="H530" s="30">
        <f t="shared" ca="1" si="66"/>
        <v>0</v>
      </c>
      <c r="I530" s="31">
        <f t="shared" ca="1" si="67"/>
        <v>14.6</v>
      </c>
      <c r="Q530" s="80"/>
      <c r="R530" s="42"/>
      <c r="S530" s="90">
        <f t="shared" si="64"/>
        <v>47.200000000000401</v>
      </c>
      <c r="T530" s="42"/>
      <c r="U530" s="42"/>
      <c r="V530" s="42"/>
      <c r="W530" s="42"/>
      <c r="X530" s="81"/>
    </row>
    <row r="531" spans="2:24" x14ac:dyDescent="0.25">
      <c r="B531" s="2">
        <v>1</v>
      </c>
      <c r="C531" s="1">
        <f t="shared" si="62"/>
        <v>14.176470588235262</v>
      </c>
      <c r="D531" s="1">
        <f t="shared" si="60"/>
        <v>1</v>
      </c>
      <c r="E531" s="1">
        <f t="shared" si="63"/>
        <v>0</v>
      </c>
      <c r="F531" s="31">
        <f t="shared" si="61"/>
        <v>14.6</v>
      </c>
      <c r="G531" s="31">
        <f t="shared" ca="1" si="65"/>
        <v>14.6</v>
      </c>
      <c r="H531" s="30">
        <f t="shared" ca="1" si="66"/>
        <v>0</v>
      </c>
      <c r="I531" s="31">
        <f t="shared" ca="1" si="67"/>
        <v>14.6</v>
      </c>
      <c r="Q531" s="80"/>
      <c r="R531" s="42"/>
      <c r="S531" s="90">
        <f t="shared" si="64"/>
        <v>47.300000000000402</v>
      </c>
      <c r="T531" s="42"/>
      <c r="U531" s="42"/>
      <c r="V531" s="42"/>
      <c r="W531" s="42"/>
      <c r="X531" s="81"/>
    </row>
    <row r="532" spans="2:24" x14ac:dyDescent="0.25">
      <c r="B532" s="2">
        <v>1</v>
      </c>
      <c r="C532" s="1">
        <f t="shared" si="62"/>
        <v>15.176470588235262</v>
      </c>
      <c r="D532" s="1">
        <f t="shared" si="60"/>
        <v>1</v>
      </c>
      <c r="E532" s="1">
        <f t="shared" si="63"/>
        <v>0</v>
      </c>
      <c r="F532" s="31">
        <f t="shared" si="61"/>
        <v>14.6</v>
      </c>
      <c r="G532" s="31">
        <f t="shared" ca="1" si="65"/>
        <v>14.6</v>
      </c>
      <c r="H532" s="30">
        <f t="shared" ca="1" si="66"/>
        <v>0</v>
      </c>
      <c r="I532" s="31">
        <f t="shared" ca="1" si="67"/>
        <v>14.6</v>
      </c>
      <c r="Q532" s="80"/>
      <c r="R532" s="42"/>
      <c r="S532" s="90">
        <f t="shared" si="64"/>
        <v>47.400000000000404</v>
      </c>
      <c r="T532" s="42"/>
      <c r="U532" s="42"/>
      <c r="V532" s="42"/>
      <c r="W532" s="42"/>
      <c r="X532" s="81"/>
    </row>
    <row r="533" spans="2:24" x14ac:dyDescent="0.25">
      <c r="B533" s="2">
        <v>1</v>
      </c>
      <c r="C533" s="1">
        <f t="shared" si="62"/>
        <v>16.176470588235262</v>
      </c>
      <c r="D533" s="1">
        <f t="shared" si="60"/>
        <v>1</v>
      </c>
      <c r="E533" s="1">
        <f t="shared" si="63"/>
        <v>0</v>
      </c>
      <c r="F533" s="31">
        <f t="shared" si="61"/>
        <v>14.6</v>
      </c>
      <c r="G533" s="31">
        <f t="shared" ca="1" si="65"/>
        <v>14.6</v>
      </c>
      <c r="H533" s="30">
        <f t="shared" ca="1" si="66"/>
        <v>0</v>
      </c>
      <c r="I533" s="31">
        <f t="shared" ca="1" si="67"/>
        <v>14.6</v>
      </c>
      <c r="Q533" s="80"/>
      <c r="R533" s="42"/>
      <c r="S533" s="90">
        <f t="shared" si="64"/>
        <v>47.500000000000405</v>
      </c>
      <c r="T533" s="42"/>
      <c r="U533" s="42"/>
      <c r="V533" s="42"/>
      <c r="W533" s="42"/>
      <c r="X533" s="81"/>
    </row>
    <row r="534" spans="2:24" x14ac:dyDescent="0.25">
      <c r="B534" s="2">
        <v>1</v>
      </c>
      <c r="C534" s="1">
        <f t="shared" si="62"/>
        <v>17.176470588235262</v>
      </c>
      <c r="D534" s="1">
        <f t="shared" si="60"/>
        <v>1</v>
      </c>
      <c r="E534" s="1">
        <f t="shared" si="63"/>
        <v>0</v>
      </c>
      <c r="F534" s="31">
        <f t="shared" si="61"/>
        <v>14.6</v>
      </c>
      <c r="G534" s="31">
        <f t="shared" ca="1" si="65"/>
        <v>14.6</v>
      </c>
      <c r="H534" s="30">
        <f t="shared" ca="1" si="66"/>
        <v>0</v>
      </c>
      <c r="I534" s="31">
        <f t="shared" ca="1" si="67"/>
        <v>14.6</v>
      </c>
      <c r="Q534" s="80"/>
      <c r="R534" s="42"/>
      <c r="S534" s="90">
        <f t="shared" si="64"/>
        <v>47.600000000000406</v>
      </c>
      <c r="T534" s="42"/>
      <c r="U534" s="42"/>
      <c r="V534" s="42"/>
      <c r="W534" s="42"/>
      <c r="X534" s="81"/>
    </row>
    <row r="535" spans="2:24" x14ac:dyDescent="0.25">
      <c r="B535" s="2">
        <v>1</v>
      </c>
      <c r="C535" s="1">
        <f t="shared" si="62"/>
        <v>18.176470588235262</v>
      </c>
      <c r="D535" s="1">
        <f t="shared" si="60"/>
        <v>1</v>
      </c>
      <c r="E535" s="1">
        <f t="shared" si="63"/>
        <v>0</v>
      </c>
      <c r="F535" s="31">
        <f t="shared" si="61"/>
        <v>14.6</v>
      </c>
      <c r="G535" s="31">
        <f t="shared" ca="1" si="65"/>
        <v>14.6</v>
      </c>
      <c r="H535" s="30">
        <f t="shared" ca="1" si="66"/>
        <v>0</v>
      </c>
      <c r="I535" s="31">
        <f t="shared" ca="1" si="67"/>
        <v>14.6</v>
      </c>
      <c r="Q535" s="80"/>
      <c r="R535" s="42"/>
      <c r="S535" s="90">
        <f t="shared" si="64"/>
        <v>47.700000000000408</v>
      </c>
      <c r="T535" s="42"/>
      <c r="U535" s="42"/>
      <c r="V535" s="42"/>
      <c r="W535" s="42"/>
      <c r="X535" s="81"/>
    </row>
    <row r="536" spans="2:24" x14ac:dyDescent="0.25">
      <c r="B536" s="2">
        <v>1</v>
      </c>
      <c r="C536" s="1">
        <f t="shared" si="62"/>
        <v>19.176470588235262</v>
      </c>
      <c r="D536" s="1">
        <f t="shared" si="60"/>
        <v>1</v>
      </c>
      <c r="E536" s="1">
        <f t="shared" si="63"/>
        <v>0</v>
      </c>
      <c r="F536" s="31">
        <f t="shared" si="61"/>
        <v>14.6</v>
      </c>
      <c r="G536" s="31">
        <f t="shared" ca="1" si="65"/>
        <v>14.6</v>
      </c>
      <c r="H536" s="30">
        <f t="shared" ca="1" si="66"/>
        <v>0</v>
      </c>
      <c r="I536" s="31">
        <f t="shared" ca="1" si="67"/>
        <v>14.6</v>
      </c>
      <c r="Q536" s="80"/>
      <c r="R536" s="42"/>
      <c r="S536" s="90">
        <f t="shared" si="64"/>
        <v>47.800000000000409</v>
      </c>
      <c r="T536" s="42"/>
      <c r="U536" s="42"/>
      <c r="V536" s="42"/>
      <c r="W536" s="42"/>
      <c r="X536" s="81"/>
    </row>
    <row r="537" spans="2:24" x14ac:dyDescent="0.25">
      <c r="B537" s="2">
        <v>1</v>
      </c>
      <c r="C537" s="1">
        <f t="shared" si="62"/>
        <v>20.176470588235262</v>
      </c>
      <c r="D537" s="1">
        <f t="shared" si="60"/>
        <v>1</v>
      </c>
      <c r="E537" s="1">
        <f t="shared" si="63"/>
        <v>0</v>
      </c>
      <c r="F537" s="31">
        <f t="shared" si="61"/>
        <v>14.6</v>
      </c>
      <c r="G537" s="31">
        <f t="shared" ca="1" si="65"/>
        <v>14.6</v>
      </c>
      <c r="H537" s="30">
        <f t="shared" ca="1" si="66"/>
        <v>0</v>
      </c>
      <c r="I537" s="31">
        <f t="shared" ca="1" si="67"/>
        <v>14.6</v>
      </c>
      <c r="Q537" s="80"/>
      <c r="R537" s="42"/>
      <c r="S537" s="90">
        <f t="shared" si="64"/>
        <v>47.900000000000411</v>
      </c>
      <c r="T537" s="42"/>
      <c r="U537" s="42"/>
      <c r="V537" s="42"/>
      <c r="W537" s="42"/>
      <c r="X537" s="81"/>
    </row>
    <row r="538" spans="2:24" x14ac:dyDescent="0.25">
      <c r="B538" s="2">
        <v>1</v>
      </c>
      <c r="C538" s="1">
        <f t="shared" si="62"/>
        <v>21.176470588235262</v>
      </c>
      <c r="D538" s="1">
        <f t="shared" si="60"/>
        <v>1</v>
      </c>
      <c r="E538" s="1">
        <f t="shared" si="63"/>
        <v>0</v>
      </c>
      <c r="F538" s="31">
        <f t="shared" si="61"/>
        <v>14.6</v>
      </c>
      <c r="G538" s="31">
        <f t="shared" ca="1" si="65"/>
        <v>14.6</v>
      </c>
      <c r="H538" s="30">
        <f t="shared" ca="1" si="66"/>
        <v>0</v>
      </c>
      <c r="I538" s="31">
        <f t="shared" ca="1" si="67"/>
        <v>14.6</v>
      </c>
      <c r="Q538" s="80"/>
      <c r="R538" s="42"/>
      <c r="S538" s="90">
        <f t="shared" si="64"/>
        <v>48.000000000000412</v>
      </c>
      <c r="T538" s="42"/>
      <c r="U538" s="42"/>
      <c r="V538" s="42"/>
      <c r="W538" s="42"/>
      <c r="X538" s="81"/>
    </row>
    <row r="539" spans="2:24" x14ac:dyDescent="0.25">
      <c r="B539" s="2">
        <v>1</v>
      </c>
      <c r="C539" s="1">
        <f t="shared" si="62"/>
        <v>22.176470588235262</v>
      </c>
      <c r="D539" s="1">
        <f t="shared" si="60"/>
        <v>1</v>
      </c>
      <c r="E539" s="1">
        <f t="shared" si="63"/>
        <v>0</v>
      </c>
      <c r="F539" s="31">
        <f t="shared" si="61"/>
        <v>14.6</v>
      </c>
      <c r="G539" s="31">
        <f t="shared" ca="1" si="65"/>
        <v>14.6</v>
      </c>
      <c r="H539" s="30">
        <f t="shared" ca="1" si="66"/>
        <v>0</v>
      </c>
      <c r="I539" s="31">
        <f t="shared" ca="1" si="67"/>
        <v>14.6</v>
      </c>
      <c r="Q539" s="80"/>
      <c r="R539" s="42"/>
      <c r="S539" s="90">
        <f t="shared" si="64"/>
        <v>48.100000000000414</v>
      </c>
      <c r="T539" s="42"/>
      <c r="U539" s="42"/>
      <c r="V539" s="42"/>
      <c r="W539" s="42"/>
      <c r="X539" s="81"/>
    </row>
    <row r="540" spans="2:24" x14ac:dyDescent="0.25">
      <c r="B540" s="2">
        <v>1</v>
      </c>
      <c r="C540" s="1">
        <f t="shared" si="62"/>
        <v>23.176470588235262</v>
      </c>
      <c r="D540" s="1">
        <f t="shared" si="60"/>
        <v>0</v>
      </c>
      <c r="E540" s="1">
        <f t="shared" si="63"/>
        <v>1</v>
      </c>
      <c r="F540" s="31">
        <f t="shared" si="61"/>
        <v>6.4</v>
      </c>
      <c r="G540" s="31">
        <f t="shared" ca="1" si="65"/>
        <v>0</v>
      </c>
      <c r="H540" s="30">
        <f t="shared" ca="1" si="66"/>
        <v>14.6</v>
      </c>
      <c r="I540" s="31">
        <f t="shared" ca="1" si="67"/>
        <v>14.6</v>
      </c>
      <c r="Q540" s="80"/>
      <c r="R540" s="42"/>
      <c r="S540" s="90">
        <f t="shared" si="64"/>
        <v>48.200000000000415</v>
      </c>
      <c r="T540" s="42"/>
      <c r="U540" s="42"/>
      <c r="V540" s="42"/>
      <c r="W540" s="42"/>
      <c r="X540" s="81"/>
    </row>
    <row r="541" spans="2:24" x14ac:dyDescent="0.25">
      <c r="B541" s="2">
        <v>1</v>
      </c>
      <c r="C541" s="1">
        <f t="shared" si="62"/>
        <v>24.176470588235262</v>
      </c>
      <c r="D541" s="1">
        <f t="shared" si="60"/>
        <v>0</v>
      </c>
      <c r="E541" s="1">
        <f t="shared" si="63"/>
        <v>1</v>
      </c>
      <c r="F541" s="31">
        <f t="shared" si="61"/>
        <v>6.4</v>
      </c>
      <c r="G541" s="31">
        <f t="shared" ca="1" si="65"/>
        <v>0</v>
      </c>
      <c r="H541" s="30">
        <f t="shared" ca="1" si="66"/>
        <v>6.4</v>
      </c>
      <c r="I541" s="31">
        <f t="shared" ca="1" si="67"/>
        <v>6.4</v>
      </c>
      <c r="Q541" s="80"/>
      <c r="R541" s="42"/>
      <c r="S541" s="90">
        <f t="shared" si="64"/>
        <v>48.300000000000416</v>
      </c>
      <c r="T541" s="42"/>
      <c r="U541" s="42"/>
      <c r="V541" s="42"/>
      <c r="W541" s="42"/>
      <c r="X541" s="81"/>
    </row>
    <row r="542" spans="2:24" x14ac:dyDescent="0.25">
      <c r="B542" s="2">
        <v>1</v>
      </c>
      <c r="C542" s="1">
        <f t="shared" si="62"/>
        <v>25.176470588235262</v>
      </c>
      <c r="D542" s="1">
        <f t="shared" si="60"/>
        <v>0</v>
      </c>
      <c r="E542" s="1">
        <f t="shared" si="63"/>
        <v>1</v>
      </c>
      <c r="F542" s="31">
        <f t="shared" si="61"/>
        <v>6.4</v>
      </c>
      <c r="G542" s="31">
        <f t="shared" ca="1" si="65"/>
        <v>0</v>
      </c>
      <c r="H542" s="30">
        <f t="shared" ca="1" si="66"/>
        <v>6.4</v>
      </c>
      <c r="I542" s="31">
        <f t="shared" ca="1" si="67"/>
        <v>6.4</v>
      </c>
      <c r="Q542" s="80"/>
      <c r="R542" s="42"/>
      <c r="S542" s="90">
        <f t="shared" si="64"/>
        <v>48.400000000000418</v>
      </c>
      <c r="T542" s="42"/>
      <c r="U542" s="42"/>
      <c r="V542" s="42"/>
      <c r="W542" s="42"/>
      <c r="X542" s="81"/>
    </row>
    <row r="543" spans="2:24" x14ac:dyDescent="0.25">
      <c r="B543" s="2">
        <v>1</v>
      </c>
      <c r="C543" s="1">
        <f t="shared" si="62"/>
        <v>26.176470588235262</v>
      </c>
      <c r="D543" s="1">
        <f t="shared" si="60"/>
        <v>0</v>
      </c>
      <c r="E543" s="1">
        <f t="shared" si="63"/>
        <v>1</v>
      </c>
      <c r="F543" s="31">
        <f t="shared" si="61"/>
        <v>6.4</v>
      </c>
      <c r="G543" s="31">
        <f t="shared" ca="1" si="65"/>
        <v>0</v>
      </c>
      <c r="H543" s="30">
        <f t="shared" ca="1" si="66"/>
        <v>6.4</v>
      </c>
      <c r="I543" s="31">
        <f t="shared" ca="1" si="67"/>
        <v>6.4</v>
      </c>
      <c r="Q543" s="80"/>
      <c r="R543" s="42"/>
      <c r="S543" s="90">
        <f t="shared" si="64"/>
        <v>48.500000000000419</v>
      </c>
      <c r="T543" s="42"/>
      <c r="U543" s="42"/>
      <c r="V543" s="42"/>
      <c r="W543" s="42"/>
      <c r="X543" s="81"/>
    </row>
    <row r="544" spans="2:24" x14ac:dyDescent="0.25">
      <c r="B544" s="2">
        <v>1</v>
      </c>
      <c r="C544" s="1">
        <f t="shared" si="62"/>
        <v>27.176470588235262</v>
      </c>
      <c r="D544" s="1">
        <f t="shared" si="60"/>
        <v>0</v>
      </c>
      <c r="E544" s="1">
        <f t="shared" si="63"/>
        <v>1</v>
      </c>
      <c r="F544" s="31">
        <f t="shared" si="61"/>
        <v>6.4</v>
      </c>
      <c r="G544" s="31">
        <f t="shared" ca="1" si="65"/>
        <v>0</v>
      </c>
      <c r="H544" s="30">
        <f t="shared" ca="1" si="66"/>
        <v>6.4</v>
      </c>
      <c r="I544" s="31">
        <f t="shared" ca="1" si="67"/>
        <v>6.4</v>
      </c>
      <c r="Q544" s="80"/>
      <c r="R544" s="42"/>
      <c r="S544" s="90">
        <f t="shared" si="64"/>
        <v>48.600000000000421</v>
      </c>
      <c r="T544" s="42"/>
      <c r="U544" s="42"/>
      <c r="V544" s="42"/>
      <c r="W544" s="42"/>
      <c r="X544" s="81"/>
    </row>
    <row r="545" spans="2:24" x14ac:dyDescent="0.25">
      <c r="B545" s="2">
        <v>1</v>
      </c>
      <c r="C545" s="1">
        <f t="shared" si="62"/>
        <v>28.176470588235262</v>
      </c>
      <c r="D545" s="1">
        <f t="shared" si="60"/>
        <v>0</v>
      </c>
      <c r="E545" s="1">
        <f t="shared" si="63"/>
        <v>1</v>
      </c>
      <c r="F545" s="31">
        <f t="shared" si="61"/>
        <v>6.4</v>
      </c>
      <c r="G545" s="31">
        <f t="shared" ca="1" si="65"/>
        <v>0</v>
      </c>
      <c r="H545" s="30">
        <f t="shared" ca="1" si="66"/>
        <v>6.4</v>
      </c>
      <c r="I545" s="31">
        <f t="shared" ca="1" si="67"/>
        <v>6.4</v>
      </c>
      <c r="Q545" s="80"/>
      <c r="R545" s="42"/>
      <c r="S545" s="90">
        <f t="shared" si="64"/>
        <v>48.700000000000422</v>
      </c>
      <c r="T545" s="42"/>
      <c r="U545" s="42"/>
      <c r="V545" s="42"/>
      <c r="W545" s="42"/>
      <c r="X545" s="81"/>
    </row>
    <row r="546" spans="2:24" x14ac:dyDescent="0.25">
      <c r="B546" s="2">
        <v>1</v>
      </c>
      <c r="C546" s="1">
        <f t="shared" si="62"/>
        <v>29.176470588235262</v>
      </c>
      <c r="D546" s="1">
        <f t="shared" si="60"/>
        <v>0</v>
      </c>
      <c r="E546" s="1">
        <f t="shared" si="63"/>
        <v>1</v>
      </c>
      <c r="F546" s="31">
        <f t="shared" si="61"/>
        <v>6.4</v>
      </c>
      <c r="G546" s="31">
        <f t="shared" ca="1" si="65"/>
        <v>0</v>
      </c>
      <c r="H546" s="30">
        <f t="shared" ca="1" si="66"/>
        <v>6.4</v>
      </c>
      <c r="I546" s="31">
        <f t="shared" ca="1" si="67"/>
        <v>6.4</v>
      </c>
      <c r="Q546" s="80"/>
      <c r="R546" s="42"/>
      <c r="S546" s="90">
        <f t="shared" si="64"/>
        <v>48.800000000000423</v>
      </c>
      <c r="T546" s="42"/>
      <c r="U546" s="42"/>
      <c r="V546" s="42"/>
      <c r="W546" s="42"/>
      <c r="X546" s="81"/>
    </row>
    <row r="547" spans="2:24" x14ac:dyDescent="0.25">
      <c r="B547" s="2">
        <v>1</v>
      </c>
      <c r="C547" s="1">
        <f t="shared" si="62"/>
        <v>30.176470588235262</v>
      </c>
      <c r="D547" s="1">
        <f t="shared" si="60"/>
        <v>0</v>
      </c>
      <c r="E547" s="1">
        <f t="shared" si="63"/>
        <v>1</v>
      </c>
      <c r="F547" s="31">
        <f t="shared" si="61"/>
        <v>6.4</v>
      </c>
      <c r="G547" s="31">
        <f t="shared" ca="1" si="65"/>
        <v>0</v>
      </c>
      <c r="H547" s="30">
        <f t="shared" ca="1" si="66"/>
        <v>6.4</v>
      </c>
      <c r="I547" s="31">
        <f t="shared" ca="1" si="67"/>
        <v>6.4</v>
      </c>
      <c r="Q547" s="80"/>
      <c r="R547" s="42"/>
      <c r="S547" s="90">
        <f t="shared" si="64"/>
        <v>48.900000000000425</v>
      </c>
      <c r="T547" s="42"/>
      <c r="U547" s="42"/>
      <c r="V547" s="42"/>
      <c r="W547" s="42"/>
      <c r="X547" s="81"/>
    </row>
    <row r="548" spans="2:24" x14ac:dyDescent="0.25">
      <c r="B548" s="2">
        <v>1</v>
      </c>
      <c r="C548" s="1">
        <f t="shared" si="62"/>
        <v>31.176470588235262</v>
      </c>
      <c r="D548" s="1">
        <f t="shared" si="60"/>
        <v>0</v>
      </c>
      <c r="E548" s="1">
        <f t="shared" si="63"/>
        <v>1</v>
      </c>
      <c r="F548" s="31">
        <f t="shared" si="61"/>
        <v>6.4</v>
      </c>
      <c r="G548" s="31">
        <f t="shared" ca="1" si="65"/>
        <v>0</v>
      </c>
      <c r="H548" s="30">
        <f t="shared" ca="1" si="66"/>
        <v>6.4</v>
      </c>
      <c r="I548" s="31">
        <f t="shared" ca="1" si="67"/>
        <v>6.4</v>
      </c>
      <c r="Q548" s="80"/>
      <c r="R548" s="42"/>
      <c r="S548" s="90">
        <f t="shared" si="64"/>
        <v>49.000000000000426</v>
      </c>
      <c r="T548" s="42"/>
      <c r="U548" s="42"/>
      <c r="V548" s="42"/>
      <c r="W548" s="42"/>
      <c r="X548" s="81"/>
    </row>
    <row r="549" spans="2:24" x14ac:dyDescent="0.25">
      <c r="B549" s="2">
        <v>1</v>
      </c>
      <c r="C549" s="1">
        <f t="shared" si="62"/>
        <v>32.176470588235262</v>
      </c>
      <c r="D549" s="1">
        <f t="shared" si="60"/>
        <v>0</v>
      </c>
      <c r="E549" s="1">
        <f t="shared" si="63"/>
        <v>1</v>
      </c>
      <c r="F549" s="31">
        <f t="shared" si="61"/>
        <v>6.4</v>
      </c>
      <c r="G549" s="31">
        <f t="shared" ca="1" si="65"/>
        <v>0</v>
      </c>
      <c r="H549" s="30">
        <f t="shared" ca="1" si="66"/>
        <v>6.4</v>
      </c>
      <c r="I549" s="31">
        <f t="shared" ca="1" si="67"/>
        <v>6.4</v>
      </c>
      <c r="Q549" s="80"/>
      <c r="R549" s="42"/>
      <c r="S549" s="90">
        <f t="shared" si="64"/>
        <v>49.100000000000428</v>
      </c>
      <c r="T549" s="42"/>
      <c r="U549" s="42"/>
      <c r="V549" s="42"/>
      <c r="W549" s="42"/>
      <c r="X549" s="81"/>
    </row>
    <row r="550" spans="2:24" x14ac:dyDescent="0.25">
      <c r="B550" s="2">
        <v>1</v>
      </c>
      <c r="C550" s="1">
        <f t="shared" si="62"/>
        <v>33.176470588235262</v>
      </c>
      <c r="D550" s="1">
        <f t="shared" si="60"/>
        <v>0</v>
      </c>
      <c r="E550" s="1">
        <f t="shared" si="63"/>
        <v>1</v>
      </c>
      <c r="F550" s="31">
        <f t="shared" si="61"/>
        <v>6.4</v>
      </c>
      <c r="G550" s="31">
        <f t="shared" ca="1" si="65"/>
        <v>0</v>
      </c>
      <c r="H550" s="30">
        <f t="shared" ca="1" si="66"/>
        <v>6.4</v>
      </c>
      <c r="I550" s="31">
        <f t="shared" ca="1" si="67"/>
        <v>6.4</v>
      </c>
      <c r="Q550" s="80"/>
      <c r="R550" s="42"/>
      <c r="S550" s="90">
        <f t="shared" si="64"/>
        <v>49.200000000000429</v>
      </c>
      <c r="T550" s="42"/>
      <c r="U550" s="42"/>
      <c r="V550" s="42"/>
      <c r="W550" s="42"/>
      <c r="X550" s="81"/>
    </row>
    <row r="551" spans="2:24" x14ac:dyDescent="0.25">
      <c r="B551" s="2">
        <v>1</v>
      </c>
      <c r="C551" s="1">
        <f t="shared" si="62"/>
        <v>34.176470588235262</v>
      </c>
      <c r="D551" s="1">
        <f t="shared" si="60"/>
        <v>0</v>
      </c>
      <c r="E551" s="1">
        <f t="shared" si="63"/>
        <v>1</v>
      </c>
      <c r="F551" s="31">
        <f t="shared" si="61"/>
        <v>6.4</v>
      </c>
      <c r="G551" s="31">
        <f t="shared" ca="1" si="65"/>
        <v>0</v>
      </c>
      <c r="H551" s="30">
        <f t="shared" ca="1" si="66"/>
        <v>6.4</v>
      </c>
      <c r="I551" s="31">
        <f t="shared" ca="1" si="67"/>
        <v>6.4</v>
      </c>
      <c r="Q551" s="80"/>
      <c r="R551" s="42"/>
      <c r="S551" s="90">
        <f t="shared" si="64"/>
        <v>49.300000000000431</v>
      </c>
      <c r="T551" s="42"/>
      <c r="U551" s="42"/>
      <c r="V551" s="42"/>
      <c r="W551" s="42"/>
      <c r="X551" s="81"/>
    </row>
    <row r="552" spans="2:24" x14ac:dyDescent="0.25">
      <c r="B552" s="2">
        <v>1</v>
      </c>
      <c r="C552" s="1">
        <f t="shared" si="62"/>
        <v>35.176470588235262</v>
      </c>
      <c r="D552" s="1">
        <f t="shared" si="60"/>
        <v>0</v>
      </c>
      <c r="E552" s="1">
        <f t="shared" si="63"/>
        <v>1</v>
      </c>
      <c r="F552" s="31">
        <f t="shared" si="61"/>
        <v>6.4</v>
      </c>
      <c r="G552" s="31">
        <f t="shared" ca="1" si="65"/>
        <v>0</v>
      </c>
      <c r="H552" s="30">
        <f t="shared" ca="1" si="66"/>
        <v>6.4</v>
      </c>
      <c r="I552" s="31">
        <f t="shared" ca="1" si="67"/>
        <v>6.4</v>
      </c>
      <c r="Q552" s="80"/>
      <c r="R552" s="42"/>
      <c r="S552" s="90">
        <f t="shared" si="64"/>
        <v>49.400000000000432</v>
      </c>
      <c r="T552" s="42"/>
      <c r="U552" s="42"/>
      <c r="V552" s="42"/>
      <c r="W552" s="42"/>
      <c r="X552" s="81"/>
    </row>
    <row r="553" spans="2:24" x14ac:dyDescent="0.25">
      <c r="B553" s="2">
        <v>1</v>
      </c>
      <c r="C553" s="1">
        <f t="shared" si="62"/>
        <v>0.88235294117643548</v>
      </c>
      <c r="D553" s="1">
        <f t="shared" si="60"/>
        <v>1</v>
      </c>
      <c r="E553" s="1">
        <f t="shared" si="63"/>
        <v>0</v>
      </c>
      <c r="F553" s="31">
        <f t="shared" si="61"/>
        <v>14.6</v>
      </c>
      <c r="G553" s="31">
        <f t="shared" ca="1" si="65"/>
        <v>6.4</v>
      </c>
      <c r="H553" s="30">
        <f t="shared" ca="1" si="66"/>
        <v>0</v>
      </c>
      <c r="I553" s="31">
        <f t="shared" ca="1" si="67"/>
        <v>6.4</v>
      </c>
      <c r="Q553" s="80"/>
      <c r="R553" s="42"/>
      <c r="S553" s="90">
        <f t="shared" si="64"/>
        <v>49.500000000000433</v>
      </c>
      <c r="T553" s="42"/>
      <c r="U553" s="42"/>
      <c r="V553" s="42"/>
      <c r="W553" s="42"/>
      <c r="X553" s="81"/>
    </row>
    <row r="554" spans="2:24" x14ac:dyDescent="0.25">
      <c r="B554" s="2">
        <v>1</v>
      </c>
      <c r="C554" s="1">
        <f t="shared" si="62"/>
        <v>1.8823529411764355</v>
      </c>
      <c r="D554" s="1">
        <f t="shared" si="60"/>
        <v>1</v>
      </c>
      <c r="E554" s="1">
        <f t="shared" si="63"/>
        <v>0</v>
      </c>
      <c r="F554" s="31">
        <f t="shared" si="61"/>
        <v>14.6</v>
      </c>
      <c r="G554" s="31">
        <f t="shared" ca="1" si="65"/>
        <v>8.4500000000000011</v>
      </c>
      <c r="H554" s="30">
        <f t="shared" ca="1" si="66"/>
        <v>0</v>
      </c>
      <c r="I554" s="31">
        <f t="shared" ca="1" si="67"/>
        <v>8.4500000000000011</v>
      </c>
      <c r="Q554" s="80"/>
      <c r="R554" s="42"/>
      <c r="S554" s="90">
        <f t="shared" si="64"/>
        <v>49.600000000000435</v>
      </c>
      <c r="T554" s="42"/>
      <c r="U554" s="42"/>
      <c r="V554" s="42"/>
      <c r="W554" s="42"/>
      <c r="X554" s="81"/>
    </row>
    <row r="555" spans="2:24" x14ac:dyDescent="0.25">
      <c r="B555" s="2">
        <v>1</v>
      </c>
      <c r="C555" s="1">
        <f t="shared" si="62"/>
        <v>2.8823529411764355</v>
      </c>
      <c r="D555" s="1">
        <f t="shared" si="60"/>
        <v>1</v>
      </c>
      <c r="E555" s="1">
        <f t="shared" si="63"/>
        <v>0</v>
      </c>
      <c r="F555" s="31">
        <f t="shared" si="61"/>
        <v>14.6</v>
      </c>
      <c r="G555" s="31">
        <f t="shared" ca="1" si="65"/>
        <v>10.5</v>
      </c>
      <c r="H555" s="30">
        <f t="shared" ca="1" si="66"/>
        <v>0</v>
      </c>
      <c r="I555" s="31">
        <f t="shared" ca="1" si="67"/>
        <v>10.5</v>
      </c>
      <c r="Q555" s="80"/>
      <c r="R555" s="42"/>
      <c r="S555" s="90">
        <f t="shared" si="64"/>
        <v>49.700000000000436</v>
      </c>
      <c r="T555" s="42"/>
      <c r="U555" s="42"/>
      <c r="V555" s="42"/>
      <c r="W555" s="42"/>
      <c r="X555" s="81"/>
    </row>
    <row r="556" spans="2:24" x14ac:dyDescent="0.25">
      <c r="B556" s="2">
        <v>1</v>
      </c>
      <c r="C556" s="1">
        <f t="shared" si="62"/>
        <v>3.8823529411764355</v>
      </c>
      <c r="D556" s="1">
        <f t="shared" si="60"/>
        <v>1</v>
      </c>
      <c r="E556" s="1">
        <f t="shared" si="63"/>
        <v>0</v>
      </c>
      <c r="F556" s="31">
        <f t="shared" si="61"/>
        <v>14.6</v>
      </c>
      <c r="G556" s="31">
        <f t="shared" ca="1" si="65"/>
        <v>12.55</v>
      </c>
      <c r="H556" s="30">
        <f t="shared" ca="1" si="66"/>
        <v>0</v>
      </c>
      <c r="I556" s="31">
        <f t="shared" ca="1" si="67"/>
        <v>12.55</v>
      </c>
      <c r="Q556" s="80"/>
      <c r="R556" s="42"/>
      <c r="S556" s="90">
        <f t="shared" si="64"/>
        <v>49.800000000000438</v>
      </c>
      <c r="T556" s="42"/>
      <c r="U556" s="42"/>
      <c r="V556" s="42"/>
      <c r="W556" s="42"/>
      <c r="X556" s="81"/>
    </row>
    <row r="557" spans="2:24" x14ac:dyDescent="0.25">
      <c r="B557" s="2">
        <v>1</v>
      </c>
      <c r="C557" s="1">
        <f t="shared" si="62"/>
        <v>4.8823529411764355</v>
      </c>
      <c r="D557" s="1">
        <f t="shared" si="60"/>
        <v>1</v>
      </c>
      <c r="E557" s="1">
        <f t="shared" si="63"/>
        <v>0</v>
      </c>
      <c r="F557" s="31">
        <f t="shared" si="61"/>
        <v>14.6</v>
      </c>
      <c r="G557" s="31">
        <f t="shared" ca="1" si="65"/>
        <v>14.6</v>
      </c>
      <c r="H557" s="30">
        <f t="shared" ca="1" si="66"/>
        <v>0</v>
      </c>
      <c r="I557" s="31">
        <f t="shared" ca="1" si="67"/>
        <v>14.6</v>
      </c>
      <c r="Q557" s="80"/>
      <c r="R557" s="42"/>
      <c r="S557" s="90">
        <f t="shared" si="64"/>
        <v>49.900000000000439</v>
      </c>
      <c r="T557" s="42"/>
      <c r="U557" s="42"/>
      <c r="V557" s="42"/>
      <c r="W557" s="42"/>
      <c r="X557" s="81"/>
    </row>
    <row r="558" spans="2:24" x14ac:dyDescent="0.25">
      <c r="B558" s="2">
        <v>1</v>
      </c>
      <c r="C558" s="1">
        <f t="shared" si="62"/>
        <v>5.8823529411764355</v>
      </c>
      <c r="D558" s="1">
        <f t="shared" si="60"/>
        <v>1</v>
      </c>
      <c r="E558" s="1">
        <f t="shared" si="63"/>
        <v>0</v>
      </c>
      <c r="F558" s="31">
        <f t="shared" si="61"/>
        <v>14.6</v>
      </c>
      <c r="G558" s="31">
        <f t="shared" ca="1" si="65"/>
        <v>14.6</v>
      </c>
      <c r="H558" s="30">
        <f t="shared" ca="1" si="66"/>
        <v>0</v>
      </c>
      <c r="I558" s="31">
        <f t="shared" ca="1" si="67"/>
        <v>14.6</v>
      </c>
      <c r="Q558" s="80"/>
      <c r="R558" s="42"/>
      <c r="S558" s="90">
        <f t="shared" si="64"/>
        <v>50.000000000000441</v>
      </c>
      <c r="T558" s="42"/>
      <c r="U558" s="42"/>
      <c r="V558" s="42"/>
      <c r="W558" s="42"/>
      <c r="X558" s="81"/>
    </row>
    <row r="559" spans="2:24" x14ac:dyDescent="0.25">
      <c r="B559" s="2">
        <v>1</v>
      </c>
      <c r="C559" s="1">
        <f t="shared" si="62"/>
        <v>6.8823529411764355</v>
      </c>
      <c r="D559" s="1">
        <f t="shared" si="60"/>
        <v>1</v>
      </c>
      <c r="E559" s="1">
        <f t="shared" si="63"/>
        <v>0</v>
      </c>
      <c r="F559" s="31">
        <f t="shared" si="61"/>
        <v>14.6</v>
      </c>
      <c r="G559" s="31">
        <f t="shared" ca="1" si="65"/>
        <v>14.6</v>
      </c>
      <c r="H559" s="30">
        <f t="shared" ca="1" si="66"/>
        <v>0</v>
      </c>
      <c r="I559" s="31">
        <f t="shared" ca="1" si="67"/>
        <v>14.6</v>
      </c>
      <c r="Q559" s="80"/>
      <c r="R559" s="42"/>
      <c r="S559" s="90">
        <f t="shared" si="64"/>
        <v>50.100000000000442</v>
      </c>
      <c r="T559" s="42"/>
      <c r="U559" s="42"/>
      <c r="V559" s="42"/>
      <c r="W559" s="42"/>
      <c r="X559" s="81"/>
    </row>
    <row r="560" spans="2:24" x14ac:dyDescent="0.25">
      <c r="B560" s="2">
        <v>1</v>
      </c>
      <c r="C560" s="1">
        <f t="shared" si="62"/>
        <v>7.8823529411764355</v>
      </c>
      <c r="D560" s="1">
        <f t="shared" si="60"/>
        <v>1</v>
      </c>
      <c r="E560" s="1">
        <f t="shared" si="63"/>
        <v>0</v>
      </c>
      <c r="F560" s="31">
        <f t="shared" si="61"/>
        <v>14.6</v>
      </c>
      <c r="G560" s="31">
        <f t="shared" ca="1" si="65"/>
        <v>14.6</v>
      </c>
      <c r="H560" s="30">
        <f t="shared" ca="1" si="66"/>
        <v>0</v>
      </c>
      <c r="I560" s="31">
        <f t="shared" ca="1" si="67"/>
        <v>14.6</v>
      </c>
      <c r="Q560" s="80"/>
      <c r="R560" s="42"/>
      <c r="S560" s="90">
        <f t="shared" si="64"/>
        <v>50.200000000000443</v>
      </c>
      <c r="T560" s="42"/>
      <c r="U560" s="42"/>
      <c r="V560" s="42"/>
      <c r="W560" s="42"/>
      <c r="X560" s="81"/>
    </row>
    <row r="561" spans="2:24" x14ac:dyDescent="0.25">
      <c r="B561" s="2">
        <v>1</v>
      </c>
      <c r="C561" s="1">
        <f t="shared" si="62"/>
        <v>8.8823529411764355</v>
      </c>
      <c r="D561" s="1">
        <f t="shared" si="60"/>
        <v>1</v>
      </c>
      <c r="E561" s="1">
        <f t="shared" si="63"/>
        <v>0</v>
      </c>
      <c r="F561" s="31">
        <f t="shared" si="61"/>
        <v>14.6</v>
      </c>
      <c r="G561" s="31">
        <f t="shared" ca="1" si="65"/>
        <v>14.6</v>
      </c>
      <c r="H561" s="30">
        <f t="shared" ca="1" si="66"/>
        <v>0</v>
      </c>
      <c r="I561" s="31">
        <f t="shared" ca="1" si="67"/>
        <v>14.6</v>
      </c>
      <c r="Q561" s="80"/>
      <c r="R561" s="42"/>
      <c r="S561" s="90">
        <f t="shared" si="64"/>
        <v>50.300000000000445</v>
      </c>
      <c r="T561" s="42"/>
      <c r="U561" s="42"/>
      <c r="V561" s="42"/>
      <c r="W561" s="42"/>
      <c r="X561" s="81"/>
    </row>
    <row r="562" spans="2:24" x14ac:dyDescent="0.25">
      <c r="B562" s="2">
        <v>1</v>
      </c>
      <c r="C562" s="1">
        <f t="shared" si="62"/>
        <v>9.8823529411764355</v>
      </c>
      <c r="D562" s="1">
        <f t="shared" si="60"/>
        <v>1</v>
      </c>
      <c r="E562" s="1">
        <f t="shared" si="63"/>
        <v>0</v>
      </c>
      <c r="F562" s="31">
        <f t="shared" si="61"/>
        <v>14.6</v>
      </c>
      <c r="G562" s="31">
        <f t="shared" ca="1" si="65"/>
        <v>14.6</v>
      </c>
      <c r="H562" s="30">
        <f t="shared" ca="1" si="66"/>
        <v>0</v>
      </c>
      <c r="I562" s="31">
        <f t="shared" ca="1" si="67"/>
        <v>14.6</v>
      </c>
      <c r="Q562" s="80"/>
      <c r="R562" s="42"/>
      <c r="S562" s="90">
        <f t="shared" si="64"/>
        <v>50.400000000000446</v>
      </c>
      <c r="T562" s="42"/>
      <c r="U562" s="42"/>
      <c r="V562" s="42"/>
      <c r="W562" s="42"/>
      <c r="X562" s="81"/>
    </row>
    <row r="563" spans="2:24" x14ac:dyDescent="0.25">
      <c r="B563" s="2">
        <v>1</v>
      </c>
      <c r="C563" s="1">
        <f t="shared" si="62"/>
        <v>10.882352941176435</v>
      </c>
      <c r="D563" s="1">
        <f t="shared" si="60"/>
        <v>1</v>
      </c>
      <c r="E563" s="1">
        <f t="shared" si="63"/>
        <v>0</v>
      </c>
      <c r="F563" s="31">
        <f t="shared" si="61"/>
        <v>14.6</v>
      </c>
      <c r="G563" s="31">
        <f t="shared" ca="1" si="65"/>
        <v>14.6</v>
      </c>
      <c r="H563" s="30">
        <f t="shared" ca="1" si="66"/>
        <v>0</v>
      </c>
      <c r="I563" s="31">
        <f t="shared" ca="1" si="67"/>
        <v>14.6</v>
      </c>
      <c r="Q563" s="80"/>
      <c r="R563" s="42"/>
      <c r="S563" s="90">
        <f t="shared" si="64"/>
        <v>50.500000000000448</v>
      </c>
      <c r="T563" s="42"/>
      <c r="U563" s="42"/>
      <c r="V563" s="42"/>
      <c r="W563" s="42"/>
      <c r="X563" s="81"/>
    </row>
    <row r="564" spans="2:24" x14ac:dyDescent="0.25">
      <c r="B564" s="2">
        <v>1</v>
      </c>
      <c r="C564" s="1">
        <f t="shared" si="62"/>
        <v>11.882352941176435</v>
      </c>
      <c r="D564" s="1">
        <f t="shared" si="60"/>
        <v>1</v>
      </c>
      <c r="E564" s="1">
        <f t="shared" si="63"/>
        <v>0</v>
      </c>
      <c r="F564" s="31">
        <f t="shared" si="61"/>
        <v>14.6</v>
      </c>
      <c r="G564" s="31">
        <f t="shared" ca="1" si="65"/>
        <v>14.6</v>
      </c>
      <c r="H564" s="30">
        <f t="shared" ca="1" si="66"/>
        <v>0</v>
      </c>
      <c r="I564" s="31">
        <f t="shared" ca="1" si="67"/>
        <v>14.6</v>
      </c>
      <c r="Q564" s="80"/>
      <c r="R564" s="42"/>
      <c r="S564" s="90">
        <f t="shared" si="64"/>
        <v>50.600000000000449</v>
      </c>
      <c r="T564" s="42"/>
      <c r="U564" s="42"/>
      <c r="V564" s="42"/>
      <c r="W564" s="42"/>
      <c r="X564" s="81"/>
    </row>
    <row r="565" spans="2:24" x14ac:dyDescent="0.25">
      <c r="B565" s="2">
        <v>1</v>
      </c>
      <c r="C565" s="1">
        <f t="shared" si="62"/>
        <v>12.882352941176435</v>
      </c>
      <c r="D565" s="1">
        <f t="shared" si="60"/>
        <v>1</v>
      </c>
      <c r="E565" s="1">
        <f t="shared" si="63"/>
        <v>0</v>
      </c>
      <c r="F565" s="31">
        <f t="shared" si="61"/>
        <v>14.6</v>
      </c>
      <c r="G565" s="31">
        <f t="shared" ca="1" si="65"/>
        <v>14.6</v>
      </c>
      <c r="H565" s="30">
        <f t="shared" ca="1" si="66"/>
        <v>0</v>
      </c>
      <c r="I565" s="31">
        <f t="shared" ca="1" si="67"/>
        <v>14.6</v>
      </c>
      <c r="Q565" s="80"/>
      <c r="R565" s="42"/>
      <c r="S565" s="90">
        <f t="shared" si="64"/>
        <v>50.70000000000045</v>
      </c>
      <c r="T565" s="42"/>
      <c r="U565" s="42"/>
      <c r="V565" s="42"/>
      <c r="W565" s="42"/>
      <c r="X565" s="81"/>
    </row>
    <row r="566" spans="2:24" x14ac:dyDescent="0.25">
      <c r="B566" s="2">
        <v>1</v>
      </c>
      <c r="C566" s="1">
        <f t="shared" si="62"/>
        <v>13.882352941176435</v>
      </c>
      <c r="D566" s="1">
        <f t="shared" si="60"/>
        <v>1</v>
      </c>
      <c r="E566" s="1">
        <f t="shared" si="63"/>
        <v>0</v>
      </c>
      <c r="F566" s="31">
        <f t="shared" si="61"/>
        <v>14.6</v>
      </c>
      <c r="G566" s="31">
        <f t="shared" ca="1" si="65"/>
        <v>14.6</v>
      </c>
      <c r="H566" s="30">
        <f t="shared" ca="1" si="66"/>
        <v>0</v>
      </c>
      <c r="I566" s="31">
        <f t="shared" ca="1" si="67"/>
        <v>14.6</v>
      </c>
      <c r="Q566" s="80"/>
      <c r="R566" s="42"/>
      <c r="S566" s="90">
        <f t="shared" si="64"/>
        <v>50.800000000000452</v>
      </c>
      <c r="T566" s="42"/>
      <c r="U566" s="42"/>
      <c r="V566" s="42"/>
      <c r="W566" s="42"/>
      <c r="X566" s="81"/>
    </row>
    <row r="567" spans="2:24" x14ac:dyDescent="0.25">
      <c r="B567" s="2">
        <v>1</v>
      </c>
      <c r="C567" s="1">
        <f t="shared" si="62"/>
        <v>14.882352941176435</v>
      </c>
      <c r="D567" s="1">
        <f t="shared" si="60"/>
        <v>1</v>
      </c>
      <c r="E567" s="1">
        <f t="shared" si="63"/>
        <v>0</v>
      </c>
      <c r="F567" s="31">
        <f t="shared" si="61"/>
        <v>14.6</v>
      </c>
      <c r="G567" s="31">
        <f t="shared" ca="1" si="65"/>
        <v>14.6</v>
      </c>
      <c r="H567" s="30">
        <f t="shared" ca="1" si="66"/>
        <v>0</v>
      </c>
      <c r="I567" s="31">
        <f t="shared" ca="1" si="67"/>
        <v>14.6</v>
      </c>
      <c r="Q567" s="80"/>
      <c r="R567" s="42"/>
      <c r="S567" s="90">
        <f t="shared" si="64"/>
        <v>50.900000000000453</v>
      </c>
      <c r="T567" s="42"/>
      <c r="U567" s="42"/>
      <c r="V567" s="42"/>
      <c r="W567" s="42"/>
      <c r="X567" s="81"/>
    </row>
    <row r="568" spans="2:24" x14ac:dyDescent="0.25">
      <c r="B568" s="2">
        <v>1</v>
      </c>
      <c r="C568" s="1">
        <f t="shared" si="62"/>
        <v>15.882352941176435</v>
      </c>
      <c r="D568" s="1">
        <f t="shared" si="60"/>
        <v>1</v>
      </c>
      <c r="E568" s="1">
        <f t="shared" si="63"/>
        <v>0</v>
      </c>
      <c r="F568" s="31">
        <f t="shared" si="61"/>
        <v>14.6</v>
      </c>
      <c r="G568" s="31">
        <f t="shared" ca="1" si="65"/>
        <v>14.6</v>
      </c>
      <c r="H568" s="30">
        <f t="shared" ca="1" si="66"/>
        <v>0</v>
      </c>
      <c r="I568" s="31">
        <f t="shared" ca="1" si="67"/>
        <v>14.6</v>
      </c>
      <c r="Q568" s="80"/>
      <c r="R568" s="42"/>
      <c r="S568" s="90">
        <f t="shared" si="64"/>
        <v>51.000000000000455</v>
      </c>
      <c r="T568" s="42"/>
      <c r="U568" s="42"/>
      <c r="V568" s="42"/>
      <c r="W568" s="42"/>
      <c r="X568" s="81"/>
    </row>
    <row r="569" spans="2:24" x14ac:dyDescent="0.25">
      <c r="B569" s="2">
        <v>1</v>
      </c>
      <c r="C569" s="1">
        <f t="shared" si="62"/>
        <v>16.882352941176435</v>
      </c>
      <c r="D569" s="1">
        <f t="shared" si="60"/>
        <v>1</v>
      </c>
      <c r="E569" s="1">
        <f t="shared" si="63"/>
        <v>0</v>
      </c>
      <c r="F569" s="31">
        <f t="shared" si="61"/>
        <v>14.6</v>
      </c>
      <c r="G569" s="31">
        <f t="shared" ca="1" si="65"/>
        <v>14.6</v>
      </c>
      <c r="H569" s="30">
        <f t="shared" ca="1" si="66"/>
        <v>0</v>
      </c>
      <c r="I569" s="31">
        <f t="shared" ca="1" si="67"/>
        <v>14.6</v>
      </c>
      <c r="Q569" s="80"/>
      <c r="R569" s="42"/>
      <c r="S569" s="90">
        <f t="shared" si="64"/>
        <v>51.100000000000456</v>
      </c>
      <c r="T569" s="42"/>
      <c r="U569" s="42"/>
      <c r="V569" s="42"/>
      <c r="W569" s="42"/>
      <c r="X569" s="81"/>
    </row>
    <row r="570" spans="2:24" x14ac:dyDescent="0.25">
      <c r="B570" s="2">
        <v>1</v>
      </c>
      <c r="C570" s="1">
        <f t="shared" si="62"/>
        <v>17.882352941176435</v>
      </c>
      <c r="D570" s="1">
        <f t="shared" ref="D570:D633" si="68">IF(C570&lt;=Inhelation_Time_RT,1,0)</f>
        <v>1</v>
      </c>
      <c r="E570" s="1">
        <f t="shared" si="63"/>
        <v>0</v>
      </c>
      <c r="F570" s="31">
        <f t="shared" ref="F570:F633" si="69">(D570*Inspiratory_pressure_level) + (E570*PEEP)</f>
        <v>14.6</v>
      </c>
      <c r="G570" s="31">
        <f t="shared" ca="1" si="65"/>
        <v>14.6</v>
      </c>
      <c r="H570" s="30">
        <f t="shared" ca="1" si="66"/>
        <v>0</v>
      </c>
      <c r="I570" s="31">
        <f t="shared" ca="1" si="67"/>
        <v>14.6</v>
      </c>
      <c r="Q570" s="80"/>
      <c r="R570" s="42"/>
      <c r="S570" s="90">
        <f t="shared" si="64"/>
        <v>51.200000000000458</v>
      </c>
      <c r="T570" s="42"/>
      <c r="U570" s="42"/>
      <c r="V570" s="42"/>
      <c r="W570" s="42"/>
      <c r="X570" s="81"/>
    </row>
    <row r="571" spans="2:24" x14ac:dyDescent="0.25">
      <c r="B571" s="2">
        <v>1</v>
      </c>
      <c r="C571" s="1">
        <f t="shared" ref="C571:C634" si="70">MOD(C570+B571,time_for_breath_RT)</f>
        <v>18.882352941176435</v>
      </c>
      <c r="D571" s="1">
        <f t="shared" si="68"/>
        <v>1</v>
      </c>
      <c r="E571" s="1">
        <f t="shared" ref="E571:E634" si="71">IF(D571=1,0,1)</f>
        <v>0</v>
      </c>
      <c r="F571" s="31">
        <f t="shared" si="69"/>
        <v>14.6</v>
      </c>
      <c r="G571" s="31">
        <f t="shared" ca="1" si="65"/>
        <v>14.6</v>
      </c>
      <c r="H571" s="30">
        <f t="shared" ca="1" si="66"/>
        <v>0</v>
      </c>
      <c r="I571" s="31">
        <f t="shared" ca="1" si="67"/>
        <v>14.6</v>
      </c>
      <c r="Q571" s="80"/>
      <c r="R571" s="42"/>
      <c r="S571" s="90">
        <f t="shared" ref="S571:S634" si="72">S570+(B570 / RTC_to_seconds)</f>
        <v>51.300000000000459</v>
      </c>
      <c r="T571" s="42"/>
      <c r="U571" s="42"/>
      <c r="V571" s="42"/>
      <c r="W571" s="42"/>
      <c r="X571" s="81"/>
    </row>
    <row r="572" spans="2:24" x14ac:dyDescent="0.25">
      <c r="B572" s="2">
        <v>1</v>
      </c>
      <c r="C572" s="1">
        <f t="shared" si="70"/>
        <v>19.882352941176435</v>
      </c>
      <c r="D572" s="1">
        <f t="shared" si="68"/>
        <v>1</v>
      </c>
      <c r="E572" s="1">
        <f t="shared" si="71"/>
        <v>0</v>
      </c>
      <c r="F572" s="31">
        <f t="shared" si="69"/>
        <v>14.6</v>
      </c>
      <c r="G572" s="31">
        <f t="shared" ca="1" si="65"/>
        <v>14.6</v>
      </c>
      <c r="H572" s="30">
        <f t="shared" ca="1" si="66"/>
        <v>0</v>
      </c>
      <c r="I572" s="31">
        <f t="shared" ca="1" si="67"/>
        <v>14.6</v>
      </c>
      <c r="Q572" s="80"/>
      <c r="R572" s="42"/>
      <c r="S572" s="90">
        <f t="shared" si="72"/>
        <v>51.40000000000046</v>
      </c>
      <c r="T572" s="42"/>
      <c r="U572" s="42"/>
      <c r="V572" s="42"/>
      <c r="W572" s="42"/>
      <c r="X572" s="81"/>
    </row>
    <row r="573" spans="2:24" x14ac:dyDescent="0.25">
      <c r="B573" s="2">
        <v>1</v>
      </c>
      <c r="C573" s="1">
        <f t="shared" si="70"/>
        <v>20.882352941176435</v>
      </c>
      <c r="D573" s="1">
        <f t="shared" si="68"/>
        <v>1</v>
      </c>
      <c r="E573" s="1">
        <f t="shared" si="71"/>
        <v>0</v>
      </c>
      <c r="F573" s="31">
        <f t="shared" si="69"/>
        <v>14.6</v>
      </c>
      <c r="G573" s="31">
        <f t="shared" ca="1" si="65"/>
        <v>14.6</v>
      </c>
      <c r="H573" s="30">
        <f t="shared" ca="1" si="66"/>
        <v>0</v>
      </c>
      <c r="I573" s="31">
        <f t="shared" ca="1" si="67"/>
        <v>14.6</v>
      </c>
      <c r="Q573" s="80"/>
      <c r="R573" s="42"/>
      <c r="S573" s="90">
        <f t="shared" si="72"/>
        <v>51.500000000000462</v>
      </c>
      <c r="T573" s="42"/>
      <c r="U573" s="42"/>
      <c r="V573" s="42"/>
      <c r="W573" s="42"/>
      <c r="X573" s="81"/>
    </row>
    <row r="574" spans="2:24" x14ac:dyDescent="0.25">
      <c r="B574" s="2">
        <v>1</v>
      </c>
      <c r="C574" s="1">
        <f t="shared" si="70"/>
        <v>21.882352941176435</v>
      </c>
      <c r="D574" s="1">
        <f t="shared" si="68"/>
        <v>1</v>
      </c>
      <c r="E574" s="1">
        <f t="shared" si="71"/>
        <v>0</v>
      </c>
      <c r="F574" s="31">
        <f t="shared" si="69"/>
        <v>14.6</v>
      </c>
      <c r="G574" s="31">
        <f t="shared" ca="1" si="65"/>
        <v>14.6</v>
      </c>
      <c r="H574" s="30">
        <f t="shared" ca="1" si="66"/>
        <v>0</v>
      </c>
      <c r="I574" s="31">
        <f t="shared" ca="1" si="67"/>
        <v>14.6</v>
      </c>
      <c r="Q574" s="80"/>
      <c r="R574" s="42"/>
      <c r="S574" s="90">
        <f t="shared" si="72"/>
        <v>51.600000000000463</v>
      </c>
      <c r="T574" s="42"/>
      <c r="U574" s="42"/>
      <c r="V574" s="42"/>
      <c r="W574" s="42"/>
      <c r="X574" s="81"/>
    </row>
    <row r="575" spans="2:24" x14ac:dyDescent="0.25">
      <c r="B575" s="2">
        <v>1</v>
      </c>
      <c r="C575" s="1">
        <f t="shared" si="70"/>
        <v>22.882352941176435</v>
      </c>
      <c r="D575" s="1">
        <f t="shared" si="68"/>
        <v>0</v>
      </c>
      <c r="E575" s="1">
        <f t="shared" si="71"/>
        <v>1</v>
      </c>
      <c r="F575" s="31">
        <f t="shared" si="69"/>
        <v>6.4</v>
      </c>
      <c r="G575" s="31">
        <f t="shared" ca="1" si="65"/>
        <v>0</v>
      </c>
      <c r="H575" s="30">
        <f t="shared" ca="1" si="66"/>
        <v>14.6</v>
      </c>
      <c r="I575" s="31">
        <f t="shared" ca="1" si="67"/>
        <v>14.6</v>
      </c>
      <c r="Q575" s="80"/>
      <c r="R575" s="42"/>
      <c r="S575" s="90">
        <f t="shared" si="72"/>
        <v>51.700000000000465</v>
      </c>
      <c r="T575" s="42"/>
      <c r="U575" s="42"/>
      <c r="V575" s="42"/>
      <c r="W575" s="42"/>
      <c r="X575" s="81"/>
    </row>
    <row r="576" spans="2:24" x14ac:dyDescent="0.25">
      <c r="B576" s="2">
        <v>1</v>
      </c>
      <c r="C576" s="1">
        <f t="shared" si="70"/>
        <v>23.882352941176435</v>
      </c>
      <c r="D576" s="1">
        <f t="shared" si="68"/>
        <v>0</v>
      </c>
      <c r="E576" s="1">
        <f t="shared" si="71"/>
        <v>1</v>
      </c>
      <c r="F576" s="31">
        <f t="shared" si="69"/>
        <v>6.4</v>
      </c>
      <c r="G576" s="31">
        <f t="shared" ca="1" si="65"/>
        <v>0</v>
      </c>
      <c r="H576" s="30">
        <f t="shared" ca="1" si="66"/>
        <v>6.4</v>
      </c>
      <c r="I576" s="31">
        <f t="shared" ca="1" si="67"/>
        <v>6.4</v>
      </c>
      <c r="Q576" s="80"/>
      <c r="R576" s="42"/>
      <c r="S576" s="90">
        <f t="shared" si="72"/>
        <v>51.800000000000466</v>
      </c>
      <c r="T576" s="42"/>
      <c r="U576" s="42"/>
      <c r="V576" s="42"/>
      <c r="W576" s="42"/>
      <c r="X576" s="81"/>
    </row>
    <row r="577" spans="2:24" x14ac:dyDescent="0.25">
      <c r="B577" s="2">
        <v>1</v>
      </c>
      <c r="C577" s="1">
        <f t="shared" si="70"/>
        <v>24.882352941176435</v>
      </c>
      <c r="D577" s="1">
        <f t="shared" si="68"/>
        <v>0</v>
      </c>
      <c r="E577" s="1">
        <f t="shared" si="71"/>
        <v>1</v>
      </c>
      <c r="F577" s="31">
        <f t="shared" si="69"/>
        <v>6.4</v>
      </c>
      <c r="G577" s="31">
        <f t="shared" ca="1" si="65"/>
        <v>0</v>
      </c>
      <c r="H577" s="30">
        <f t="shared" ca="1" si="66"/>
        <v>6.4</v>
      </c>
      <c r="I577" s="31">
        <f t="shared" ca="1" si="67"/>
        <v>6.4</v>
      </c>
      <c r="Q577" s="80"/>
      <c r="R577" s="42"/>
      <c r="S577" s="90">
        <f t="shared" si="72"/>
        <v>51.900000000000468</v>
      </c>
      <c r="T577" s="42"/>
      <c r="U577" s="42"/>
      <c r="V577" s="42"/>
      <c r="W577" s="42"/>
      <c r="X577" s="81"/>
    </row>
    <row r="578" spans="2:24" x14ac:dyDescent="0.25">
      <c r="B578" s="2">
        <v>1</v>
      </c>
      <c r="C578" s="1">
        <f t="shared" si="70"/>
        <v>25.882352941176435</v>
      </c>
      <c r="D578" s="1">
        <f t="shared" si="68"/>
        <v>0</v>
      </c>
      <c r="E578" s="1">
        <f t="shared" si="71"/>
        <v>1</v>
      </c>
      <c r="F578" s="31">
        <f t="shared" si="69"/>
        <v>6.4</v>
      </c>
      <c r="G578" s="31">
        <f t="shared" ca="1" si="65"/>
        <v>0</v>
      </c>
      <c r="H578" s="30">
        <f t="shared" ca="1" si="66"/>
        <v>6.4</v>
      </c>
      <c r="I578" s="31">
        <f t="shared" ca="1" si="67"/>
        <v>6.4</v>
      </c>
      <c r="Q578" s="80"/>
      <c r="R578" s="42"/>
      <c r="S578" s="90">
        <f t="shared" si="72"/>
        <v>52.000000000000469</v>
      </c>
      <c r="T578" s="42"/>
      <c r="U578" s="42"/>
      <c r="V578" s="42"/>
      <c r="W578" s="42"/>
      <c r="X578" s="81"/>
    </row>
    <row r="579" spans="2:24" x14ac:dyDescent="0.25">
      <c r="B579" s="2">
        <v>1</v>
      </c>
      <c r="C579" s="1">
        <f t="shared" si="70"/>
        <v>26.882352941176435</v>
      </c>
      <c r="D579" s="1">
        <f t="shared" si="68"/>
        <v>0</v>
      </c>
      <c r="E579" s="1">
        <f t="shared" si="71"/>
        <v>1</v>
      </c>
      <c r="F579" s="31">
        <f t="shared" si="69"/>
        <v>6.4</v>
      </c>
      <c r="G579" s="31">
        <f t="shared" ca="1" si="65"/>
        <v>0</v>
      </c>
      <c r="H579" s="30">
        <f t="shared" ca="1" si="66"/>
        <v>6.4</v>
      </c>
      <c r="I579" s="31">
        <f t="shared" ca="1" si="67"/>
        <v>6.4</v>
      </c>
      <c r="Q579" s="80"/>
      <c r="R579" s="42"/>
      <c r="S579" s="90">
        <f t="shared" si="72"/>
        <v>52.10000000000047</v>
      </c>
      <c r="T579" s="42"/>
      <c r="U579" s="42"/>
      <c r="V579" s="42"/>
      <c r="W579" s="42"/>
      <c r="X579" s="81"/>
    </row>
    <row r="580" spans="2:24" x14ac:dyDescent="0.25">
      <c r="B580" s="2">
        <v>1</v>
      </c>
      <c r="C580" s="1">
        <f t="shared" si="70"/>
        <v>27.882352941176435</v>
      </c>
      <c r="D580" s="1">
        <f t="shared" si="68"/>
        <v>0</v>
      </c>
      <c r="E580" s="1">
        <f t="shared" si="71"/>
        <v>1</v>
      </c>
      <c r="F580" s="31">
        <f t="shared" si="69"/>
        <v>6.4</v>
      </c>
      <c r="G580" s="31">
        <f t="shared" ca="1" si="65"/>
        <v>0</v>
      </c>
      <c r="H580" s="30">
        <f t="shared" ca="1" si="66"/>
        <v>6.4</v>
      </c>
      <c r="I580" s="31">
        <f t="shared" ca="1" si="67"/>
        <v>6.4</v>
      </c>
      <c r="Q580" s="80"/>
      <c r="R580" s="42"/>
      <c r="S580" s="90">
        <f t="shared" si="72"/>
        <v>52.200000000000472</v>
      </c>
      <c r="T580" s="42"/>
      <c r="U580" s="42"/>
      <c r="V580" s="42"/>
      <c r="W580" s="42"/>
      <c r="X580" s="81"/>
    </row>
    <row r="581" spans="2:24" x14ac:dyDescent="0.25">
      <c r="B581" s="2">
        <v>1</v>
      </c>
      <c r="C581" s="1">
        <f t="shared" si="70"/>
        <v>28.882352941176435</v>
      </c>
      <c r="D581" s="1">
        <f t="shared" si="68"/>
        <v>0</v>
      </c>
      <c r="E581" s="1">
        <f t="shared" si="71"/>
        <v>1</v>
      </c>
      <c r="F581" s="31">
        <f t="shared" si="69"/>
        <v>6.4</v>
      </c>
      <c r="G581" s="31">
        <f t="shared" ca="1" si="65"/>
        <v>0</v>
      </c>
      <c r="H581" s="30">
        <f t="shared" ca="1" si="66"/>
        <v>6.4</v>
      </c>
      <c r="I581" s="31">
        <f t="shared" ca="1" si="67"/>
        <v>6.4</v>
      </c>
      <c r="Q581" s="80"/>
      <c r="R581" s="42"/>
      <c r="S581" s="90">
        <f t="shared" si="72"/>
        <v>52.300000000000473</v>
      </c>
      <c r="T581" s="42"/>
      <c r="U581" s="42"/>
      <c r="V581" s="42"/>
      <c r="W581" s="42"/>
      <c r="X581" s="81"/>
    </row>
    <row r="582" spans="2:24" x14ac:dyDescent="0.25">
      <c r="B582" s="2">
        <v>1</v>
      </c>
      <c r="C582" s="1">
        <f t="shared" si="70"/>
        <v>29.882352941176435</v>
      </c>
      <c r="D582" s="1">
        <f t="shared" si="68"/>
        <v>0</v>
      </c>
      <c r="E582" s="1">
        <f t="shared" si="71"/>
        <v>1</v>
      </c>
      <c r="F582" s="31">
        <f t="shared" si="69"/>
        <v>6.4</v>
      </c>
      <c r="G582" s="31">
        <f t="shared" ca="1" si="65"/>
        <v>0</v>
      </c>
      <c r="H582" s="30">
        <f t="shared" ca="1" si="66"/>
        <v>6.4</v>
      </c>
      <c r="I582" s="31">
        <f t="shared" ca="1" si="67"/>
        <v>6.4</v>
      </c>
      <c r="Q582" s="80"/>
      <c r="R582" s="42"/>
      <c r="S582" s="90">
        <f t="shared" si="72"/>
        <v>52.400000000000475</v>
      </c>
      <c r="T582" s="42"/>
      <c r="U582" s="42"/>
      <c r="V582" s="42"/>
      <c r="W582" s="42"/>
      <c r="X582" s="81"/>
    </row>
    <row r="583" spans="2:24" x14ac:dyDescent="0.25">
      <c r="B583" s="2">
        <v>1</v>
      </c>
      <c r="C583" s="1">
        <f t="shared" si="70"/>
        <v>30.882352941176435</v>
      </c>
      <c r="D583" s="1">
        <f t="shared" si="68"/>
        <v>0</v>
      </c>
      <c r="E583" s="1">
        <f t="shared" si="71"/>
        <v>1</v>
      </c>
      <c r="F583" s="31">
        <f t="shared" si="69"/>
        <v>6.4</v>
      </c>
      <c r="G583" s="31">
        <f t="shared" ca="1" si="65"/>
        <v>0</v>
      </c>
      <c r="H583" s="30">
        <f t="shared" ca="1" si="66"/>
        <v>6.4</v>
      </c>
      <c r="I583" s="31">
        <f t="shared" ca="1" si="67"/>
        <v>6.4</v>
      </c>
      <c r="Q583" s="80"/>
      <c r="R583" s="42"/>
      <c r="S583" s="90">
        <f t="shared" si="72"/>
        <v>52.500000000000476</v>
      </c>
      <c r="T583" s="42"/>
      <c r="U583" s="42"/>
      <c r="V583" s="42"/>
      <c r="W583" s="42"/>
      <c r="X583" s="81"/>
    </row>
    <row r="584" spans="2:24" x14ac:dyDescent="0.25">
      <c r="B584" s="2">
        <v>1</v>
      </c>
      <c r="C584" s="1">
        <f t="shared" si="70"/>
        <v>31.882352941176435</v>
      </c>
      <c r="D584" s="1">
        <f t="shared" si="68"/>
        <v>0</v>
      </c>
      <c r="E584" s="1">
        <f t="shared" si="71"/>
        <v>1</v>
      </c>
      <c r="F584" s="31">
        <f t="shared" si="69"/>
        <v>6.4</v>
      </c>
      <c r="G584" s="31">
        <f t="shared" ca="1" si="65"/>
        <v>0</v>
      </c>
      <c r="H584" s="30">
        <f t="shared" ca="1" si="66"/>
        <v>6.4</v>
      </c>
      <c r="I584" s="31">
        <f t="shared" ca="1" si="67"/>
        <v>6.4</v>
      </c>
      <c r="Q584" s="80"/>
      <c r="R584" s="42"/>
      <c r="S584" s="90">
        <f t="shared" si="72"/>
        <v>52.600000000000477</v>
      </c>
      <c r="T584" s="42"/>
      <c r="U584" s="42"/>
      <c r="V584" s="42"/>
      <c r="W584" s="42"/>
      <c r="X584" s="81"/>
    </row>
    <row r="585" spans="2:24" x14ac:dyDescent="0.25">
      <c r="B585" s="2">
        <v>1</v>
      </c>
      <c r="C585" s="1">
        <f t="shared" si="70"/>
        <v>32.882352941176435</v>
      </c>
      <c r="D585" s="1">
        <f t="shared" si="68"/>
        <v>0</v>
      </c>
      <c r="E585" s="1">
        <f t="shared" si="71"/>
        <v>1</v>
      </c>
      <c r="F585" s="31">
        <f t="shared" si="69"/>
        <v>6.4</v>
      </c>
      <c r="G585" s="31">
        <f t="shared" ca="1" si="65"/>
        <v>0</v>
      </c>
      <c r="H585" s="30">
        <f t="shared" ca="1" si="66"/>
        <v>6.4</v>
      </c>
      <c r="I585" s="31">
        <f t="shared" ca="1" si="67"/>
        <v>6.4</v>
      </c>
      <c r="Q585" s="80"/>
      <c r="R585" s="42"/>
      <c r="S585" s="90">
        <f t="shared" si="72"/>
        <v>52.700000000000479</v>
      </c>
      <c r="T585" s="42"/>
      <c r="U585" s="42"/>
      <c r="V585" s="42"/>
      <c r="W585" s="42"/>
      <c r="X585" s="81"/>
    </row>
    <row r="586" spans="2:24" x14ac:dyDescent="0.25">
      <c r="B586" s="2">
        <v>1</v>
      </c>
      <c r="C586" s="1">
        <f t="shared" si="70"/>
        <v>33.882352941176435</v>
      </c>
      <c r="D586" s="1">
        <f t="shared" si="68"/>
        <v>0</v>
      </c>
      <c r="E586" s="1">
        <f t="shared" si="71"/>
        <v>1</v>
      </c>
      <c r="F586" s="31">
        <f t="shared" si="69"/>
        <v>6.4</v>
      </c>
      <c r="G586" s="31">
        <f t="shared" ca="1" si="65"/>
        <v>0</v>
      </c>
      <c r="H586" s="30">
        <f t="shared" ca="1" si="66"/>
        <v>6.4</v>
      </c>
      <c r="I586" s="31">
        <f t="shared" ca="1" si="67"/>
        <v>6.4</v>
      </c>
      <c r="Q586" s="80"/>
      <c r="R586" s="42"/>
      <c r="S586" s="90">
        <f t="shared" si="72"/>
        <v>52.80000000000048</v>
      </c>
      <c r="T586" s="42"/>
      <c r="U586" s="42"/>
      <c r="V586" s="42"/>
      <c r="W586" s="42"/>
      <c r="X586" s="81"/>
    </row>
    <row r="587" spans="2:24" x14ac:dyDescent="0.25">
      <c r="B587" s="2">
        <v>1</v>
      </c>
      <c r="C587" s="1">
        <f t="shared" si="70"/>
        <v>34.882352941176435</v>
      </c>
      <c r="D587" s="1">
        <f t="shared" si="68"/>
        <v>0</v>
      </c>
      <c r="E587" s="1">
        <f t="shared" si="71"/>
        <v>1</v>
      </c>
      <c r="F587" s="31">
        <f t="shared" si="69"/>
        <v>6.4</v>
      </c>
      <c r="G587" s="31">
        <f t="shared" ref="G587:G650" ca="1" si="73">IF(D587=1, AVERAGE(OFFSET(F587,-$L$27,0,$L$27,1)),0)</f>
        <v>0</v>
      </c>
      <c r="H587" s="30">
        <f t="shared" ref="H587:H650" ca="1" si="74">IF(D587=0, AVERAGE(OFFSET(F587,-$L$28,0,$L$28,1)),0)</f>
        <v>6.4</v>
      </c>
      <c r="I587" s="31">
        <f t="shared" ref="I587:I650" ca="1" si="75">G587+H587</f>
        <v>6.4</v>
      </c>
      <c r="Q587" s="80"/>
      <c r="R587" s="42"/>
      <c r="S587" s="90">
        <f t="shared" si="72"/>
        <v>52.900000000000482</v>
      </c>
      <c r="T587" s="42"/>
      <c r="U587" s="42"/>
      <c r="V587" s="42"/>
      <c r="W587" s="42"/>
      <c r="X587" s="81"/>
    </row>
    <row r="588" spans="2:24" x14ac:dyDescent="0.25">
      <c r="B588" s="2">
        <v>1</v>
      </c>
      <c r="C588" s="1">
        <f t="shared" si="70"/>
        <v>0.58823529411760944</v>
      </c>
      <c r="D588" s="1">
        <f t="shared" si="68"/>
        <v>1</v>
      </c>
      <c r="E588" s="1">
        <f t="shared" si="71"/>
        <v>0</v>
      </c>
      <c r="F588" s="31">
        <f t="shared" si="69"/>
        <v>14.6</v>
      </c>
      <c r="G588" s="31">
        <f t="shared" ca="1" si="73"/>
        <v>6.4</v>
      </c>
      <c r="H588" s="30">
        <f t="shared" ca="1" si="74"/>
        <v>0</v>
      </c>
      <c r="I588" s="31">
        <f t="shared" ca="1" si="75"/>
        <v>6.4</v>
      </c>
      <c r="Q588" s="80"/>
      <c r="R588" s="42"/>
      <c r="S588" s="90">
        <f t="shared" si="72"/>
        <v>53.000000000000483</v>
      </c>
      <c r="T588" s="42"/>
      <c r="U588" s="42"/>
      <c r="V588" s="42"/>
      <c r="W588" s="42"/>
      <c r="X588" s="81"/>
    </row>
    <row r="589" spans="2:24" x14ac:dyDescent="0.25">
      <c r="B589" s="2">
        <v>1</v>
      </c>
      <c r="C589" s="1">
        <f t="shared" si="70"/>
        <v>1.5882352941176094</v>
      </c>
      <c r="D589" s="1">
        <f t="shared" si="68"/>
        <v>1</v>
      </c>
      <c r="E589" s="1">
        <f t="shared" si="71"/>
        <v>0</v>
      </c>
      <c r="F589" s="31">
        <f t="shared" si="69"/>
        <v>14.6</v>
      </c>
      <c r="G589" s="31">
        <f t="shared" ca="1" si="73"/>
        <v>8.4500000000000011</v>
      </c>
      <c r="H589" s="30">
        <f t="shared" ca="1" si="74"/>
        <v>0</v>
      </c>
      <c r="I589" s="31">
        <f t="shared" ca="1" si="75"/>
        <v>8.4500000000000011</v>
      </c>
      <c r="Q589" s="80"/>
      <c r="R589" s="42"/>
      <c r="S589" s="90">
        <f t="shared" si="72"/>
        <v>53.100000000000485</v>
      </c>
      <c r="T589" s="42"/>
      <c r="U589" s="42"/>
      <c r="V589" s="42"/>
      <c r="W589" s="42"/>
      <c r="X589" s="81"/>
    </row>
    <row r="590" spans="2:24" x14ac:dyDescent="0.25">
      <c r="B590" s="2">
        <v>1</v>
      </c>
      <c r="C590" s="1">
        <f t="shared" si="70"/>
        <v>2.5882352941176094</v>
      </c>
      <c r="D590" s="1">
        <f t="shared" si="68"/>
        <v>1</v>
      </c>
      <c r="E590" s="1">
        <f t="shared" si="71"/>
        <v>0</v>
      </c>
      <c r="F590" s="31">
        <f t="shared" si="69"/>
        <v>14.6</v>
      </c>
      <c r="G590" s="31">
        <f t="shared" ca="1" si="73"/>
        <v>10.5</v>
      </c>
      <c r="H590" s="30">
        <f t="shared" ca="1" si="74"/>
        <v>0</v>
      </c>
      <c r="I590" s="31">
        <f t="shared" ca="1" si="75"/>
        <v>10.5</v>
      </c>
      <c r="Q590" s="80"/>
      <c r="R590" s="42"/>
      <c r="S590" s="90">
        <f t="shared" si="72"/>
        <v>53.200000000000486</v>
      </c>
      <c r="T590" s="42"/>
      <c r="U590" s="42"/>
      <c r="V590" s="42"/>
      <c r="W590" s="42"/>
      <c r="X590" s="81"/>
    </row>
    <row r="591" spans="2:24" x14ac:dyDescent="0.25">
      <c r="B591" s="2">
        <v>1</v>
      </c>
      <c r="C591" s="1">
        <f t="shared" si="70"/>
        <v>3.5882352941176094</v>
      </c>
      <c r="D591" s="1">
        <f t="shared" si="68"/>
        <v>1</v>
      </c>
      <c r="E591" s="1">
        <f t="shared" si="71"/>
        <v>0</v>
      </c>
      <c r="F591" s="31">
        <f t="shared" si="69"/>
        <v>14.6</v>
      </c>
      <c r="G591" s="31">
        <f t="shared" ca="1" si="73"/>
        <v>12.55</v>
      </c>
      <c r="H591" s="30">
        <f t="shared" ca="1" si="74"/>
        <v>0</v>
      </c>
      <c r="I591" s="31">
        <f t="shared" ca="1" si="75"/>
        <v>12.55</v>
      </c>
      <c r="Q591" s="80"/>
      <c r="R591" s="42"/>
      <c r="S591" s="90">
        <f t="shared" si="72"/>
        <v>53.300000000000487</v>
      </c>
      <c r="T591" s="42"/>
      <c r="U591" s="42"/>
      <c r="V591" s="42"/>
      <c r="W591" s="42"/>
      <c r="X591" s="81"/>
    </row>
    <row r="592" spans="2:24" x14ac:dyDescent="0.25">
      <c r="B592" s="2">
        <v>1</v>
      </c>
      <c r="C592" s="1">
        <f t="shared" si="70"/>
        <v>4.5882352941176094</v>
      </c>
      <c r="D592" s="1">
        <f t="shared" si="68"/>
        <v>1</v>
      </c>
      <c r="E592" s="1">
        <f t="shared" si="71"/>
        <v>0</v>
      </c>
      <c r="F592" s="31">
        <f t="shared" si="69"/>
        <v>14.6</v>
      </c>
      <c r="G592" s="31">
        <f t="shared" ca="1" si="73"/>
        <v>14.6</v>
      </c>
      <c r="H592" s="30">
        <f t="shared" ca="1" si="74"/>
        <v>0</v>
      </c>
      <c r="I592" s="31">
        <f t="shared" ca="1" si="75"/>
        <v>14.6</v>
      </c>
      <c r="Q592" s="80"/>
      <c r="R592" s="42"/>
      <c r="S592" s="90">
        <f t="shared" si="72"/>
        <v>53.400000000000489</v>
      </c>
      <c r="T592" s="42"/>
      <c r="U592" s="42"/>
      <c r="V592" s="42"/>
      <c r="W592" s="42"/>
      <c r="X592" s="81"/>
    </row>
    <row r="593" spans="2:24" x14ac:dyDescent="0.25">
      <c r="B593" s="2">
        <v>1</v>
      </c>
      <c r="C593" s="1">
        <f t="shared" si="70"/>
        <v>5.5882352941176094</v>
      </c>
      <c r="D593" s="1">
        <f t="shared" si="68"/>
        <v>1</v>
      </c>
      <c r="E593" s="1">
        <f t="shared" si="71"/>
        <v>0</v>
      </c>
      <c r="F593" s="31">
        <f t="shared" si="69"/>
        <v>14.6</v>
      </c>
      <c r="G593" s="31">
        <f t="shared" ca="1" si="73"/>
        <v>14.6</v>
      </c>
      <c r="H593" s="30">
        <f t="shared" ca="1" si="74"/>
        <v>0</v>
      </c>
      <c r="I593" s="31">
        <f t="shared" ca="1" si="75"/>
        <v>14.6</v>
      </c>
      <c r="Q593" s="80"/>
      <c r="R593" s="42"/>
      <c r="S593" s="90">
        <f t="shared" si="72"/>
        <v>53.50000000000049</v>
      </c>
      <c r="T593" s="42"/>
      <c r="U593" s="42"/>
      <c r="V593" s="42"/>
      <c r="W593" s="42"/>
      <c r="X593" s="81"/>
    </row>
    <row r="594" spans="2:24" x14ac:dyDescent="0.25">
      <c r="B594" s="2">
        <v>1</v>
      </c>
      <c r="C594" s="1">
        <f t="shared" si="70"/>
        <v>6.5882352941176094</v>
      </c>
      <c r="D594" s="1">
        <f t="shared" si="68"/>
        <v>1</v>
      </c>
      <c r="E594" s="1">
        <f t="shared" si="71"/>
        <v>0</v>
      </c>
      <c r="F594" s="31">
        <f t="shared" si="69"/>
        <v>14.6</v>
      </c>
      <c r="G594" s="31">
        <f t="shared" ca="1" si="73"/>
        <v>14.6</v>
      </c>
      <c r="H594" s="30">
        <f t="shared" ca="1" si="74"/>
        <v>0</v>
      </c>
      <c r="I594" s="31">
        <f t="shared" ca="1" si="75"/>
        <v>14.6</v>
      </c>
      <c r="Q594" s="80"/>
      <c r="R594" s="42"/>
      <c r="S594" s="90">
        <f t="shared" si="72"/>
        <v>53.600000000000492</v>
      </c>
      <c r="T594" s="42"/>
      <c r="U594" s="42"/>
      <c r="V594" s="42"/>
      <c r="W594" s="42"/>
      <c r="X594" s="81"/>
    </row>
    <row r="595" spans="2:24" x14ac:dyDescent="0.25">
      <c r="B595" s="2">
        <v>1</v>
      </c>
      <c r="C595" s="1">
        <f t="shared" si="70"/>
        <v>7.5882352941176094</v>
      </c>
      <c r="D595" s="1">
        <f t="shared" si="68"/>
        <v>1</v>
      </c>
      <c r="E595" s="1">
        <f t="shared" si="71"/>
        <v>0</v>
      </c>
      <c r="F595" s="31">
        <f t="shared" si="69"/>
        <v>14.6</v>
      </c>
      <c r="G595" s="31">
        <f t="shared" ca="1" si="73"/>
        <v>14.6</v>
      </c>
      <c r="H595" s="30">
        <f t="shared" ca="1" si="74"/>
        <v>0</v>
      </c>
      <c r="I595" s="31">
        <f t="shared" ca="1" si="75"/>
        <v>14.6</v>
      </c>
      <c r="Q595" s="80"/>
      <c r="R595" s="42"/>
      <c r="S595" s="90">
        <f t="shared" si="72"/>
        <v>53.700000000000493</v>
      </c>
      <c r="T595" s="42"/>
      <c r="U595" s="42"/>
      <c r="V595" s="42"/>
      <c r="W595" s="42"/>
      <c r="X595" s="81"/>
    </row>
    <row r="596" spans="2:24" x14ac:dyDescent="0.25">
      <c r="B596" s="2">
        <v>1</v>
      </c>
      <c r="C596" s="1">
        <f t="shared" si="70"/>
        <v>8.5882352941176094</v>
      </c>
      <c r="D596" s="1">
        <f t="shared" si="68"/>
        <v>1</v>
      </c>
      <c r="E596" s="1">
        <f t="shared" si="71"/>
        <v>0</v>
      </c>
      <c r="F596" s="31">
        <f t="shared" si="69"/>
        <v>14.6</v>
      </c>
      <c r="G596" s="31">
        <f t="shared" ca="1" si="73"/>
        <v>14.6</v>
      </c>
      <c r="H596" s="30">
        <f t="shared" ca="1" si="74"/>
        <v>0</v>
      </c>
      <c r="I596" s="31">
        <f t="shared" ca="1" si="75"/>
        <v>14.6</v>
      </c>
      <c r="Q596" s="80"/>
      <c r="R596" s="42"/>
      <c r="S596" s="90">
        <f t="shared" si="72"/>
        <v>53.800000000000495</v>
      </c>
      <c r="T596" s="42"/>
      <c r="U596" s="42"/>
      <c r="V596" s="42"/>
      <c r="W596" s="42"/>
      <c r="X596" s="81"/>
    </row>
    <row r="597" spans="2:24" x14ac:dyDescent="0.25">
      <c r="B597" s="2">
        <v>1</v>
      </c>
      <c r="C597" s="1">
        <f t="shared" si="70"/>
        <v>9.5882352941176094</v>
      </c>
      <c r="D597" s="1">
        <f t="shared" si="68"/>
        <v>1</v>
      </c>
      <c r="E597" s="1">
        <f t="shared" si="71"/>
        <v>0</v>
      </c>
      <c r="F597" s="31">
        <f t="shared" si="69"/>
        <v>14.6</v>
      </c>
      <c r="G597" s="31">
        <f t="shared" ca="1" si="73"/>
        <v>14.6</v>
      </c>
      <c r="H597" s="30">
        <f t="shared" ca="1" si="74"/>
        <v>0</v>
      </c>
      <c r="I597" s="31">
        <f t="shared" ca="1" si="75"/>
        <v>14.6</v>
      </c>
      <c r="Q597" s="80"/>
      <c r="R597" s="42"/>
      <c r="S597" s="90">
        <f t="shared" si="72"/>
        <v>53.900000000000496</v>
      </c>
      <c r="T597" s="42"/>
      <c r="U597" s="42"/>
      <c r="V597" s="42"/>
      <c r="W597" s="42"/>
      <c r="X597" s="81"/>
    </row>
    <row r="598" spans="2:24" x14ac:dyDescent="0.25">
      <c r="B598" s="2">
        <v>1</v>
      </c>
      <c r="C598" s="1">
        <f t="shared" si="70"/>
        <v>10.588235294117609</v>
      </c>
      <c r="D598" s="1">
        <f t="shared" si="68"/>
        <v>1</v>
      </c>
      <c r="E598" s="1">
        <f t="shared" si="71"/>
        <v>0</v>
      </c>
      <c r="F598" s="31">
        <f t="shared" si="69"/>
        <v>14.6</v>
      </c>
      <c r="G598" s="31">
        <f t="shared" ca="1" si="73"/>
        <v>14.6</v>
      </c>
      <c r="H598" s="30">
        <f t="shared" ca="1" si="74"/>
        <v>0</v>
      </c>
      <c r="I598" s="31">
        <f t="shared" ca="1" si="75"/>
        <v>14.6</v>
      </c>
      <c r="Q598" s="80"/>
      <c r="R598" s="42"/>
      <c r="S598" s="90">
        <f t="shared" si="72"/>
        <v>54.000000000000497</v>
      </c>
      <c r="T598" s="42"/>
      <c r="U598" s="42"/>
      <c r="V598" s="42"/>
      <c r="W598" s="42"/>
      <c r="X598" s="81"/>
    </row>
    <row r="599" spans="2:24" x14ac:dyDescent="0.25">
      <c r="B599" s="2">
        <v>1</v>
      </c>
      <c r="C599" s="1">
        <f t="shared" si="70"/>
        <v>11.588235294117609</v>
      </c>
      <c r="D599" s="1">
        <f t="shared" si="68"/>
        <v>1</v>
      </c>
      <c r="E599" s="1">
        <f t="shared" si="71"/>
        <v>0</v>
      </c>
      <c r="F599" s="31">
        <f t="shared" si="69"/>
        <v>14.6</v>
      </c>
      <c r="G599" s="31">
        <f t="shared" ca="1" si="73"/>
        <v>14.6</v>
      </c>
      <c r="H599" s="30">
        <f t="shared" ca="1" si="74"/>
        <v>0</v>
      </c>
      <c r="I599" s="31">
        <f t="shared" ca="1" si="75"/>
        <v>14.6</v>
      </c>
      <c r="Q599" s="80"/>
      <c r="R599" s="42"/>
      <c r="S599" s="90">
        <f t="shared" si="72"/>
        <v>54.100000000000499</v>
      </c>
      <c r="T599" s="42"/>
      <c r="U599" s="42"/>
      <c r="V599" s="42"/>
      <c r="W599" s="42"/>
      <c r="X599" s="81"/>
    </row>
    <row r="600" spans="2:24" x14ac:dyDescent="0.25">
      <c r="B600" s="2">
        <v>1</v>
      </c>
      <c r="C600" s="1">
        <f t="shared" si="70"/>
        <v>12.588235294117609</v>
      </c>
      <c r="D600" s="1">
        <f t="shared" si="68"/>
        <v>1</v>
      </c>
      <c r="E600" s="1">
        <f t="shared" si="71"/>
        <v>0</v>
      </c>
      <c r="F600" s="31">
        <f t="shared" si="69"/>
        <v>14.6</v>
      </c>
      <c r="G600" s="31">
        <f t="shared" ca="1" si="73"/>
        <v>14.6</v>
      </c>
      <c r="H600" s="30">
        <f t="shared" ca="1" si="74"/>
        <v>0</v>
      </c>
      <c r="I600" s="31">
        <f t="shared" ca="1" si="75"/>
        <v>14.6</v>
      </c>
      <c r="Q600" s="80"/>
      <c r="R600" s="42"/>
      <c r="S600" s="90">
        <f t="shared" si="72"/>
        <v>54.2000000000005</v>
      </c>
      <c r="T600" s="42"/>
      <c r="U600" s="42"/>
      <c r="V600" s="42"/>
      <c r="W600" s="42"/>
      <c r="X600" s="81"/>
    </row>
    <row r="601" spans="2:24" x14ac:dyDescent="0.25">
      <c r="B601" s="2">
        <v>1</v>
      </c>
      <c r="C601" s="1">
        <f t="shared" si="70"/>
        <v>13.588235294117609</v>
      </c>
      <c r="D601" s="1">
        <f t="shared" si="68"/>
        <v>1</v>
      </c>
      <c r="E601" s="1">
        <f t="shared" si="71"/>
        <v>0</v>
      </c>
      <c r="F601" s="31">
        <f t="shared" si="69"/>
        <v>14.6</v>
      </c>
      <c r="G601" s="31">
        <f t="shared" ca="1" si="73"/>
        <v>14.6</v>
      </c>
      <c r="H601" s="30">
        <f t="shared" ca="1" si="74"/>
        <v>0</v>
      </c>
      <c r="I601" s="31">
        <f t="shared" ca="1" si="75"/>
        <v>14.6</v>
      </c>
      <c r="Q601" s="80"/>
      <c r="R601" s="42"/>
      <c r="S601" s="90">
        <f t="shared" si="72"/>
        <v>54.300000000000502</v>
      </c>
      <c r="T601" s="42"/>
      <c r="U601" s="42"/>
      <c r="V601" s="42"/>
      <c r="W601" s="42"/>
      <c r="X601" s="81"/>
    </row>
    <row r="602" spans="2:24" x14ac:dyDescent="0.25">
      <c r="B602" s="2">
        <v>1</v>
      </c>
      <c r="C602" s="1">
        <f t="shared" si="70"/>
        <v>14.588235294117609</v>
      </c>
      <c r="D602" s="1">
        <f t="shared" si="68"/>
        <v>1</v>
      </c>
      <c r="E602" s="1">
        <f t="shared" si="71"/>
        <v>0</v>
      </c>
      <c r="F602" s="31">
        <f t="shared" si="69"/>
        <v>14.6</v>
      </c>
      <c r="G602" s="31">
        <f t="shared" ca="1" si="73"/>
        <v>14.6</v>
      </c>
      <c r="H602" s="30">
        <f t="shared" ca="1" si="74"/>
        <v>0</v>
      </c>
      <c r="I602" s="31">
        <f t="shared" ca="1" si="75"/>
        <v>14.6</v>
      </c>
      <c r="Q602" s="80"/>
      <c r="R602" s="42"/>
      <c r="S602" s="90">
        <f t="shared" si="72"/>
        <v>54.400000000000503</v>
      </c>
      <c r="T602" s="42"/>
      <c r="U602" s="42"/>
      <c r="V602" s="42"/>
      <c r="W602" s="42"/>
      <c r="X602" s="81"/>
    </row>
    <row r="603" spans="2:24" x14ac:dyDescent="0.25">
      <c r="B603" s="2">
        <v>1</v>
      </c>
      <c r="C603" s="1">
        <f t="shared" si="70"/>
        <v>15.588235294117609</v>
      </c>
      <c r="D603" s="1">
        <f t="shared" si="68"/>
        <v>1</v>
      </c>
      <c r="E603" s="1">
        <f t="shared" si="71"/>
        <v>0</v>
      </c>
      <c r="F603" s="31">
        <f t="shared" si="69"/>
        <v>14.6</v>
      </c>
      <c r="G603" s="31">
        <f t="shared" ca="1" si="73"/>
        <v>14.6</v>
      </c>
      <c r="H603" s="30">
        <f t="shared" ca="1" si="74"/>
        <v>0</v>
      </c>
      <c r="I603" s="31">
        <f t="shared" ca="1" si="75"/>
        <v>14.6</v>
      </c>
      <c r="Q603" s="80"/>
      <c r="R603" s="42"/>
      <c r="S603" s="90">
        <f t="shared" si="72"/>
        <v>54.500000000000504</v>
      </c>
      <c r="T603" s="42"/>
      <c r="U603" s="42"/>
      <c r="V603" s="42"/>
      <c r="W603" s="42"/>
      <c r="X603" s="81"/>
    </row>
    <row r="604" spans="2:24" x14ac:dyDescent="0.25">
      <c r="B604" s="2">
        <v>1</v>
      </c>
      <c r="C604" s="1">
        <f t="shared" si="70"/>
        <v>16.588235294117609</v>
      </c>
      <c r="D604" s="1">
        <f t="shared" si="68"/>
        <v>1</v>
      </c>
      <c r="E604" s="1">
        <f t="shared" si="71"/>
        <v>0</v>
      </c>
      <c r="F604" s="31">
        <f t="shared" si="69"/>
        <v>14.6</v>
      </c>
      <c r="G604" s="31">
        <f t="shared" ca="1" si="73"/>
        <v>14.6</v>
      </c>
      <c r="H604" s="30">
        <f t="shared" ca="1" si="74"/>
        <v>0</v>
      </c>
      <c r="I604" s="31">
        <f t="shared" ca="1" si="75"/>
        <v>14.6</v>
      </c>
      <c r="Q604" s="80"/>
      <c r="R604" s="42"/>
      <c r="S604" s="90">
        <f t="shared" si="72"/>
        <v>54.600000000000506</v>
      </c>
      <c r="T604" s="42"/>
      <c r="U604" s="42"/>
      <c r="V604" s="42"/>
      <c r="W604" s="42"/>
      <c r="X604" s="81"/>
    </row>
    <row r="605" spans="2:24" x14ac:dyDescent="0.25">
      <c r="B605" s="2">
        <v>1</v>
      </c>
      <c r="C605" s="1">
        <f t="shared" si="70"/>
        <v>17.588235294117609</v>
      </c>
      <c r="D605" s="1">
        <f t="shared" si="68"/>
        <v>1</v>
      </c>
      <c r="E605" s="1">
        <f t="shared" si="71"/>
        <v>0</v>
      </c>
      <c r="F605" s="31">
        <f t="shared" si="69"/>
        <v>14.6</v>
      </c>
      <c r="G605" s="31">
        <f t="shared" ca="1" si="73"/>
        <v>14.6</v>
      </c>
      <c r="H605" s="30">
        <f t="shared" ca="1" si="74"/>
        <v>0</v>
      </c>
      <c r="I605" s="31">
        <f t="shared" ca="1" si="75"/>
        <v>14.6</v>
      </c>
      <c r="Q605" s="80"/>
      <c r="R605" s="42"/>
      <c r="S605" s="90">
        <f t="shared" si="72"/>
        <v>54.700000000000507</v>
      </c>
      <c r="T605" s="42"/>
      <c r="U605" s="42"/>
      <c r="V605" s="42"/>
      <c r="W605" s="42"/>
      <c r="X605" s="81"/>
    </row>
    <row r="606" spans="2:24" x14ac:dyDescent="0.25">
      <c r="B606" s="2">
        <v>1</v>
      </c>
      <c r="C606" s="1">
        <f t="shared" si="70"/>
        <v>18.588235294117609</v>
      </c>
      <c r="D606" s="1">
        <f t="shared" si="68"/>
        <v>1</v>
      </c>
      <c r="E606" s="1">
        <f t="shared" si="71"/>
        <v>0</v>
      </c>
      <c r="F606" s="31">
        <f t="shared" si="69"/>
        <v>14.6</v>
      </c>
      <c r="G606" s="31">
        <f t="shared" ca="1" si="73"/>
        <v>14.6</v>
      </c>
      <c r="H606" s="30">
        <f t="shared" ca="1" si="74"/>
        <v>0</v>
      </c>
      <c r="I606" s="31">
        <f t="shared" ca="1" si="75"/>
        <v>14.6</v>
      </c>
      <c r="Q606" s="80"/>
      <c r="R606" s="42"/>
      <c r="S606" s="90">
        <f t="shared" si="72"/>
        <v>54.800000000000509</v>
      </c>
      <c r="T606" s="42"/>
      <c r="U606" s="42"/>
      <c r="V606" s="42"/>
      <c r="W606" s="42"/>
      <c r="X606" s="81"/>
    </row>
    <row r="607" spans="2:24" x14ac:dyDescent="0.25">
      <c r="B607" s="2">
        <v>1</v>
      </c>
      <c r="C607" s="1">
        <f t="shared" si="70"/>
        <v>19.588235294117609</v>
      </c>
      <c r="D607" s="1">
        <f t="shared" si="68"/>
        <v>1</v>
      </c>
      <c r="E607" s="1">
        <f t="shared" si="71"/>
        <v>0</v>
      </c>
      <c r="F607" s="31">
        <f t="shared" si="69"/>
        <v>14.6</v>
      </c>
      <c r="G607" s="31">
        <f t="shared" ca="1" si="73"/>
        <v>14.6</v>
      </c>
      <c r="H607" s="30">
        <f t="shared" ca="1" si="74"/>
        <v>0</v>
      </c>
      <c r="I607" s="31">
        <f t="shared" ca="1" si="75"/>
        <v>14.6</v>
      </c>
      <c r="Q607" s="80"/>
      <c r="R607" s="42"/>
      <c r="S607" s="90">
        <f t="shared" si="72"/>
        <v>54.90000000000051</v>
      </c>
      <c r="T607" s="42"/>
      <c r="U607" s="42"/>
      <c r="V607" s="42"/>
      <c r="W607" s="42"/>
      <c r="X607" s="81"/>
    </row>
    <row r="608" spans="2:24" x14ac:dyDescent="0.25">
      <c r="B608" s="2">
        <v>1</v>
      </c>
      <c r="C608" s="1">
        <f t="shared" si="70"/>
        <v>20.588235294117609</v>
      </c>
      <c r="D608" s="1">
        <f t="shared" si="68"/>
        <v>1</v>
      </c>
      <c r="E608" s="1">
        <f t="shared" si="71"/>
        <v>0</v>
      </c>
      <c r="F608" s="31">
        <f t="shared" si="69"/>
        <v>14.6</v>
      </c>
      <c r="G608" s="31">
        <f t="shared" ca="1" si="73"/>
        <v>14.6</v>
      </c>
      <c r="H608" s="30">
        <f t="shared" ca="1" si="74"/>
        <v>0</v>
      </c>
      <c r="I608" s="31">
        <f t="shared" ca="1" si="75"/>
        <v>14.6</v>
      </c>
      <c r="Q608" s="80"/>
      <c r="R608" s="42"/>
      <c r="S608" s="90">
        <f t="shared" si="72"/>
        <v>55.000000000000512</v>
      </c>
      <c r="T608" s="42"/>
      <c r="U608" s="42"/>
      <c r="V608" s="42"/>
      <c r="W608" s="42"/>
      <c r="X608" s="81"/>
    </row>
    <row r="609" spans="2:24" x14ac:dyDescent="0.25">
      <c r="B609" s="2">
        <v>1</v>
      </c>
      <c r="C609" s="1">
        <f t="shared" si="70"/>
        <v>21.588235294117609</v>
      </c>
      <c r="D609" s="1">
        <f t="shared" si="68"/>
        <v>1</v>
      </c>
      <c r="E609" s="1">
        <f t="shared" si="71"/>
        <v>0</v>
      </c>
      <c r="F609" s="31">
        <f t="shared" si="69"/>
        <v>14.6</v>
      </c>
      <c r="G609" s="31">
        <f t="shared" ca="1" si="73"/>
        <v>14.6</v>
      </c>
      <c r="H609" s="30">
        <f t="shared" ca="1" si="74"/>
        <v>0</v>
      </c>
      <c r="I609" s="31">
        <f t="shared" ca="1" si="75"/>
        <v>14.6</v>
      </c>
      <c r="Q609" s="80"/>
      <c r="R609" s="42"/>
      <c r="S609" s="90">
        <f t="shared" si="72"/>
        <v>55.100000000000513</v>
      </c>
      <c r="T609" s="42"/>
      <c r="U609" s="42"/>
      <c r="V609" s="42"/>
      <c r="W609" s="42"/>
      <c r="X609" s="81"/>
    </row>
    <row r="610" spans="2:24" x14ac:dyDescent="0.25">
      <c r="B610" s="2">
        <v>1</v>
      </c>
      <c r="C610" s="1">
        <f t="shared" si="70"/>
        <v>22.588235294117609</v>
      </c>
      <c r="D610" s="1">
        <f t="shared" si="68"/>
        <v>1</v>
      </c>
      <c r="E610" s="1">
        <f t="shared" si="71"/>
        <v>0</v>
      </c>
      <c r="F610" s="31">
        <f t="shared" si="69"/>
        <v>14.6</v>
      </c>
      <c r="G610" s="31">
        <f t="shared" ca="1" si="73"/>
        <v>14.6</v>
      </c>
      <c r="H610" s="30">
        <f t="shared" ca="1" si="74"/>
        <v>0</v>
      </c>
      <c r="I610" s="31">
        <f t="shared" ca="1" si="75"/>
        <v>14.6</v>
      </c>
      <c r="Q610" s="80"/>
      <c r="R610" s="42"/>
      <c r="S610" s="90">
        <f t="shared" si="72"/>
        <v>55.200000000000514</v>
      </c>
      <c r="T610" s="42"/>
      <c r="U610" s="42"/>
      <c r="V610" s="42"/>
      <c r="W610" s="42"/>
      <c r="X610" s="81"/>
    </row>
    <row r="611" spans="2:24" x14ac:dyDescent="0.25">
      <c r="B611" s="2">
        <v>1</v>
      </c>
      <c r="C611" s="1">
        <f t="shared" si="70"/>
        <v>23.588235294117609</v>
      </c>
      <c r="D611" s="1">
        <f t="shared" si="68"/>
        <v>0</v>
      </c>
      <c r="E611" s="1">
        <f t="shared" si="71"/>
        <v>1</v>
      </c>
      <c r="F611" s="31">
        <f t="shared" si="69"/>
        <v>6.4</v>
      </c>
      <c r="G611" s="31">
        <f t="shared" ca="1" si="73"/>
        <v>0</v>
      </c>
      <c r="H611" s="30">
        <f t="shared" ca="1" si="74"/>
        <v>14.6</v>
      </c>
      <c r="I611" s="31">
        <f t="shared" ca="1" si="75"/>
        <v>14.6</v>
      </c>
      <c r="Q611" s="80"/>
      <c r="R611" s="42"/>
      <c r="S611" s="90">
        <f t="shared" si="72"/>
        <v>55.300000000000516</v>
      </c>
      <c r="T611" s="42"/>
      <c r="U611" s="42"/>
      <c r="V611" s="42"/>
      <c r="W611" s="42"/>
      <c r="X611" s="81"/>
    </row>
    <row r="612" spans="2:24" x14ac:dyDescent="0.25">
      <c r="B612" s="2">
        <v>1</v>
      </c>
      <c r="C612" s="1">
        <f t="shared" si="70"/>
        <v>24.588235294117609</v>
      </c>
      <c r="D612" s="1">
        <f t="shared" si="68"/>
        <v>0</v>
      </c>
      <c r="E612" s="1">
        <f t="shared" si="71"/>
        <v>1</v>
      </c>
      <c r="F612" s="31">
        <f t="shared" si="69"/>
        <v>6.4</v>
      </c>
      <c r="G612" s="31">
        <f t="shared" ca="1" si="73"/>
        <v>0</v>
      </c>
      <c r="H612" s="30">
        <f t="shared" ca="1" si="74"/>
        <v>6.4</v>
      </c>
      <c r="I612" s="31">
        <f t="shared" ca="1" si="75"/>
        <v>6.4</v>
      </c>
      <c r="Q612" s="80"/>
      <c r="R612" s="42"/>
      <c r="S612" s="90">
        <f t="shared" si="72"/>
        <v>55.400000000000517</v>
      </c>
      <c r="T612" s="42"/>
      <c r="U612" s="42"/>
      <c r="V612" s="42"/>
      <c r="W612" s="42"/>
      <c r="X612" s="81"/>
    </row>
    <row r="613" spans="2:24" x14ac:dyDescent="0.25">
      <c r="B613" s="2">
        <v>1</v>
      </c>
      <c r="C613" s="1">
        <f t="shared" si="70"/>
        <v>25.588235294117609</v>
      </c>
      <c r="D613" s="1">
        <f t="shared" si="68"/>
        <v>0</v>
      </c>
      <c r="E613" s="1">
        <f t="shared" si="71"/>
        <v>1</v>
      </c>
      <c r="F613" s="31">
        <f t="shared" si="69"/>
        <v>6.4</v>
      </c>
      <c r="G613" s="31">
        <f t="shared" ca="1" si="73"/>
        <v>0</v>
      </c>
      <c r="H613" s="30">
        <f t="shared" ca="1" si="74"/>
        <v>6.4</v>
      </c>
      <c r="I613" s="31">
        <f t="shared" ca="1" si="75"/>
        <v>6.4</v>
      </c>
      <c r="Q613" s="80"/>
      <c r="R613" s="42"/>
      <c r="S613" s="90">
        <f t="shared" si="72"/>
        <v>55.500000000000519</v>
      </c>
      <c r="T613" s="42"/>
      <c r="U613" s="42"/>
      <c r="V613" s="42"/>
      <c r="W613" s="42"/>
      <c r="X613" s="81"/>
    </row>
    <row r="614" spans="2:24" x14ac:dyDescent="0.25">
      <c r="B614" s="2">
        <v>1</v>
      </c>
      <c r="C614" s="1">
        <f t="shared" si="70"/>
        <v>26.588235294117609</v>
      </c>
      <c r="D614" s="1">
        <f t="shared" si="68"/>
        <v>0</v>
      </c>
      <c r="E614" s="1">
        <f t="shared" si="71"/>
        <v>1</v>
      </c>
      <c r="F614" s="31">
        <f t="shared" si="69"/>
        <v>6.4</v>
      </c>
      <c r="G614" s="31">
        <f t="shared" ca="1" si="73"/>
        <v>0</v>
      </c>
      <c r="H614" s="30">
        <f t="shared" ca="1" si="74"/>
        <v>6.4</v>
      </c>
      <c r="I614" s="31">
        <f t="shared" ca="1" si="75"/>
        <v>6.4</v>
      </c>
      <c r="Q614" s="80"/>
      <c r="R614" s="42"/>
      <c r="S614" s="90">
        <f t="shared" si="72"/>
        <v>55.60000000000052</v>
      </c>
      <c r="T614" s="42"/>
      <c r="U614" s="42"/>
      <c r="V614" s="42"/>
      <c r="W614" s="42"/>
      <c r="X614" s="81"/>
    </row>
    <row r="615" spans="2:24" x14ac:dyDescent="0.25">
      <c r="B615" s="2">
        <v>1</v>
      </c>
      <c r="C615" s="1">
        <f t="shared" si="70"/>
        <v>27.588235294117609</v>
      </c>
      <c r="D615" s="1">
        <f t="shared" si="68"/>
        <v>0</v>
      </c>
      <c r="E615" s="1">
        <f t="shared" si="71"/>
        <v>1</v>
      </c>
      <c r="F615" s="31">
        <f t="shared" si="69"/>
        <v>6.4</v>
      </c>
      <c r="G615" s="31">
        <f t="shared" ca="1" si="73"/>
        <v>0</v>
      </c>
      <c r="H615" s="30">
        <f t="shared" ca="1" si="74"/>
        <v>6.4</v>
      </c>
      <c r="I615" s="31">
        <f t="shared" ca="1" si="75"/>
        <v>6.4</v>
      </c>
      <c r="Q615" s="80"/>
      <c r="R615" s="42"/>
      <c r="S615" s="90">
        <f t="shared" si="72"/>
        <v>55.700000000000522</v>
      </c>
      <c r="T615" s="42"/>
      <c r="U615" s="42"/>
      <c r="V615" s="42"/>
      <c r="W615" s="42"/>
      <c r="X615" s="81"/>
    </row>
    <row r="616" spans="2:24" x14ac:dyDescent="0.25">
      <c r="B616" s="2">
        <v>1</v>
      </c>
      <c r="C616" s="1">
        <f t="shared" si="70"/>
        <v>28.588235294117609</v>
      </c>
      <c r="D616" s="1">
        <f t="shared" si="68"/>
        <v>0</v>
      </c>
      <c r="E616" s="1">
        <f t="shared" si="71"/>
        <v>1</v>
      </c>
      <c r="F616" s="31">
        <f t="shared" si="69"/>
        <v>6.4</v>
      </c>
      <c r="G616" s="31">
        <f t="shared" ca="1" si="73"/>
        <v>0</v>
      </c>
      <c r="H616" s="30">
        <f t="shared" ca="1" si="74"/>
        <v>6.4</v>
      </c>
      <c r="I616" s="31">
        <f t="shared" ca="1" si="75"/>
        <v>6.4</v>
      </c>
      <c r="Q616" s="80"/>
      <c r="R616" s="42"/>
      <c r="S616" s="90">
        <f t="shared" si="72"/>
        <v>55.800000000000523</v>
      </c>
      <c r="T616" s="42"/>
      <c r="U616" s="42"/>
      <c r="V616" s="42"/>
      <c r="W616" s="42"/>
      <c r="X616" s="81"/>
    </row>
    <row r="617" spans="2:24" x14ac:dyDescent="0.25">
      <c r="B617" s="2">
        <v>1</v>
      </c>
      <c r="C617" s="1">
        <f t="shared" si="70"/>
        <v>29.588235294117609</v>
      </c>
      <c r="D617" s="1">
        <f t="shared" si="68"/>
        <v>0</v>
      </c>
      <c r="E617" s="1">
        <f t="shared" si="71"/>
        <v>1</v>
      </c>
      <c r="F617" s="31">
        <f t="shared" si="69"/>
        <v>6.4</v>
      </c>
      <c r="G617" s="31">
        <f t="shared" ca="1" si="73"/>
        <v>0</v>
      </c>
      <c r="H617" s="30">
        <f t="shared" ca="1" si="74"/>
        <v>6.4</v>
      </c>
      <c r="I617" s="31">
        <f t="shared" ca="1" si="75"/>
        <v>6.4</v>
      </c>
      <c r="Q617" s="80"/>
      <c r="R617" s="42"/>
      <c r="S617" s="90">
        <f t="shared" si="72"/>
        <v>55.900000000000524</v>
      </c>
      <c r="T617" s="42"/>
      <c r="U617" s="42"/>
      <c r="V617" s="42"/>
      <c r="W617" s="42"/>
      <c r="X617" s="81"/>
    </row>
    <row r="618" spans="2:24" x14ac:dyDescent="0.25">
      <c r="B618" s="2">
        <v>1</v>
      </c>
      <c r="C618" s="1">
        <f t="shared" si="70"/>
        <v>30.588235294117609</v>
      </c>
      <c r="D618" s="1">
        <f t="shared" si="68"/>
        <v>0</v>
      </c>
      <c r="E618" s="1">
        <f t="shared" si="71"/>
        <v>1</v>
      </c>
      <c r="F618" s="31">
        <f t="shared" si="69"/>
        <v>6.4</v>
      </c>
      <c r="G618" s="31">
        <f t="shared" ca="1" si="73"/>
        <v>0</v>
      </c>
      <c r="H618" s="30">
        <f t="shared" ca="1" si="74"/>
        <v>6.4</v>
      </c>
      <c r="I618" s="31">
        <f t="shared" ca="1" si="75"/>
        <v>6.4</v>
      </c>
      <c r="Q618" s="80"/>
      <c r="R618" s="42"/>
      <c r="S618" s="90">
        <f t="shared" si="72"/>
        <v>56.000000000000526</v>
      </c>
      <c r="T618" s="42"/>
      <c r="U618" s="42"/>
      <c r="V618" s="42"/>
      <c r="W618" s="42"/>
      <c r="X618" s="81"/>
    </row>
    <row r="619" spans="2:24" x14ac:dyDescent="0.25">
      <c r="B619" s="2">
        <v>1</v>
      </c>
      <c r="C619" s="1">
        <f t="shared" si="70"/>
        <v>31.588235294117609</v>
      </c>
      <c r="D619" s="1">
        <f t="shared" si="68"/>
        <v>0</v>
      </c>
      <c r="E619" s="1">
        <f t="shared" si="71"/>
        <v>1</v>
      </c>
      <c r="F619" s="31">
        <f t="shared" si="69"/>
        <v>6.4</v>
      </c>
      <c r="G619" s="31">
        <f t="shared" ca="1" si="73"/>
        <v>0</v>
      </c>
      <c r="H619" s="30">
        <f t="shared" ca="1" si="74"/>
        <v>6.4</v>
      </c>
      <c r="I619" s="31">
        <f t="shared" ca="1" si="75"/>
        <v>6.4</v>
      </c>
      <c r="Q619" s="80"/>
      <c r="R619" s="42"/>
      <c r="S619" s="90">
        <f t="shared" si="72"/>
        <v>56.100000000000527</v>
      </c>
      <c r="T619" s="42"/>
      <c r="U619" s="42"/>
      <c r="V619" s="42"/>
      <c r="W619" s="42"/>
      <c r="X619" s="81"/>
    </row>
    <row r="620" spans="2:24" x14ac:dyDescent="0.25">
      <c r="B620" s="2">
        <v>1</v>
      </c>
      <c r="C620" s="1">
        <f t="shared" si="70"/>
        <v>32.588235294117609</v>
      </c>
      <c r="D620" s="1">
        <f t="shared" si="68"/>
        <v>0</v>
      </c>
      <c r="E620" s="1">
        <f t="shared" si="71"/>
        <v>1</v>
      </c>
      <c r="F620" s="31">
        <f t="shared" si="69"/>
        <v>6.4</v>
      </c>
      <c r="G620" s="31">
        <f t="shared" ca="1" si="73"/>
        <v>0</v>
      </c>
      <c r="H620" s="30">
        <f t="shared" ca="1" si="74"/>
        <v>6.4</v>
      </c>
      <c r="I620" s="31">
        <f t="shared" ca="1" si="75"/>
        <v>6.4</v>
      </c>
      <c r="Q620" s="80"/>
      <c r="R620" s="42"/>
      <c r="S620" s="90">
        <f t="shared" si="72"/>
        <v>56.200000000000529</v>
      </c>
      <c r="T620" s="42"/>
      <c r="U620" s="42"/>
      <c r="V620" s="42"/>
      <c r="W620" s="42"/>
      <c r="X620" s="81"/>
    </row>
    <row r="621" spans="2:24" x14ac:dyDescent="0.25">
      <c r="B621" s="2">
        <v>1</v>
      </c>
      <c r="C621" s="1">
        <f t="shared" si="70"/>
        <v>33.588235294117609</v>
      </c>
      <c r="D621" s="1">
        <f t="shared" si="68"/>
        <v>0</v>
      </c>
      <c r="E621" s="1">
        <f t="shared" si="71"/>
        <v>1</v>
      </c>
      <c r="F621" s="31">
        <f t="shared" si="69"/>
        <v>6.4</v>
      </c>
      <c r="G621" s="31">
        <f t="shared" ca="1" si="73"/>
        <v>0</v>
      </c>
      <c r="H621" s="30">
        <f t="shared" ca="1" si="74"/>
        <v>6.4</v>
      </c>
      <c r="I621" s="31">
        <f t="shared" ca="1" si="75"/>
        <v>6.4</v>
      </c>
      <c r="Q621" s="80"/>
      <c r="R621" s="42"/>
      <c r="S621" s="90">
        <f t="shared" si="72"/>
        <v>56.30000000000053</v>
      </c>
      <c r="T621" s="42"/>
      <c r="U621" s="42"/>
      <c r="V621" s="42"/>
      <c r="W621" s="42"/>
      <c r="X621" s="81"/>
    </row>
    <row r="622" spans="2:24" x14ac:dyDescent="0.25">
      <c r="B622" s="2">
        <v>1</v>
      </c>
      <c r="C622" s="1">
        <f t="shared" si="70"/>
        <v>34.588235294117609</v>
      </c>
      <c r="D622" s="1">
        <f t="shared" si="68"/>
        <v>0</v>
      </c>
      <c r="E622" s="1">
        <f t="shared" si="71"/>
        <v>1</v>
      </c>
      <c r="F622" s="31">
        <f t="shared" si="69"/>
        <v>6.4</v>
      </c>
      <c r="G622" s="31">
        <f t="shared" ca="1" si="73"/>
        <v>0</v>
      </c>
      <c r="H622" s="30">
        <f t="shared" ca="1" si="74"/>
        <v>6.4</v>
      </c>
      <c r="I622" s="31">
        <f t="shared" ca="1" si="75"/>
        <v>6.4</v>
      </c>
      <c r="Q622" s="80"/>
      <c r="R622" s="42"/>
      <c r="S622" s="90">
        <f t="shared" si="72"/>
        <v>56.400000000000531</v>
      </c>
      <c r="T622" s="42"/>
      <c r="U622" s="42"/>
      <c r="V622" s="42"/>
      <c r="W622" s="42"/>
      <c r="X622" s="81"/>
    </row>
    <row r="623" spans="2:24" x14ac:dyDescent="0.25">
      <c r="B623" s="2">
        <v>1</v>
      </c>
      <c r="C623" s="1">
        <f t="shared" si="70"/>
        <v>0.2941176470587834</v>
      </c>
      <c r="D623" s="1">
        <f t="shared" si="68"/>
        <v>1</v>
      </c>
      <c r="E623" s="1">
        <f t="shared" si="71"/>
        <v>0</v>
      </c>
      <c r="F623" s="31">
        <f t="shared" si="69"/>
        <v>14.6</v>
      </c>
      <c r="G623" s="31">
        <f t="shared" ca="1" si="73"/>
        <v>6.4</v>
      </c>
      <c r="H623" s="30">
        <f t="shared" ca="1" si="74"/>
        <v>0</v>
      </c>
      <c r="I623" s="31">
        <f t="shared" ca="1" si="75"/>
        <v>6.4</v>
      </c>
      <c r="Q623" s="80"/>
      <c r="R623" s="42"/>
      <c r="S623" s="90">
        <f t="shared" si="72"/>
        <v>56.500000000000533</v>
      </c>
      <c r="T623" s="42"/>
      <c r="U623" s="42"/>
      <c r="V623" s="42"/>
      <c r="W623" s="42"/>
      <c r="X623" s="81"/>
    </row>
    <row r="624" spans="2:24" x14ac:dyDescent="0.25">
      <c r="B624" s="2">
        <v>1</v>
      </c>
      <c r="C624" s="1">
        <f t="shared" si="70"/>
        <v>1.2941176470587834</v>
      </c>
      <c r="D624" s="1">
        <f t="shared" si="68"/>
        <v>1</v>
      </c>
      <c r="E624" s="1">
        <f t="shared" si="71"/>
        <v>0</v>
      </c>
      <c r="F624" s="31">
        <f t="shared" si="69"/>
        <v>14.6</v>
      </c>
      <c r="G624" s="31">
        <f t="shared" ca="1" si="73"/>
        <v>8.4500000000000011</v>
      </c>
      <c r="H624" s="30">
        <f t="shared" ca="1" si="74"/>
        <v>0</v>
      </c>
      <c r="I624" s="31">
        <f t="shared" ca="1" si="75"/>
        <v>8.4500000000000011</v>
      </c>
      <c r="Q624" s="80"/>
      <c r="R624" s="42"/>
      <c r="S624" s="90">
        <f t="shared" si="72"/>
        <v>56.600000000000534</v>
      </c>
      <c r="T624" s="42"/>
      <c r="U624" s="42"/>
      <c r="V624" s="42"/>
      <c r="W624" s="42"/>
      <c r="X624" s="81"/>
    </row>
    <row r="625" spans="2:24" x14ac:dyDescent="0.25">
      <c r="B625" s="2">
        <v>1</v>
      </c>
      <c r="C625" s="1">
        <f t="shared" si="70"/>
        <v>2.2941176470587834</v>
      </c>
      <c r="D625" s="1">
        <f t="shared" si="68"/>
        <v>1</v>
      </c>
      <c r="E625" s="1">
        <f t="shared" si="71"/>
        <v>0</v>
      </c>
      <c r="F625" s="31">
        <f t="shared" si="69"/>
        <v>14.6</v>
      </c>
      <c r="G625" s="31">
        <f t="shared" ca="1" si="73"/>
        <v>10.5</v>
      </c>
      <c r="H625" s="30">
        <f t="shared" ca="1" si="74"/>
        <v>0</v>
      </c>
      <c r="I625" s="31">
        <f t="shared" ca="1" si="75"/>
        <v>10.5</v>
      </c>
      <c r="Q625" s="80"/>
      <c r="R625" s="42"/>
      <c r="S625" s="90">
        <f t="shared" si="72"/>
        <v>56.700000000000536</v>
      </c>
      <c r="T625" s="42"/>
      <c r="U625" s="42"/>
      <c r="V625" s="42"/>
      <c r="W625" s="42"/>
      <c r="X625" s="81"/>
    </row>
    <row r="626" spans="2:24" x14ac:dyDescent="0.25">
      <c r="B626" s="2">
        <v>1</v>
      </c>
      <c r="C626" s="1">
        <f t="shared" si="70"/>
        <v>3.2941176470587834</v>
      </c>
      <c r="D626" s="1">
        <f t="shared" si="68"/>
        <v>1</v>
      </c>
      <c r="E626" s="1">
        <f t="shared" si="71"/>
        <v>0</v>
      </c>
      <c r="F626" s="31">
        <f t="shared" si="69"/>
        <v>14.6</v>
      </c>
      <c r="G626" s="31">
        <f t="shared" ca="1" si="73"/>
        <v>12.55</v>
      </c>
      <c r="H626" s="30">
        <f t="shared" ca="1" si="74"/>
        <v>0</v>
      </c>
      <c r="I626" s="31">
        <f t="shared" ca="1" si="75"/>
        <v>12.55</v>
      </c>
      <c r="Q626" s="80"/>
      <c r="R626" s="42"/>
      <c r="S626" s="90">
        <f t="shared" si="72"/>
        <v>56.800000000000537</v>
      </c>
      <c r="T626" s="42"/>
      <c r="U626" s="42"/>
      <c r="V626" s="42"/>
      <c r="W626" s="42"/>
      <c r="X626" s="81"/>
    </row>
    <row r="627" spans="2:24" x14ac:dyDescent="0.25">
      <c r="B627" s="2">
        <v>1</v>
      </c>
      <c r="C627" s="1">
        <f t="shared" si="70"/>
        <v>4.2941176470587834</v>
      </c>
      <c r="D627" s="1">
        <f t="shared" si="68"/>
        <v>1</v>
      </c>
      <c r="E627" s="1">
        <f t="shared" si="71"/>
        <v>0</v>
      </c>
      <c r="F627" s="31">
        <f t="shared" si="69"/>
        <v>14.6</v>
      </c>
      <c r="G627" s="31">
        <f t="shared" ca="1" si="73"/>
        <v>14.6</v>
      </c>
      <c r="H627" s="30">
        <f t="shared" ca="1" si="74"/>
        <v>0</v>
      </c>
      <c r="I627" s="31">
        <f t="shared" ca="1" si="75"/>
        <v>14.6</v>
      </c>
      <c r="Q627" s="80"/>
      <c r="R627" s="42"/>
      <c r="S627" s="90">
        <f t="shared" si="72"/>
        <v>56.900000000000539</v>
      </c>
      <c r="T627" s="42"/>
      <c r="U627" s="42"/>
      <c r="V627" s="42"/>
      <c r="W627" s="42"/>
      <c r="X627" s="81"/>
    </row>
    <row r="628" spans="2:24" x14ac:dyDescent="0.25">
      <c r="B628" s="2">
        <v>1</v>
      </c>
      <c r="C628" s="1">
        <f t="shared" si="70"/>
        <v>5.2941176470587834</v>
      </c>
      <c r="D628" s="1">
        <f t="shared" si="68"/>
        <v>1</v>
      </c>
      <c r="E628" s="1">
        <f t="shared" si="71"/>
        <v>0</v>
      </c>
      <c r="F628" s="31">
        <f t="shared" si="69"/>
        <v>14.6</v>
      </c>
      <c r="G628" s="31">
        <f t="shared" ca="1" si="73"/>
        <v>14.6</v>
      </c>
      <c r="H628" s="30">
        <f t="shared" ca="1" si="74"/>
        <v>0</v>
      </c>
      <c r="I628" s="31">
        <f t="shared" ca="1" si="75"/>
        <v>14.6</v>
      </c>
      <c r="Q628" s="80"/>
      <c r="R628" s="42"/>
      <c r="S628" s="90">
        <f t="shared" si="72"/>
        <v>57.00000000000054</v>
      </c>
      <c r="T628" s="42"/>
      <c r="U628" s="42"/>
      <c r="V628" s="42"/>
      <c r="W628" s="42"/>
      <c r="X628" s="81"/>
    </row>
    <row r="629" spans="2:24" x14ac:dyDescent="0.25">
      <c r="B629" s="2">
        <v>1</v>
      </c>
      <c r="C629" s="1">
        <f t="shared" si="70"/>
        <v>6.2941176470587834</v>
      </c>
      <c r="D629" s="1">
        <f t="shared" si="68"/>
        <v>1</v>
      </c>
      <c r="E629" s="1">
        <f t="shared" si="71"/>
        <v>0</v>
      </c>
      <c r="F629" s="31">
        <f t="shared" si="69"/>
        <v>14.6</v>
      </c>
      <c r="G629" s="31">
        <f t="shared" ca="1" si="73"/>
        <v>14.6</v>
      </c>
      <c r="H629" s="30">
        <f t="shared" ca="1" si="74"/>
        <v>0</v>
      </c>
      <c r="I629" s="31">
        <f t="shared" ca="1" si="75"/>
        <v>14.6</v>
      </c>
      <c r="Q629" s="80"/>
      <c r="R629" s="42"/>
      <c r="S629" s="90">
        <f t="shared" si="72"/>
        <v>57.100000000000541</v>
      </c>
      <c r="T629" s="42"/>
      <c r="U629" s="42"/>
      <c r="V629" s="42"/>
      <c r="W629" s="42"/>
      <c r="X629" s="81"/>
    </row>
    <row r="630" spans="2:24" x14ac:dyDescent="0.25">
      <c r="B630" s="2">
        <v>1</v>
      </c>
      <c r="C630" s="1">
        <f t="shared" si="70"/>
        <v>7.2941176470587834</v>
      </c>
      <c r="D630" s="1">
        <f t="shared" si="68"/>
        <v>1</v>
      </c>
      <c r="E630" s="1">
        <f t="shared" si="71"/>
        <v>0</v>
      </c>
      <c r="F630" s="31">
        <f t="shared" si="69"/>
        <v>14.6</v>
      </c>
      <c r="G630" s="31">
        <f t="shared" ca="1" si="73"/>
        <v>14.6</v>
      </c>
      <c r="H630" s="30">
        <f t="shared" ca="1" si="74"/>
        <v>0</v>
      </c>
      <c r="I630" s="31">
        <f t="shared" ca="1" si="75"/>
        <v>14.6</v>
      </c>
      <c r="Q630" s="80"/>
      <c r="R630" s="42"/>
      <c r="S630" s="90">
        <f t="shared" si="72"/>
        <v>57.200000000000543</v>
      </c>
      <c r="T630" s="42"/>
      <c r="U630" s="42"/>
      <c r="V630" s="42"/>
      <c r="W630" s="42"/>
      <c r="X630" s="81"/>
    </row>
    <row r="631" spans="2:24" x14ac:dyDescent="0.25">
      <c r="B631" s="2">
        <v>1</v>
      </c>
      <c r="C631" s="1">
        <f t="shared" si="70"/>
        <v>8.2941176470587834</v>
      </c>
      <c r="D631" s="1">
        <f t="shared" si="68"/>
        <v>1</v>
      </c>
      <c r="E631" s="1">
        <f t="shared" si="71"/>
        <v>0</v>
      </c>
      <c r="F631" s="31">
        <f t="shared" si="69"/>
        <v>14.6</v>
      </c>
      <c r="G631" s="31">
        <f t="shared" ca="1" si="73"/>
        <v>14.6</v>
      </c>
      <c r="H631" s="30">
        <f t="shared" ca="1" si="74"/>
        <v>0</v>
      </c>
      <c r="I631" s="31">
        <f t="shared" ca="1" si="75"/>
        <v>14.6</v>
      </c>
      <c r="Q631" s="80"/>
      <c r="R631" s="42"/>
      <c r="S631" s="90">
        <f t="shared" si="72"/>
        <v>57.300000000000544</v>
      </c>
      <c r="T631" s="42"/>
      <c r="U631" s="42"/>
      <c r="V631" s="42"/>
      <c r="W631" s="42"/>
      <c r="X631" s="81"/>
    </row>
    <row r="632" spans="2:24" x14ac:dyDescent="0.25">
      <c r="B632" s="2">
        <v>1</v>
      </c>
      <c r="C632" s="1">
        <f t="shared" si="70"/>
        <v>9.2941176470587834</v>
      </c>
      <c r="D632" s="1">
        <f t="shared" si="68"/>
        <v>1</v>
      </c>
      <c r="E632" s="1">
        <f t="shared" si="71"/>
        <v>0</v>
      </c>
      <c r="F632" s="31">
        <f t="shared" si="69"/>
        <v>14.6</v>
      </c>
      <c r="G632" s="31">
        <f t="shared" ca="1" si="73"/>
        <v>14.6</v>
      </c>
      <c r="H632" s="30">
        <f t="shared" ca="1" si="74"/>
        <v>0</v>
      </c>
      <c r="I632" s="31">
        <f t="shared" ca="1" si="75"/>
        <v>14.6</v>
      </c>
      <c r="Q632" s="80"/>
      <c r="R632" s="42"/>
      <c r="S632" s="90">
        <f t="shared" si="72"/>
        <v>57.400000000000546</v>
      </c>
      <c r="T632" s="42"/>
      <c r="U632" s="42"/>
      <c r="V632" s="42"/>
      <c r="W632" s="42"/>
      <c r="X632" s="81"/>
    </row>
    <row r="633" spans="2:24" x14ac:dyDescent="0.25">
      <c r="B633" s="2">
        <v>1</v>
      </c>
      <c r="C633" s="1">
        <f t="shared" si="70"/>
        <v>10.294117647058783</v>
      </c>
      <c r="D633" s="1">
        <f t="shared" si="68"/>
        <v>1</v>
      </c>
      <c r="E633" s="1">
        <f t="shared" si="71"/>
        <v>0</v>
      </c>
      <c r="F633" s="31">
        <f t="shared" si="69"/>
        <v>14.6</v>
      </c>
      <c r="G633" s="31">
        <f t="shared" ca="1" si="73"/>
        <v>14.6</v>
      </c>
      <c r="H633" s="30">
        <f t="shared" ca="1" si="74"/>
        <v>0</v>
      </c>
      <c r="I633" s="31">
        <f t="shared" ca="1" si="75"/>
        <v>14.6</v>
      </c>
      <c r="Q633" s="80"/>
      <c r="R633" s="42"/>
      <c r="S633" s="90">
        <f t="shared" si="72"/>
        <v>57.500000000000547</v>
      </c>
      <c r="T633" s="42"/>
      <c r="U633" s="42"/>
      <c r="V633" s="42"/>
      <c r="W633" s="42"/>
      <c r="X633" s="81"/>
    </row>
    <row r="634" spans="2:24" x14ac:dyDescent="0.25">
      <c r="B634" s="2">
        <v>1</v>
      </c>
      <c r="C634" s="1">
        <f t="shared" si="70"/>
        <v>11.294117647058783</v>
      </c>
      <c r="D634" s="1">
        <f t="shared" ref="D634:D697" si="76">IF(C634&lt;=Inhelation_Time_RT,1,0)</f>
        <v>1</v>
      </c>
      <c r="E634" s="1">
        <f t="shared" si="71"/>
        <v>0</v>
      </c>
      <c r="F634" s="31">
        <f t="shared" ref="F634:F697" si="77">(D634*Inspiratory_pressure_level) + (E634*PEEP)</f>
        <v>14.6</v>
      </c>
      <c r="G634" s="31">
        <f t="shared" ca="1" si="73"/>
        <v>14.6</v>
      </c>
      <c r="H634" s="30">
        <f t="shared" ca="1" si="74"/>
        <v>0</v>
      </c>
      <c r="I634" s="31">
        <f t="shared" ca="1" si="75"/>
        <v>14.6</v>
      </c>
      <c r="Q634" s="80"/>
      <c r="R634" s="42"/>
      <c r="S634" s="90">
        <f t="shared" si="72"/>
        <v>57.600000000000549</v>
      </c>
      <c r="T634" s="42"/>
      <c r="U634" s="42"/>
      <c r="V634" s="42"/>
      <c r="W634" s="42"/>
      <c r="X634" s="81"/>
    </row>
    <row r="635" spans="2:24" x14ac:dyDescent="0.25">
      <c r="B635" s="2">
        <v>1</v>
      </c>
      <c r="C635" s="1">
        <f t="shared" ref="C635:C698" si="78">MOD(C634+B635,time_for_breath_RT)</f>
        <v>12.294117647058783</v>
      </c>
      <c r="D635" s="1">
        <f t="shared" si="76"/>
        <v>1</v>
      </c>
      <c r="E635" s="1">
        <f t="shared" ref="E635:E698" si="79">IF(D635=1,0,1)</f>
        <v>0</v>
      </c>
      <c r="F635" s="31">
        <f t="shared" si="77"/>
        <v>14.6</v>
      </c>
      <c r="G635" s="31">
        <f t="shared" ca="1" si="73"/>
        <v>14.6</v>
      </c>
      <c r="H635" s="30">
        <f t="shared" ca="1" si="74"/>
        <v>0</v>
      </c>
      <c r="I635" s="31">
        <f t="shared" ca="1" si="75"/>
        <v>14.6</v>
      </c>
      <c r="Q635" s="80"/>
      <c r="R635" s="42"/>
      <c r="S635" s="90">
        <f t="shared" ref="S635:S698" si="80">S634+(B634 / RTC_to_seconds)</f>
        <v>57.70000000000055</v>
      </c>
      <c r="T635" s="42"/>
      <c r="U635" s="42"/>
      <c r="V635" s="42"/>
      <c r="W635" s="42"/>
      <c r="X635" s="81"/>
    </row>
    <row r="636" spans="2:24" x14ac:dyDescent="0.25">
      <c r="B636" s="2">
        <v>1</v>
      </c>
      <c r="C636" s="1">
        <f t="shared" si="78"/>
        <v>13.294117647058783</v>
      </c>
      <c r="D636" s="1">
        <f t="shared" si="76"/>
        <v>1</v>
      </c>
      <c r="E636" s="1">
        <f t="shared" si="79"/>
        <v>0</v>
      </c>
      <c r="F636" s="31">
        <f t="shared" si="77"/>
        <v>14.6</v>
      </c>
      <c r="G636" s="31">
        <f t="shared" ca="1" si="73"/>
        <v>14.6</v>
      </c>
      <c r="H636" s="30">
        <f t="shared" ca="1" si="74"/>
        <v>0</v>
      </c>
      <c r="I636" s="31">
        <f t="shared" ca="1" si="75"/>
        <v>14.6</v>
      </c>
      <c r="Q636" s="80"/>
      <c r="R636" s="42"/>
      <c r="S636" s="90">
        <f t="shared" si="80"/>
        <v>57.800000000000551</v>
      </c>
      <c r="T636" s="42"/>
      <c r="U636" s="42"/>
      <c r="V636" s="42"/>
      <c r="W636" s="42"/>
      <c r="X636" s="81"/>
    </row>
    <row r="637" spans="2:24" x14ac:dyDescent="0.25">
      <c r="B637" s="2">
        <v>1</v>
      </c>
      <c r="C637" s="1">
        <f t="shared" si="78"/>
        <v>14.294117647058783</v>
      </c>
      <c r="D637" s="1">
        <f t="shared" si="76"/>
        <v>1</v>
      </c>
      <c r="E637" s="1">
        <f t="shared" si="79"/>
        <v>0</v>
      </c>
      <c r="F637" s="31">
        <f t="shared" si="77"/>
        <v>14.6</v>
      </c>
      <c r="G637" s="31">
        <f t="shared" ca="1" si="73"/>
        <v>14.6</v>
      </c>
      <c r="H637" s="30">
        <f t="shared" ca="1" si="74"/>
        <v>0</v>
      </c>
      <c r="I637" s="31">
        <f t="shared" ca="1" si="75"/>
        <v>14.6</v>
      </c>
      <c r="Q637" s="80"/>
      <c r="R637" s="42"/>
      <c r="S637" s="90">
        <f t="shared" si="80"/>
        <v>57.900000000000553</v>
      </c>
      <c r="T637" s="42"/>
      <c r="U637" s="42"/>
      <c r="V637" s="42"/>
      <c r="W637" s="42"/>
      <c r="X637" s="81"/>
    </row>
    <row r="638" spans="2:24" x14ac:dyDescent="0.25">
      <c r="B638" s="2">
        <v>1</v>
      </c>
      <c r="C638" s="1">
        <f t="shared" si="78"/>
        <v>15.294117647058783</v>
      </c>
      <c r="D638" s="1">
        <f t="shared" si="76"/>
        <v>1</v>
      </c>
      <c r="E638" s="1">
        <f t="shared" si="79"/>
        <v>0</v>
      </c>
      <c r="F638" s="31">
        <f t="shared" si="77"/>
        <v>14.6</v>
      </c>
      <c r="G638" s="31">
        <f t="shared" ca="1" si="73"/>
        <v>14.6</v>
      </c>
      <c r="H638" s="30">
        <f t="shared" ca="1" si="74"/>
        <v>0</v>
      </c>
      <c r="I638" s="31">
        <f t="shared" ca="1" si="75"/>
        <v>14.6</v>
      </c>
      <c r="Q638" s="80"/>
      <c r="R638" s="42"/>
      <c r="S638" s="90">
        <f t="shared" si="80"/>
        <v>58.000000000000554</v>
      </c>
      <c r="T638" s="42"/>
      <c r="U638" s="42"/>
      <c r="V638" s="42"/>
      <c r="W638" s="42"/>
      <c r="X638" s="81"/>
    </row>
    <row r="639" spans="2:24" x14ac:dyDescent="0.25">
      <c r="B639" s="2">
        <v>1</v>
      </c>
      <c r="C639" s="1">
        <f t="shared" si="78"/>
        <v>16.294117647058783</v>
      </c>
      <c r="D639" s="1">
        <f t="shared" si="76"/>
        <v>1</v>
      </c>
      <c r="E639" s="1">
        <f t="shared" si="79"/>
        <v>0</v>
      </c>
      <c r="F639" s="31">
        <f t="shared" si="77"/>
        <v>14.6</v>
      </c>
      <c r="G639" s="31">
        <f t="shared" ca="1" si="73"/>
        <v>14.6</v>
      </c>
      <c r="H639" s="30">
        <f t="shared" ca="1" si="74"/>
        <v>0</v>
      </c>
      <c r="I639" s="31">
        <f t="shared" ca="1" si="75"/>
        <v>14.6</v>
      </c>
      <c r="Q639" s="80"/>
      <c r="R639" s="42"/>
      <c r="S639" s="90">
        <f t="shared" si="80"/>
        <v>58.100000000000556</v>
      </c>
      <c r="T639" s="42"/>
      <c r="U639" s="42"/>
      <c r="V639" s="42"/>
      <c r="W639" s="42"/>
      <c r="X639" s="81"/>
    </row>
    <row r="640" spans="2:24" x14ac:dyDescent="0.25">
      <c r="B640" s="2">
        <v>1</v>
      </c>
      <c r="C640" s="1">
        <f t="shared" si="78"/>
        <v>17.294117647058783</v>
      </c>
      <c r="D640" s="1">
        <f t="shared" si="76"/>
        <v>1</v>
      </c>
      <c r="E640" s="1">
        <f t="shared" si="79"/>
        <v>0</v>
      </c>
      <c r="F640" s="31">
        <f t="shared" si="77"/>
        <v>14.6</v>
      </c>
      <c r="G640" s="31">
        <f t="shared" ca="1" si="73"/>
        <v>14.6</v>
      </c>
      <c r="H640" s="30">
        <f t="shared" ca="1" si="74"/>
        <v>0</v>
      </c>
      <c r="I640" s="31">
        <f t="shared" ca="1" si="75"/>
        <v>14.6</v>
      </c>
      <c r="Q640" s="80"/>
      <c r="R640" s="42"/>
      <c r="S640" s="90">
        <f t="shared" si="80"/>
        <v>58.200000000000557</v>
      </c>
      <c r="T640" s="42"/>
      <c r="U640" s="42"/>
      <c r="V640" s="42"/>
      <c r="W640" s="42"/>
      <c r="X640" s="81"/>
    </row>
    <row r="641" spans="2:24" x14ac:dyDescent="0.25">
      <c r="B641" s="2">
        <v>1</v>
      </c>
      <c r="C641" s="1">
        <f t="shared" si="78"/>
        <v>18.294117647058783</v>
      </c>
      <c r="D641" s="1">
        <f t="shared" si="76"/>
        <v>1</v>
      </c>
      <c r="E641" s="1">
        <f t="shared" si="79"/>
        <v>0</v>
      </c>
      <c r="F641" s="31">
        <f t="shared" si="77"/>
        <v>14.6</v>
      </c>
      <c r="G641" s="31">
        <f t="shared" ca="1" si="73"/>
        <v>14.6</v>
      </c>
      <c r="H641" s="30">
        <f t="shared" ca="1" si="74"/>
        <v>0</v>
      </c>
      <c r="I641" s="31">
        <f t="shared" ca="1" si="75"/>
        <v>14.6</v>
      </c>
      <c r="Q641" s="80"/>
      <c r="R641" s="42"/>
      <c r="S641" s="90">
        <f t="shared" si="80"/>
        <v>58.300000000000558</v>
      </c>
      <c r="T641" s="42"/>
      <c r="U641" s="42"/>
      <c r="V641" s="42"/>
      <c r="W641" s="42"/>
      <c r="X641" s="81"/>
    </row>
    <row r="642" spans="2:24" x14ac:dyDescent="0.25">
      <c r="B642" s="2">
        <v>1</v>
      </c>
      <c r="C642" s="1">
        <f t="shared" si="78"/>
        <v>19.294117647058783</v>
      </c>
      <c r="D642" s="1">
        <f t="shared" si="76"/>
        <v>1</v>
      </c>
      <c r="E642" s="1">
        <f t="shared" si="79"/>
        <v>0</v>
      </c>
      <c r="F642" s="31">
        <f t="shared" si="77"/>
        <v>14.6</v>
      </c>
      <c r="G642" s="31">
        <f t="shared" ca="1" si="73"/>
        <v>14.6</v>
      </c>
      <c r="H642" s="30">
        <f t="shared" ca="1" si="74"/>
        <v>0</v>
      </c>
      <c r="I642" s="31">
        <f t="shared" ca="1" si="75"/>
        <v>14.6</v>
      </c>
      <c r="Q642" s="80"/>
      <c r="R642" s="42"/>
      <c r="S642" s="90">
        <f t="shared" si="80"/>
        <v>58.40000000000056</v>
      </c>
      <c r="T642" s="42"/>
      <c r="U642" s="42"/>
      <c r="V642" s="42"/>
      <c r="W642" s="42"/>
      <c r="X642" s="81"/>
    </row>
    <row r="643" spans="2:24" x14ac:dyDescent="0.25">
      <c r="B643" s="2">
        <v>1</v>
      </c>
      <c r="C643" s="1">
        <f t="shared" si="78"/>
        <v>20.294117647058783</v>
      </c>
      <c r="D643" s="1">
        <f t="shared" si="76"/>
        <v>1</v>
      </c>
      <c r="E643" s="1">
        <f t="shared" si="79"/>
        <v>0</v>
      </c>
      <c r="F643" s="31">
        <f t="shared" si="77"/>
        <v>14.6</v>
      </c>
      <c r="G643" s="31">
        <f t="shared" ca="1" si="73"/>
        <v>14.6</v>
      </c>
      <c r="H643" s="30">
        <f t="shared" ca="1" si="74"/>
        <v>0</v>
      </c>
      <c r="I643" s="31">
        <f t="shared" ca="1" si="75"/>
        <v>14.6</v>
      </c>
      <c r="Q643" s="80"/>
      <c r="R643" s="42"/>
      <c r="S643" s="90">
        <f t="shared" si="80"/>
        <v>58.500000000000561</v>
      </c>
      <c r="T643" s="42"/>
      <c r="U643" s="42"/>
      <c r="V643" s="42"/>
      <c r="W643" s="42"/>
      <c r="X643" s="81"/>
    </row>
    <row r="644" spans="2:24" x14ac:dyDescent="0.25">
      <c r="B644" s="2">
        <v>1</v>
      </c>
      <c r="C644" s="1">
        <f t="shared" si="78"/>
        <v>21.294117647058783</v>
      </c>
      <c r="D644" s="1">
        <f t="shared" si="76"/>
        <v>1</v>
      </c>
      <c r="E644" s="1">
        <f t="shared" si="79"/>
        <v>0</v>
      </c>
      <c r="F644" s="31">
        <f t="shared" si="77"/>
        <v>14.6</v>
      </c>
      <c r="G644" s="31">
        <f t="shared" ca="1" si="73"/>
        <v>14.6</v>
      </c>
      <c r="H644" s="30">
        <f t="shared" ca="1" si="74"/>
        <v>0</v>
      </c>
      <c r="I644" s="31">
        <f t="shared" ca="1" si="75"/>
        <v>14.6</v>
      </c>
      <c r="Q644" s="80"/>
      <c r="R644" s="42"/>
      <c r="S644" s="90">
        <f t="shared" si="80"/>
        <v>58.600000000000563</v>
      </c>
      <c r="T644" s="42"/>
      <c r="U644" s="42"/>
      <c r="V644" s="42"/>
      <c r="W644" s="42"/>
      <c r="X644" s="81"/>
    </row>
    <row r="645" spans="2:24" x14ac:dyDescent="0.25">
      <c r="B645" s="2">
        <v>1</v>
      </c>
      <c r="C645" s="1">
        <f t="shared" si="78"/>
        <v>22.294117647058783</v>
      </c>
      <c r="D645" s="1">
        <f t="shared" si="76"/>
        <v>1</v>
      </c>
      <c r="E645" s="1">
        <f t="shared" si="79"/>
        <v>0</v>
      </c>
      <c r="F645" s="31">
        <f t="shared" si="77"/>
        <v>14.6</v>
      </c>
      <c r="G645" s="31">
        <f t="shared" ca="1" si="73"/>
        <v>14.6</v>
      </c>
      <c r="H645" s="30">
        <f t="shared" ca="1" si="74"/>
        <v>0</v>
      </c>
      <c r="I645" s="31">
        <f t="shared" ca="1" si="75"/>
        <v>14.6</v>
      </c>
      <c r="Q645" s="80"/>
      <c r="R645" s="42"/>
      <c r="S645" s="90">
        <f t="shared" si="80"/>
        <v>58.700000000000564</v>
      </c>
      <c r="T645" s="42"/>
      <c r="U645" s="42"/>
      <c r="V645" s="42"/>
      <c r="W645" s="42"/>
      <c r="X645" s="81"/>
    </row>
    <row r="646" spans="2:24" x14ac:dyDescent="0.25">
      <c r="B646" s="2">
        <v>1</v>
      </c>
      <c r="C646" s="1">
        <f t="shared" si="78"/>
        <v>23.294117647058783</v>
      </c>
      <c r="D646" s="1">
        <f t="shared" si="76"/>
        <v>0</v>
      </c>
      <c r="E646" s="1">
        <f t="shared" si="79"/>
        <v>1</v>
      </c>
      <c r="F646" s="31">
        <f t="shared" si="77"/>
        <v>6.4</v>
      </c>
      <c r="G646" s="31">
        <f t="shared" ca="1" si="73"/>
        <v>0</v>
      </c>
      <c r="H646" s="30">
        <f t="shared" ca="1" si="74"/>
        <v>14.6</v>
      </c>
      <c r="I646" s="31">
        <f t="shared" ca="1" si="75"/>
        <v>14.6</v>
      </c>
      <c r="Q646" s="80"/>
      <c r="R646" s="42"/>
      <c r="S646" s="90">
        <f t="shared" si="80"/>
        <v>58.800000000000566</v>
      </c>
      <c r="T646" s="42"/>
      <c r="U646" s="42"/>
      <c r="V646" s="42"/>
      <c r="W646" s="42"/>
      <c r="X646" s="81"/>
    </row>
    <row r="647" spans="2:24" x14ac:dyDescent="0.25">
      <c r="B647" s="2">
        <v>1</v>
      </c>
      <c r="C647" s="1">
        <f t="shared" si="78"/>
        <v>24.294117647058783</v>
      </c>
      <c r="D647" s="1">
        <f t="shared" si="76"/>
        <v>0</v>
      </c>
      <c r="E647" s="1">
        <f t="shared" si="79"/>
        <v>1</v>
      </c>
      <c r="F647" s="31">
        <f t="shared" si="77"/>
        <v>6.4</v>
      </c>
      <c r="G647" s="31">
        <f t="shared" ca="1" si="73"/>
        <v>0</v>
      </c>
      <c r="H647" s="30">
        <f t="shared" ca="1" si="74"/>
        <v>6.4</v>
      </c>
      <c r="I647" s="31">
        <f t="shared" ca="1" si="75"/>
        <v>6.4</v>
      </c>
      <c r="Q647" s="80"/>
      <c r="R647" s="42"/>
      <c r="S647" s="90">
        <f t="shared" si="80"/>
        <v>58.900000000000567</v>
      </c>
      <c r="T647" s="42"/>
      <c r="U647" s="42"/>
      <c r="V647" s="42"/>
      <c r="W647" s="42"/>
      <c r="X647" s="81"/>
    </row>
    <row r="648" spans="2:24" x14ac:dyDescent="0.25">
      <c r="B648" s="2">
        <v>1</v>
      </c>
      <c r="C648" s="1">
        <f t="shared" si="78"/>
        <v>25.294117647058783</v>
      </c>
      <c r="D648" s="1">
        <f t="shared" si="76"/>
        <v>0</v>
      </c>
      <c r="E648" s="1">
        <f t="shared" si="79"/>
        <v>1</v>
      </c>
      <c r="F648" s="31">
        <f t="shared" si="77"/>
        <v>6.4</v>
      </c>
      <c r="G648" s="31">
        <f t="shared" ca="1" si="73"/>
        <v>0</v>
      </c>
      <c r="H648" s="30">
        <f t="shared" ca="1" si="74"/>
        <v>6.4</v>
      </c>
      <c r="I648" s="31">
        <f t="shared" ca="1" si="75"/>
        <v>6.4</v>
      </c>
      <c r="Q648" s="80"/>
      <c r="R648" s="42"/>
      <c r="S648" s="90">
        <f t="shared" si="80"/>
        <v>59.000000000000568</v>
      </c>
      <c r="T648" s="42"/>
      <c r="U648" s="42"/>
      <c r="V648" s="42"/>
      <c r="W648" s="42"/>
      <c r="X648" s="81"/>
    </row>
    <row r="649" spans="2:24" x14ac:dyDescent="0.25">
      <c r="B649" s="2">
        <v>1</v>
      </c>
      <c r="C649" s="1">
        <f t="shared" si="78"/>
        <v>26.294117647058783</v>
      </c>
      <c r="D649" s="1">
        <f t="shared" si="76"/>
        <v>0</v>
      </c>
      <c r="E649" s="1">
        <f t="shared" si="79"/>
        <v>1</v>
      </c>
      <c r="F649" s="31">
        <f t="shared" si="77"/>
        <v>6.4</v>
      </c>
      <c r="G649" s="31">
        <f t="shared" ca="1" si="73"/>
        <v>0</v>
      </c>
      <c r="H649" s="30">
        <f t="shared" ca="1" si="74"/>
        <v>6.4</v>
      </c>
      <c r="I649" s="31">
        <f t="shared" ca="1" si="75"/>
        <v>6.4</v>
      </c>
      <c r="Q649" s="80"/>
      <c r="R649" s="42"/>
      <c r="S649" s="90">
        <f t="shared" si="80"/>
        <v>59.10000000000057</v>
      </c>
      <c r="T649" s="42"/>
      <c r="U649" s="42"/>
      <c r="V649" s="42"/>
      <c r="W649" s="42"/>
      <c r="X649" s="81"/>
    </row>
    <row r="650" spans="2:24" x14ac:dyDescent="0.25">
      <c r="B650" s="2">
        <v>1</v>
      </c>
      <c r="C650" s="1">
        <f t="shared" si="78"/>
        <v>27.294117647058783</v>
      </c>
      <c r="D650" s="1">
        <f t="shared" si="76"/>
        <v>0</v>
      </c>
      <c r="E650" s="1">
        <f t="shared" si="79"/>
        <v>1</v>
      </c>
      <c r="F650" s="31">
        <f t="shared" si="77"/>
        <v>6.4</v>
      </c>
      <c r="G650" s="31">
        <f t="shared" ca="1" si="73"/>
        <v>0</v>
      </c>
      <c r="H650" s="30">
        <f t="shared" ca="1" si="74"/>
        <v>6.4</v>
      </c>
      <c r="I650" s="31">
        <f t="shared" ca="1" si="75"/>
        <v>6.4</v>
      </c>
      <c r="Q650" s="80"/>
      <c r="R650" s="42"/>
      <c r="S650" s="90">
        <f t="shared" si="80"/>
        <v>59.200000000000571</v>
      </c>
      <c r="T650" s="42"/>
      <c r="U650" s="42"/>
      <c r="V650" s="42"/>
      <c r="W650" s="42"/>
      <c r="X650" s="81"/>
    </row>
    <row r="651" spans="2:24" x14ac:dyDescent="0.25">
      <c r="B651" s="2">
        <v>1</v>
      </c>
      <c r="C651" s="1">
        <f t="shared" si="78"/>
        <v>28.294117647058783</v>
      </c>
      <c r="D651" s="1">
        <f t="shared" si="76"/>
        <v>0</v>
      </c>
      <c r="E651" s="1">
        <f t="shared" si="79"/>
        <v>1</v>
      </c>
      <c r="F651" s="31">
        <f t="shared" si="77"/>
        <v>6.4</v>
      </c>
      <c r="G651" s="31">
        <f t="shared" ref="G651:G714" ca="1" si="81">IF(D651=1, AVERAGE(OFFSET(F651,-$L$27,0,$L$27,1)),0)</f>
        <v>0</v>
      </c>
      <c r="H651" s="30">
        <f t="shared" ref="H651:H714" ca="1" si="82">IF(D651=0, AVERAGE(OFFSET(F651,-$L$28,0,$L$28,1)),0)</f>
        <v>6.4</v>
      </c>
      <c r="I651" s="31">
        <f t="shared" ref="I651:I714" ca="1" si="83">G651+H651</f>
        <v>6.4</v>
      </c>
      <c r="Q651" s="80"/>
      <c r="R651" s="42"/>
      <c r="S651" s="90">
        <f t="shared" si="80"/>
        <v>59.300000000000573</v>
      </c>
      <c r="T651" s="42"/>
      <c r="U651" s="42"/>
      <c r="V651" s="42"/>
      <c r="W651" s="42"/>
      <c r="X651" s="81"/>
    </row>
    <row r="652" spans="2:24" x14ac:dyDescent="0.25">
      <c r="B652" s="2">
        <v>1</v>
      </c>
      <c r="C652" s="1">
        <f t="shared" si="78"/>
        <v>29.294117647058783</v>
      </c>
      <c r="D652" s="1">
        <f t="shared" si="76"/>
        <v>0</v>
      </c>
      <c r="E652" s="1">
        <f t="shared" si="79"/>
        <v>1</v>
      </c>
      <c r="F652" s="31">
        <f t="shared" si="77"/>
        <v>6.4</v>
      </c>
      <c r="G652" s="31">
        <f t="shared" ca="1" si="81"/>
        <v>0</v>
      </c>
      <c r="H652" s="30">
        <f t="shared" ca="1" si="82"/>
        <v>6.4</v>
      </c>
      <c r="I652" s="31">
        <f t="shared" ca="1" si="83"/>
        <v>6.4</v>
      </c>
      <c r="Q652" s="80"/>
      <c r="R652" s="42"/>
      <c r="S652" s="90">
        <f t="shared" si="80"/>
        <v>59.400000000000574</v>
      </c>
      <c r="T652" s="42"/>
      <c r="U652" s="42"/>
      <c r="V652" s="42"/>
      <c r="W652" s="42"/>
      <c r="X652" s="81"/>
    </row>
    <row r="653" spans="2:24" x14ac:dyDescent="0.25">
      <c r="B653" s="2">
        <v>1</v>
      </c>
      <c r="C653" s="1">
        <f t="shared" si="78"/>
        <v>30.294117647058783</v>
      </c>
      <c r="D653" s="1">
        <f t="shared" si="76"/>
        <v>0</v>
      </c>
      <c r="E653" s="1">
        <f t="shared" si="79"/>
        <v>1</v>
      </c>
      <c r="F653" s="31">
        <f t="shared" si="77"/>
        <v>6.4</v>
      </c>
      <c r="G653" s="31">
        <f t="shared" ca="1" si="81"/>
        <v>0</v>
      </c>
      <c r="H653" s="30">
        <f t="shared" ca="1" si="82"/>
        <v>6.4</v>
      </c>
      <c r="I653" s="31">
        <f t="shared" ca="1" si="83"/>
        <v>6.4</v>
      </c>
      <c r="Q653" s="80"/>
      <c r="R653" s="42"/>
      <c r="S653" s="90">
        <f t="shared" si="80"/>
        <v>59.500000000000576</v>
      </c>
      <c r="T653" s="42"/>
      <c r="U653" s="42"/>
      <c r="V653" s="42"/>
      <c r="W653" s="42"/>
      <c r="X653" s="81"/>
    </row>
    <row r="654" spans="2:24" x14ac:dyDescent="0.25">
      <c r="B654" s="2">
        <v>1</v>
      </c>
      <c r="C654" s="1">
        <f t="shared" si="78"/>
        <v>31.294117647058783</v>
      </c>
      <c r="D654" s="1">
        <f t="shared" si="76"/>
        <v>0</v>
      </c>
      <c r="E654" s="1">
        <f t="shared" si="79"/>
        <v>1</v>
      </c>
      <c r="F654" s="31">
        <f t="shared" si="77"/>
        <v>6.4</v>
      </c>
      <c r="G654" s="31">
        <f t="shared" ca="1" si="81"/>
        <v>0</v>
      </c>
      <c r="H654" s="30">
        <f t="shared" ca="1" si="82"/>
        <v>6.4</v>
      </c>
      <c r="I654" s="31">
        <f t="shared" ca="1" si="83"/>
        <v>6.4</v>
      </c>
      <c r="Q654" s="80"/>
      <c r="R654" s="42"/>
      <c r="S654" s="90">
        <f t="shared" si="80"/>
        <v>59.600000000000577</v>
      </c>
      <c r="T654" s="42"/>
      <c r="U654" s="42"/>
      <c r="V654" s="42"/>
      <c r="W654" s="42"/>
      <c r="X654" s="81"/>
    </row>
    <row r="655" spans="2:24" x14ac:dyDescent="0.25">
      <c r="B655" s="2">
        <v>1</v>
      </c>
      <c r="C655" s="1">
        <f t="shared" si="78"/>
        <v>32.294117647058783</v>
      </c>
      <c r="D655" s="1">
        <f t="shared" si="76"/>
        <v>0</v>
      </c>
      <c r="E655" s="1">
        <f t="shared" si="79"/>
        <v>1</v>
      </c>
      <c r="F655" s="31">
        <f t="shared" si="77"/>
        <v>6.4</v>
      </c>
      <c r="G655" s="31">
        <f t="shared" ca="1" si="81"/>
        <v>0</v>
      </c>
      <c r="H655" s="30">
        <f t="shared" ca="1" si="82"/>
        <v>6.4</v>
      </c>
      <c r="I655" s="31">
        <f t="shared" ca="1" si="83"/>
        <v>6.4</v>
      </c>
      <c r="Q655" s="80"/>
      <c r="R655" s="42"/>
      <c r="S655" s="90">
        <f t="shared" si="80"/>
        <v>59.700000000000578</v>
      </c>
      <c r="T655" s="42"/>
      <c r="U655" s="42"/>
      <c r="V655" s="42"/>
      <c r="W655" s="42"/>
      <c r="X655" s="81"/>
    </row>
    <row r="656" spans="2:24" x14ac:dyDescent="0.25">
      <c r="B656" s="2">
        <v>1</v>
      </c>
      <c r="C656" s="1">
        <f t="shared" si="78"/>
        <v>33.294117647058783</v>
      </c>
      <c r="D656" s="1">
        <f t="shared" si="76"/>
        <v>0</v>
      </c>
      <c r="E656" s="1">
        <f t="shared" si="79"/>
        <v>1</v>
      </c>
      <c r="F656" s="31">
        <f t="shared" si="77"/>
        <v>6.4</v>
      </c>
      <c r="G656" s="31">
        <f t="shared" ca="1" si="81"/>
        <v>0</v>
      </c>
      <c r="H656" s="30">
        <f t="shared" ca="1" si="82"/>
        <v>6.4</v>
      </c>
      <c r="I656" s="31">
        <f t="shared" ca="1" si="83"/>
        <v>6.4</v>
      </c>
      <c r="Q656" s="80"/>
      <c r="R656" s="42"/>
      <c r="S656" s="90">
        <f t="shared" si="80"/>
        <v>59.80000000000058</v>
      </c>
      <c r="T656" s="42"/>
      <c r="U656" s="42"/>
      <c r="V656" s="42"/>
      <c r="W656" s="42"/>
      <c r="X656" s="81"/>
    </row>
    <row r="657" spans="2:24" x14ac:dyDescent="0.25">
      <c r="B657" s="2">
        <v>1</v>
      </c>
      <c r="C657" s="1">
        <f t="shared" si="78"/>
        <v>34.294117647058783</v>
      </c>
      <c r="D657" s="1">
        <f t="shared" si="76"/>
        <v>0</v>
      </c>
      <c r="E657" s="1">
        <f t="shared" si="79"/>
        <v>1</v>
      </c>
      <c r="F657" s="31">
        <f t="shared" si="77"/>
        <v>6.4</v>
      </c>
      <c r="G657" s="31">
        <f t="shared" ca="1" si="81"/>
        <v>0</v>
      </c>
      <c r="H657" s="30">
        <f t="shared" ca="1" si="82"/>
        <v>6.4</v>
      </c>
      <c r="I657" s="31">
        <f t="shared" ca="1" si="83"/>
        <v>6.4</v>
      </c>
      <c r="Q657" s="80"/>
      <c r="R657" s="42"/>
      <c r="S657" s="90">
        <f t="shared" si="80"/>
        <v>59.900000000000581</v>
      </c>
      <c r="T657" s="42"/>
      <c r="U657" s="42"/>
      <c r="V657" s="42"/>
      <c r="W657" s="42"/>
      <c r="X657" s="81"/>
    </row>
    <row r="658" spans="2:24" x14ac:dyDescent="0.25">
      <c r="B658" s="2">
        <v>1</v>
      </c>
      <c r="C658" s="1">
        <f t="shared" si="78"/>
        <v>35.294117647058783</v>
      </c>
      <c r="D658" s="1">
        <f t="shared" si="76"/>
        <v>0</v>
      </c>
      <c r="E658" s="1">
        <f t="shared" si="79"/>
        <v>1</v>
      </c>
      <c r="F658" s="31">
        <f t="shared" si="77"/>
        <v>6.4</v>
      </c>
      <c r="G658" s="31">
        <f t="shared" ca="1" si="81"/>
        <v>0</v>
      </c>
      <c r="H658" s="30">
        <f t="shared" ca="1" si="82"/>
        <v>6.4</v>
      </c>
      <c r="I658" s="31">
        <f t="shared" ca="1" si="83"/>
        <v>6.4</v>
      </c>
      <c r="Q658" s="80"/>
      <c r="R658" s="42"/>
      <c r="S658" s="90">
        <f t="shared" si="80"/>
        <v>60.000000000000583</v>
      </c>
      <c r="T658" s="42"/>
      <c r="U658" s="42"/>
      <c r="V658" s="42"/>
      <c r="W658" s="42"/>
      <c r="X658" s="81"/>
    </row>
    <row r="659" spans="2:24" x14ac:dyDescent="0.25">
      <c r="B659" s="2">
        <v>1</v>
      </c>
      <c r="C659" s="1">
        <f t="shared" si="78"/>
        <v>0.99999999999995737</v>
      </c>
      <c r="D659" s="1">
        <f t="shared" si="76"/>
        <v>1</v>
      </c>
      <c r="E659" s="1">
        <f t="shared" si="79"/>
        <v>0</v>
      </c>
      <c r="F659" s="31">
        <f t="shared" si="77"/>
        <v>14.6</v>
      </c>
      <c r="G659" s="31">
        <f t="shared" ca="1" si="81"/>
        <v>6.4</v>
      </c>
      <c r="H659" s="30">
        <f t="shared" ca="1" si="82"/>
        <v>0</v>
      </c>
      <c r="I659" s="31">
        <f t="shared" ca="1" si="83"/>
        <v>6.4</v>
      </c>
      <c r="Q659" s="80"/>
      <c r="R659" s="42"/>
      <c r="S659" s="90">
        <f t="shared" si="80"/>
        <v>60.100000000000584</v>
      </c>
      <c r="T659" s="42"/>
      <c r="U659" s="42"/>
      <c r="V659" s="42"/>
      <c r="W659" s="42"/>
      <c r="X659" s="81"/>
    </row>
    <row r="660" spans="2:24" x14ac:dyDescent="0.25">
      <c r="B660" s="2">
        <v>1</v>
      </c>
      <c r="C660" s="1">
        <f t="shared" si="78"/>
        <v>1.9999999999999574</v>
      </c>
      <c r="D660" s="1">
        <f t="shared" si="76"/>
        <v>1</v>
      </c>
      <c r="E660" s="1">
        <f t="shared" si="79"/>
        <v>0</v>
      </c>
      <c r="F660" s="31">
        <f t="shared" si="77"/>
        <v>14.6</v>
      </c>
      <c r="G660" s="31">
        <f t="shared" ca="1" si="81"/>
        <v>8.4500000000000011</v>
      </c>
      <c r="H660" s="30">
        <f t="shared" ca="1" si="82"/>
        <v>0</v>
      </c>
      <c r="I660" s="31">
        <f t="shared" ca="1" si="83"/>
        <v>8.4500000000000011</v>
      </c>
      <c r="Q660" s="80"/>
      <c r="R660" s="42"/>
      <c r="S660" s="90">
        <f t="shared" si="80"/>
        <v>60.200000000000585</v>
      </c>
      <c r="T660" s="42"/>
      <c r="U660" s="42"/>
      <c r="V660" s="42"/>
      <c r="W660" s="42"/>
      <c r="X660" s="81"/>
    </row>
    <row r="661" spans="2:24" x14ac:dyDescent="0.25">
      <c r="B661" s="2">
        <v>1</v>
      </c>
      <c r="C661" s="1">
        <f t="shared" si="78"/>
        <v>2.9999999999999574</v>
      </c>
      <c r="D661" s="1">
        <f t="shared" si="76"/>
        <v>1</v>
      </c>
      <c r="E661" s="1">
        <f t="shared" si="79"/>
        <v>0</v>
      </c>
      <c r="F661" s="31">
        <f t="shared" si="77"/>
        <v>14.6</v>
      </c>
      <c r="G661" s="31">
        <f t="shared" ca="1" si="81"/>
        <v>10.5</v>
      </c>
      <c r="H661" s="30">
        <f t="shared" ca="1" si="82"/>
        <v>0</v>
      </c>
      <c r="I661" s="31">
        <f t="shared" ca="1" si="83"/>
        <v>10.5</v>
      </c>
      <c r="Q661" s="80"/>
      <c r="R661" s="42"/>
      <c r="S661" s="90">
        <f t="shared" si="80"/>
        <v>60.300000000000587</v>
      </c>
      <c r="T661" s="42"/>
      <c r="U661" s="42"/>
      <c r="V661" s="42"/>
      <c r="W661" s="42"/>
      <c r="X661" s="81"/>
    </row>
    <row r="662" spans="2:24" x14ac:dyDescent="0.25">
      <c r="B662" s="2">
        <v>1</v>
      </c>
      <c r="C662" s="1">
        <f t="shared" si="78"/>
        <v>3.9999999999999574</v>
      </c>
      <c r="D662" s="1">
        <f t="shared" si="76"/>
        <v>1</v>
      </c>
      <c r="E662" s="1">
        <f t="shared" si="79"/>
        <v>0</v>
      </c>
      <c r="F662" s="31">
        <f t="shared" si="77"/>
        <v>14.6</v>
      </c>
      <c r="G662" s="31">
        <f t="shared" ca="1" si="81"/>
        <v>12.55</v>
      </c>
      <c r="H662" s="30">
        <f t="shared" ca="1" si="82"/>
        <v>0</v>
      </c>
      <c r="I662" s="31">
        <f t="shared" ca="1" si="83"/>
        <v>12.55</v>
      </c>
      <c r="Q662" s="80"/>
      <c r="R662" s="42"/>
      <c r="S662" s="90">
        <f t="shared" si="80"/>
        <v>60.400000000000588</v>
      </c>
      <c r="T662" s="42"/>
      <c r="U662" s="42"/>
      <c r="V662" s="42"/>
      <c r="W662" s="42"/>
      <c r="X662" s="81"/>
    </row>
    <row r="663" spans="2:24" x14ac:dyDescent="0.25">
      <c r="B663" s="2">
        <v>1</v>
      </c>
      <c r="C663" s="1">
        <f t="shared" si="78"/>
        <v>4.9999999999999574</v>
      </c>
      <c r="D663" s="1">
        <f t="shared" si="76"/>
        <v>1</v>
      </c>
      <c r="E663" s="1">
        <f t="shared" si="79"/>
        <v>0</v>
      </c>
      <c r="F663" s="31">
        <f t="shared" si="77"/>
        <v>14.6</v>
      </c>
      <c r="G663" s="31">
        <f t="shared" ca="1" si="81"/>
        <v>14.6</v>
      </c>
      <c r="H663" s="30">
        <f t="shared" ca="1" si="82"/>
        <v>0</v>
      </c>
      <c r="I663" s="31">
        <f t="shared" ca="1" si="83"/>
        <v>14.6</v>
      </c>
      <c r="Q663" s="80"/>
      <c r="R663" s="42"/>
      <c r="S663" s="90">
        <f t="shared" si="80"/>
        <v>60.50000000000059</v>
      </c>
      <c r="T663" s="42"/>
      <c r="U663" s="42"/>
      <c r="V663" s="42"/>
      <c r="W663" s="42"/>
      <c r="X663" s="81"/>
    </row>
    <row r="664" spans="2:24" x14ac:dyDescent="0.25">
      <c r="B664" s="2">
        <v>1</v>
      </c>
      <c r="C664" s="1">
        <f t="shared" si="78"/>
        <v>5.9999999999999574</v>
      </c>
      <c r="D664" s="1">
        <f t="shared" si="76"/>
        <v>1</v>
      </c>
      <c r="E664" s="1">
        <f t="shared" si="79"/>
        <v>0</v>
      </c>
      <c r="F664" s="31">
        <f t="shared" si="77"/>
        <v>14.6</v>
      </c>
      <c r="G664" s="31">
        <f t="shared" ca="1" si="81"/>
        <v>14.6</v>
      </c>
      <c r="H664" s="30">
        <f t="shared" ca="1" si="82"/>
        <v>0</v>
      </c>
      <c r="I664" s="31">
        <f t="shared" ca="1" si="83"/>
        <v>14.6</v>
      </c>
      <c r="Q664" s="80"/>
      <c r="R664" s="42"/>
      <c r="S664" s="90">
        <f t="shared" si="80"/>
        <v>60.600000000000591</v>
      </c>
      <c r="T664" s="42"/>
      <c r="U664" s="42"/>
      <c r="V664" s="42"/>
      <c r="W664" s="42"/>
      <c r="X664" s="81"/>
    </row>
    <row r="665" spans="2:24" x14ac:dyDescent="0.25">
      <c r="B665" s="2">
        <v>1</v>
      </c>
      <c r="C665" s="1">
        <f t="shared" si="78"/>
        <v>6.9999999999999574</v>
      </c>
      <c r="D665" s="1">
        <f t="shared" si="76"/>
        <v>1</v>
      </c>
      <c r="E665" s="1">
        <f t="shared" si="79"/>
        <v>0</v>
      </c>
      <c r="F665" s="31">
        <f t="shared" si="77"/>
        <v>14.6</v>
      </c>
      <c r="G665" s="31">
        <f t="shared" ca="1" si="81"/>
        <v>14.6</v>
      </c>
      <c r="H665" s="30">
        <f t="shared" ca="1" si="82"/>
        <v>0</v>
      </c>
      <c r="I665" s="31">
        <f t="shared" ca="1" si="83"/>
        <v>14.6</v>
      </c>
      <c r="Q665" s="80"/>
      <c r="R665" s="42"/>
      <c r="S665" s="90">
        <f t="shared" si="80"/>
        <v>60.700000000000593</v>
      </c>
      <c r="T665" s="42"/>
      <c r="U665" s="42"/>
      <c r="V665" s="42"/>
      <c r="W665" s="42"/>
      <c r="X665" s="81"/>
    </row>
    <row r="666" spans="2:24" x14ac:dyDescent="0.25">
      <c r="B666" s="2">
        <v>1</v>
      </c>
      <c r="C666" s="1">
        <f t="shared" si="78"/>
        <v>7.9999999999999574</v>
      </c>
      <c r="D666" s="1">
        <f t="shared" si="76"/>
        <v>1</v>
      </c>
      <c r="E666" s="1">
        <f t="shared" si="79"/>
        <v>0</v>
      </c>
      <c r="F666" s="31">
        <f t="shared" si="77"/>
        <v>14.6</v>
      </c>
      <c r="G666" s="31">
        <f t="shared" ca="1" si="81"/>
        <v>14.6</v>
      </c>
      <c r="H666" s="30">
        <f t="shared" ca="1" si="82"/>
        <v>0</v>
      </c>
      <c r="I666" s="31">
        <f t="shared" ca="1" si="83"/>
        <v>14.6</v>
      </c>
      <c r="Q666" s="80"/>
      <c r="R666" s="42"/>
      <c r="S666" s="90">
        <f t="shared" si="80"/>
        <v>60.800000000000594</v>
      </c>
      <c r="T666" s="42"/>
      <c r="U666" s="42"/>
      <c r="V666" s="42"/>
      <c r="W666" s="42"/>
      <c r="X666" s="81"/>
    </row>
    <row r="667" spans="2:24" x14ac:dyDescent="0.25">
      <c r="B667" s="2">
        <v>1</v>
      </c>
      <c r="C667" s="1">
        <f t="shared" si="78"/>
        <v>8.9999999999999574</v>
      </c>
      <c r="D667" s="1">
        <f t="shared" si="76"/>
        <v>1</v>
      </c>
      <c r="E667" s="1">
        <f t="shared" si="79"/>
        <v>0</v>
      </c>
      <c r="F667" s="31">
        <f t="shared" si="77"/>
        <v>14.6</v>
      </c>
      <c r="G667" s="31">
        <f t="shared" ca="1" si="81"/>
        <v>14.6</v>
      </c>
      <c r="H667" s="30">
        <f t="shared" ca="1" si="82"/>
        <v>0</v>
      </c>
      <c r="I667" s="31">
        <f t="shared" ca="1" si="83"/>
        <v>14.6</v>
      </c>
      <c r="Q667" s="80"/>
      <c r="R667" s="42"/>
      <c r="S667" s="90">
        <f t="shared" si="80"/>
        <v>60.900000000000595</v>
      </c>
      <c r="T667" s="42"/>
      <c r="U667" s="42"/>
      <c r="V667" s="42"/>
      <c r="W667" s="42"/>
      <c r="X667" s="81"/>
    </row>
    <row r="668" spans="2:24" x14ac:dyDescent="0.25">
      <c r="B668" s="2">
        <v>1</v>
      </c>
      <c r="C668" s="1">
        <f t="shared" si="78"/>
        <v>9.9999999999999574</v>
      </c>
      <c r="D668" s="1">
        <f t="shared" si="76"/>
        <v>1</v>
      </c>
      <c r="E668" s="1">
        <f t="shared" si="79"/>
        <v>0</v>
      </c>
      <c r="F668" s="31">
        <f t="shared" si="77"/>
        <v>14.6</v>
      </c>
      <c r="G668" s="31">
        <f t="shared" ca="1" si="81"/>
        <v>14.6</v>
      </c>
      <c r="H668" s="30">
        <f t="shared" ca="1" si="82"/>
        <v>0</v>
      </c>
      <c r="I668" s="31">
        <f t="shared" ca="1" si="83"/>
        <v>14.6</v>
      </c>
      <c r="Q668" s="80"/>
      <c r="R668" s="42"/>
      <c r="S668" s="90">
        <f t="shared" si="80"/>
        <v>61.000000000000597</v>
      </c>
      <c r="T668" s="42"/>
      <c r="U668" s="42"/>
      <c r="V668" s="42"/>
      <c r="W668" s="42"/>
      <c r="X668" s="81"/>
    </row>
    <row r="669" spans="2:24" x14ac:dyDescent="0.25">
      <c r="B669" s="2">
        <v>1</v>
      </c>
      <c r="C669" s="1">
        <f t="shared" si="78"/>
        <v>10.999999999999957</v>
      </c>
      <c r="D669" s="1">
        <f t="shared" si="76"/>
        <v>1</v>
      </c>
      <c r="E669" s="1">
        <f t="shared" si="79"/>
        <v>0</v>
      </c>
      <c r="F669" s="31">
        <f t="shared" si="77"/>
        <v>14.6</v>
      </c>
      <c r="G669" s="31">
        <f t="shared" ca="1" si="81"/>
        <v>14.6</v>
      </c>
      <c r="H669" s="30">
        <f t="shared" ca="1" si="82"/>
        <v>0</v>
      </c>
      <c r="I669" s="31">
        <f t="shared" ca="1" si="83"/>
        <v>14.6</v>
      </c>
      <c r="Q669" s="80"/>
      <c r="R669" s="42"/>
      <c r="S669" s="90">
        <f t="shared" si="80"/>
        <v>61.100000000000598</v>
      </c>
      <c r="T669" s="42"/>
      <c r="U669" s="42"/>
      <c r="V669" s="42"/>
      <c r="W669" s="42"/>
      <c r="X669" s="81"/>
    </row>
    <row r="670" spans="2:24" x14ac:dyDescent="0.25">
      <c r="B670" s="2">
        <v>1</v>
      </c>
      <c r="C670" s="1">
        <f t="shared" si="78"/>
        <v>11.999999999999957</v>
      </c>
      <c r="D670" s="1">
        <f t="shared" si="76"/>
        <v>1</v>
      </c>
      <c r="E670" s="1">
        <f t="shared" si="79"/>
        <v>0</v>
      </c>
      <c r="F670" s="31">
        <f t="shared" si="77"/>
        <v>14.6</v>
      </c>
      <c r="G670" s="31">
        <f t="shared" ca="1" si="81"/>
        <v>14.6</v>
      </c>
      <c r="H670" s="30">
        <f t="shared" ca="1" si="82"/>
        <v>0</v>
      </c>
      <c r="I670" s="31">
        <f t="shared" ca="1" si="83"/>
        <v>14.6</v>
      </c>
      <c r="Q670" s="80"/>
      <c r="R670" s="42"/>
      <c r="S670" s="90">
        <f t="shared" si="80"/>
        <v>61.2000000000006</v>
      </c>
      <c r="T670" s="42"/>
      <c r="U670" s="42"/>
      <c r="V670" s="42"/>
      <c r="W670" s="42"/>
      <c r="X670" s="81"/>
    </row>
    <row r="671" spans="2:24" x14ac:dyDescent="0.25">
      <c r="B671" s="2">
        <v>1</v>
      </c>
      <c r="C671" s="1">
        <f t="shared" si="78"/>
        <v>12.999999999999957</v>
      </c>
      <c r="D671" s="1">
        <f t="shared" si="76"/>
        <v>1</v>
      </c>
      <c r="E671" s="1">
        <f t="shared" si="79"/>
        <v>0</v>
      </c>
      <c r="F671" s="31">
        <f t="shared" si="77"/>
        <v>14.6</v>
      </c>
      <c r="G671" s="31">
        <f t="shared" ca="1" si="81"/>
        <v>14.6</v>
      </c>
      <c r="H671" s="30">
        <f t="shared" ca="1" si="82"/>
        <v>0</v>
      </c>
      <c r="I671" s="31">
        <f t="shared" ca="1" si="83"/>
        <v>14.6</v>
      </c>
      <c r="Q671" s="80"/>
      <c r="R671" s="42"/>
      <c r="S671" s="90">
        <f t="shared" si="80"/>
        <v>61.300000000000601</v>
      </c>
      <c r="T671" s="42"/>
      <c r="U671" s="42"/>
      <c r="V671" s="42"/>
      <c r="W671" s="42"/>
      <c r="X671" s="81"/>
    </row>
    <row r="672" spans="2:24" x14ac:dyDescent="0.25">
      <c r="B672" s="2">
        <v>1</v>
      </c>
      <c r="C672" s="1">
        <f t="shared" si="78"/>
        <v>13.999999999999957</v>
      </c>
      <c r="D672" s="1">
        <f t="shared" si="76"/>
        <v>1</v>
      </c>
      <c r="E672" s="1">
        <f t="shared" si="79"/>
        <v>0</v>
      </c>
      <c r="F672" s="31">
        <f t="shared" si="77"/>
        <v>14.6</v>
      </c>
      <c r="G672" s="31">
        <f t="shared" ca="1" si="81"/>
        <v>14.6</v>
      </c>
      <c r="H672" s="30">
        <f t="shared" ca="1" si="82"/>
        <v>0</v>
      </c>
      <c r="I672" s="31">
        <f t="shared" ca="1" si="83"/>
        <v>14.6</v>
      </c>
      <c r="Q672" s="80"/>
      <c r="R672" s="42"/>
      <c r="S672" s="90">
        <f t="shared" si="80"/>
        <v>61.400000000000603</v>
      </c>
      <c r="T672" s="42"/>
      <c r="U672" s="42"/>
      <c r="V672" s="42"/>
      <c r="W672" s="42"/>
      <c r="X672" s="81"/>
    </row>
    <row r="673" spans="2:24" x14ac:dyDescent="0.25">
      <c r="B673" s="2">
        <v>1</v>
      </c>
      <c r="C673" s="1">
        <f t="shared" si="78"/>
        <v>14.999999999999957</v>
      </c>
      <c r="D673" s="1">
        <f t="shared" si="76"/>
        <v>1</v>
      </c>
      <c r="E673" s="1">
        <f t="shared" si="79"/>
        <v>0</v>
      </c>
      <c r="F673" s="31">
        <f t="shared" si="77"/>
        <v>14.6</v>
      </c>
      <c r="G673" s="31">
        <f t="shared" ca="1" si="81"/>
        <v>14.6</v>
      </c>
      <c r="H673" s="30">
        <f t="shared" ca="1" si="82"/>
        <v>0</v>
      </c>
      <c r="I673" s="31">
        <f t="shared" ca="1" si="83"/>
        <v>14.6</v>
      </c>
      <c r="Q673" s="80"/>
      <c r="R673" s="42"/>
      <c r="S673" s="90">
        <f t="shared" si="80"/>
        <v>61.500000000000604</v>
      </c>
      <c r="T673" s="42"/>
      <c r="U673" s="42"/>
      <c r="V673" s="42"/>
      <c r="W673" s="42"/>
      <c r="X673" s="81"/>
    </row>
    <row r="674" spans="2:24" x14ac:dyDescent="0.25">
      <c r="B674" s="2">
        <v>1</v>
      </c>
      <c r="C674" s="1">
        <f t="shared" si="78"/>
        <v>15.999999999999957</v>
      </c>
      <c r="D674" s="1">
        <f t="shared" si="76"/>
        <v>1</v>
      </c>
      <c r="E674" s="1">
        <f t="shared" si="79"/>
        <v>0</v>
      </c>
      <c r="F674" s="31">
        <f t="shared" si="77"/>
        <v>14.6</v>
      </c>
      <c r="G674" s="31">
        <f t="shared" ca="1" si="81"/>
        <v>14.6</v>
      </c>
      <c r="H674" s="30">
        <f t="shared" ca="1" si="82"/>
        <v>0</v>
      </c>
      <c r="I674" s="31">
        <f t="shared" ca="1" si="83"/>
        <v>14.6</v>
      </c>
      <c r="Q674" s="80"/>
      <c r="R674" s="42"/>
      <c r="S674" s="90">
        <f t="shared" si="80"/>
        <v>61.600000000000605</v>
      </c>
      <c r="T674" s="42"/>
      <c r="U674" s="42"/>
      <c r="V674" s="42"/>
      <c r="W674" s="42"/>
      <c r="X674" s="81"/>
    </row>
    <row r="675" spans="2:24" x14ac:dyDescent="0.25">
      <c r="B675" s="2">
        <v>1</v>
      </c>
      <c r="C675" s="1">
        <f t="shared" si="78"/>
        <v>16.999999999999957</v>
      </c>
      <c r="D675" s="1">
        <f t="shared" si="76"/>
        <v>1</v>
      </c>
      <c r="E675" s="1">
        <f t="shared" si="79"/>
        <v>0</v>
      </c>
      <c r="F675" s="31">
        <f t="shared" si="77"/>
        <v>14.6</v>
      </c>
      <c r="G675" s="31">
        <f t="shared" ca="1" si="81"/>
        <v>14.6</v>
      </c>
      <c r="H675" s="30">
        <f t="shared" ca="1" si="82"/>
        <v>0</v>
      </c>
      <c r="I675" s="31">
        <f t="shared" ca="1" si="83"/>
        <v>14.6</v>
      </c>
      <c r="Q675" s="80"/>
      <c r="R675" s="42"/>
      <c r="S675" s="90">
        <f t="shared" si="80"/>
        <v>61.700000000000607</v>
      </c>
      <c r="T675" s="42"/>
      <c r="U675" s="42"/>
      <c r="V675" s="42"/>
      <c r="W675" s="42"/>
      <c r="X675" s="81"/>
    </row>
    <row r="676" spans="2:24" x14ac:dyDescent="0.25">
      <c r="B676" s="2">
        <v>1</v>
      </c>
      <c r="C676" s="1">
        <f t="shared" si="78"/>
        <v>17.999999999999957</v>
      </c>
      <c r="D676" s="1">
        <f t="shared" si="76"/>
        <v>1</v>
      </c>
      <c r="E676" s="1">
        <f t="shared" si="79"/>
        <v>0</v>
      </c>
      <c r="F676" s="31">
        <f t="shared" si="77"/>
        <v>14.6</v>
      </c>
      <c r="G676" s="31">
        <f t="shared" ca="1" si="81"/>
        <v>14.6</v>
      </c>
      <c r="H676" s="30">
        <f t="shared" ca="1" si="82"/>
        <v>0</v>
      </c>
      <c r="I676" s="31">
        <f t="shared" ca="1" si="83"/>
        <v>14.6</v>
      </c>
      <c r="Q676" s="80"/>
      <c r="R676" s="42"/>
      <c r="S676" s="90">
        <f t="shared" si="80"/>
        <v>61.800000000000608</v>
      </c>
      <c r="T676" s="42"/>
      <c r="U676" s="42"/>
      <c r="V676" s="42"/>
      <c r="W676" s="42"/>
      <c r="X676" s="81"/>
    </row>
    <row r="677" spans="2:24" x14ac:dyDescent="0.25">
      <c r="B677" s="2">
        <v>1</v>
      </c>
      <c r="C677" s="1">
        <f t="shared" si="78"/>
        <v>18.999999999999957</v>
      </c>
      <c r="D677" s="1">
        <f t="shared" si="76"/>
        <v>1</v>
      </c>
      <c r="E677" s="1">
        <f t="shared" si="79"/>
        <v>0</v>
      </c>
      <c r="F677" s="31">
        <f t="shared" si="77"/>
        <v>14.6</v>
      </c>
      <c r="G677" s="31">
        <f t="shared" ca="1" si="81"/>
        <v>14.6</v>
      </c>
      <c r="H677" s="30">
        <f t="shared" ca="1" si="82"/>
        <v>0</v>
      </c>
      <c r="I677" s="31">
        <f t="shared" ca="1" si="83"/>
        <v>14.6</v>
      </c>
      <c r="Q677" s="80"/>
      <c r="R677" s="42"/>
      <c r="S677" s="90">
        <f t="shared" si="80"/>
        <v>61.90000000000061</v>
      </c>
      <c r="T677" s="42"/>
      <c r="U677" s="42"/>
      <c r="V677" s="42"/>
      <c r="W677" s="42"/>
      <c r="X677" s="81"/>
    </row>
    <row r="678" spans="2:24" x14ac:dyDescent="0.25">
      <c r="B678" s="2">
        <v>1</v>
      </c>
      <c r="C678" s="1">
        <f t="shared" si="78"/>
        <v>19.999999999999957</v>
      </c>
      <c r="D678" s="1">
        <f t="shared" si="76"/>
        <v>1</v>
      </c>
      <c r="E678" s="1">
        <f t="shared" si="79"/>
        <v>0</v>
      </c>
      <c r="F678" s="31">
        <f t="shared" si="77"/>
        <v>14.6</v>
      </c>
      <c r="G678" s="31">
        <f t="shared" ca="1" si="81"/>
        <v>14.6</v>
      </c>
      <c r="H678" s="30">
        <f t="shared" ca="1" si="82"/>
        <v>0</v>
      </c>
      <c r="I678" s="31">
        <f t="shared" ca="1" si="83"/>
        <v>14.6</v>
      </c>
      <c r="Q678" s="80"/>
      <c r="R678" s="42"/>
      <c r="S678" s="90">
        <f t="shared" si="80"/>
        <v>62.000000000000611</v>
      </c>
      <c r="T678" s="42"/>
      <c r="U678" s="42"/>
      <c r="V678" s="42"/>
      <c r="W678" s="42"/>
      <c r="X678" s="81"/>
    </row>
    <row r="679" spans="2:24" x14ac:dyDescent="0.25">
      <c r="B679" s="2">
        <v>1</v>
      </c>
      <c r="C679" s="1">
        <f t="shared" si="78"/>
        <v>20.999999999999957</v>
      </c>
      <c r="D679" s="1">
        <f t="shared" si="76"/>
        <v>1</v>
      </c>
      <c r="E679" s="1">
        <f t="shared" si="79"/>
        <v>0</v>
      </c>
      <c r="F679" s="31">
        <f t="shared" si="77"/>
        <v>14.6</v>
      </c>
      <c r="G679" s="31">
        <f t="shared" ca="1" si="81"/>
        <v>14.6</v>
      </c>
      <c r="H679" s="30">
        <f t="shared" ca="1" si="82"/>
        <v>0</v>
      </c>
      <c r="I679" s="31">
        <f t="shared" ca="1" si="83"/>
        <v>14.6</v>
      </c>
      <c r="Q679" s="80"/>
      <c r="R679" s="42"/>
      <c r="S679" s="90">
        <f t="shared" si="80"/>
        <v>62.100000000000612</v>
      </c>
      <c r="T679" s="42"/>
      <c r="U679" s="42"/>
      <c r="V679" s="42"/>
      <c r="W679" s="42"/>
      <c r="X679" s="81"/>
    </row>
    <row r="680" spans="2:24" x14ac:dyDescent="0.25">
      <c r="B680" s="2">
        <v>1</v>
      </c>
      <c r="C680" s="1">
        <f t="shared" si="78"/>
        <v>21.999999999999957</v>
      </c>
      <c r="D680" s="1">
        <f t="shared" si="76"/>
        <v>1</v>
      </c>
      <c r="E680" s="1">
        <f t="shared" si="79"/>
        <v>0</v>
      </c>
      <c r="F680" s="31">
        <f t="shared" si="77"/>
        <v>14.6</v>
      </c>
      <c r="G680" s="31">
        <f t="shared" ca="1" si="81"/>
        <v>14.6</v>
      </c>
      <c r="H680" s="30">
        <f t="shared" ca="1" si="82"/>
        <v>0</v>
      </c>
      <c r="I680" s="31">
        <f t="shared" ca="1" si="83"/>
        <v>14.6</v>
      </c>
      <c r="Q680" s="80"/>
      <c r="R680" s="42"/>
      <c r="S680" s="90">
        <f t="shared" si="80"/>
        <v>62.200000000000614</v>
      </c>
      <c r="T680" s="42"/>
      <c r="U680" s="42"/>
      <c r="V680" s="42"/>
      <c r="W680" s="42"/>
      <c r="X680" s="81"/>
    </row>
    <row r="681" spans="2:24" x14ac:dyDescent="0.25">
      <c r="B681" s="2">
        <v>1</v>
      </c>
      <c r="C681" s="1">
        <f t="shared" si="78"/>
        <v>22.999999999999957</v>
      </c>
      <c r="D681" s="1">
        <f t="shared" si="76"/>
        <v>0</v>
      </c>
      <c r="E681" s="1">
        <f t="shared" si="79"/>
        <v>1</v>
      </c>
      <c r="F681" s="31">
        <f t="shared" si="77"/>
        <v>6.4</v>
      </c>
      <c r="G681" s="31">
        <f t="shared" ca="1" si="81"/>
        <v>0</v>
      </c>
      <c r="H681" s="30">
        <f t="shared" ca="1" si="82"/>
        <v>14.6</v>
      </c>
      <c r="I681" s="31">
        <f t="shared" ca="1" si="83"/>
        <v>14.6</v>
      </c>
      <c r="Q681" s="80"/>
      <c r="R681" s="42"/>
      <c r="S681" s="90">
        <f t="shared" si="80"/>
        <v>62.300000000000615</v>
      </c>
      <c r="T681" s="42"/>
      <c r="U681" s="42"/>
      <c r="V681" s="42"/>
      <c r="W681" s="42"/>
      <c r="X681" s="81"/>
    </row>
    <row r="682" spans="2:24" x14ac:dyDescent="0.25">
      <c r="B682" s="2">
        <v>1</v>
      </c>
      <c r="C682" s="1">
        <f t="shared" si="78"/>
        <v>23.999999999999957</v>
      </c>
      <c r="D682" s="1">
        <f t="shared" si="76"/>
        <v>0</v>
      </c>
      <c r="E682" s="1">
        <f t="shared" si="79"/>
        <v>1</v>
      </c>
      <c r="F682" s="31">
        <f t="shared" si="77"/>
        <v>6.4</v>
      </c>
      <c r="G682" s="31">
        <f t="shared" ca="1" si="81"/>
        <v>0</v>
      </c>
      <c r="H682" s="30">
        <f t="shared" ca="1" si="82"/>
        <v>6.4</v>
      </c>
      <c r="I682" s="31">
        <f t="shared" ca="1" si="83"/>
        <v>6.4</v>
      </c>
      <c r="Q682" s="80"/>
      <c r="R682" s="42"/>
      <c r="S682" s="90">
        <f t="shared" si="80"/>
        <v>62.400000000000617</v>
      </c>
      <c r="T682" s="42"/>
      <c r="U682" s="42"/>
      <c r="V682" s="42"/>
      <c r="W682" s="42"/>
      <c r="X682" s="81"/>
    </row>
    <row r="683" spans="2:24" x14ac:dyDescent="0.25">
      <c r="B683" s="2">
        <v>1</v>
      </c>
      <c r="C683" s="1">
        <f t="shared" si="78"/>
        <v>24.999999999999957</v>
      </c>
      <c r="D683" s="1">
        <f t="shared" si="76"/>
        <v>0</v>
      </c>
      <c r="E683" s="1">
        <f t="shared" si="79"/>
        <v>1</v>
      </c>
      <c r="F683" s="31">
        <f t="shared" si="77"/>
        <v>6.4</v>
      </c>
      <c r="G683" s="31">
        <f t="shared" ca="1" si="81"/>
        <v>0</v>
      </c>
      <c r="H683" s="30">
        <f t="shared" ca="1" si="82"/>
        <v>6.4</v>
      </c>
      <c r="I683" s="31">
        <f t="shared" ca="1" si="83"/>
        <v>6.4</v>
      </c>
      <c r="Q683" s="80"/>
      <c r="R683" s="42"/>
      <c r="S683" s="90">
        <f t="shared" si="80"/>
        <v>62.500000000000618</v>
      </c>
      <c r="T683" s="42"/>
      <c r="U683" s="42"/>
      <c r="V683" s="42"/>
      <c r="W683" s="42"/>
      <c r="X683" s="81"/>
    </row>
    <row r="684" spans="2:24" x14ac:dyDescent="0.25">
      <c r="B684" s="2">
        <v>1</v>
      </c>
      <c r="C684" s="1">
        <f t="shared" si="78"/>
        <v>25.999999999999957</v>
      </c>
      <c r="D684" s="1">
        <f t="shared" si="76"/>
        <v>0</v>
      </c>
      <c r="E684" s="1">
        <f t="shared" si="79"/>
        <v>1</v>
      </c>
      <c r="F684" s="31">
        <f t="shared" si="77"/>
        <v>6.4</v>
      </c>
      <c r="G684" s="31">
        <f t="shared" ca="1" si="81"/>
        <v>0</v>
      </c>
      <c r="H684" s="30">
        <f t="shared" ca="1" si="82"/>
        <v>6.4</v>
      </c>
      <c r="I684" s="31">
        <f t="shared" ca="1" si="83"/>
        <v>6.4</v>
      </c>
      <c r="Q684" s="80"/>
      <c r="R684" s="42"/>
      <c r="S684" s="90">
        <f t="shared" si="80"/>
        <v>62.60000000000062</v>
      </c>
      <c r="T684" s="42"/>
      <c r="U684" s="42"/>
      <c r="V684" s="42"/>
      <c r="W684" s="42"/>
      <c r="X684" s="81"/>
    </row>
    <row r="685" spans="2:24" x14ac:dyDescent="0.25">
      <c r="B685" s="2">
        <v>1</v>
      </c>
      <c r="C685" s="1">
        <f t="shared" si="78"/>
        <v>26.999999999999957</v>
      </c>
      <c r="D685" s="1">
        <f t="shared" si="76"/>
        <v>0</v>
      </c>
      <c r="E685" s="1">
        <f t="shared" si="79"/>
        <v>1</v>
      </c>
      <c r="F685" s="31">
        <f t="shared" si="77"/>
        <v>6.4</v>
      </c>
      <c r="G685" s="31">
        <f t="shared" ca="1" si="81"/>
        <v>0</v>
      </c>
      <c r="H685" s="30">
        <f t="shared" ca="1" si="82"/>
        <v>6.4</v>
      </c>
      <c r="I685" s="31">
        <f t="shared" ca="1" si="83"/>
        <v>6.4</v>
      </c>
      <c r="Q685" s="80"/>
      <c r="R685" s="42"/>
      <c r="S685" s="90">
        <f t="shared" si="80"/>
        <v>62.700000000000621</v>
      </c>
      <c r="T685" s="42"/>
      <c r="U685" s="42"/>
      <c r="V685" s="42"/>
      <c r="W685" s="42"/>
      <c r="X685" s="81"/>
    </row>
    <row r="686" spans="2:24" x14ac:dyDescent="0.25">
      <c r="B686" s="2">
        <v>1</v>
      </c>
      <c r="C686" s="1">
        <f t="shared" si="78"/>
        <v>27.999999999999957</v>
      </c>
      <c r="D686" s="1">
        <f t="shared" si="76"/>
        <v>0</v>
      </c>
      <c r="E686" s="1">
        <f t="shared" si="79"/>
        <v>1</v>
      </c>
      <c r="F686" s="31">
        <f t="shared" si="77"/>
        <v>6.4</v>
      </c>
      <c r="G686" s="31">
        <f t="shared" ca="1" si="81"/>
        <v>0</v>
      </c>
      <c r="H686" s="30">
        <f t="shared" ca="1" si="82"/>
        <v>6.4</v>
      </c>
      <c r="I686" s="31">
        <f t="shared" ca="1" si="83"/>
        <v>6.4</v>
      </c>
      <c r="Q686" s="80"/>
      <c r="R686" s="42"/>
      <c r="S686" s="90">
        <f t="shared" si="80"/>
        <v>62.800000000000622</v>
      </c>
      <c r="T686" s="42"/>
      <c r="U686" s="42"/>
      <c r="V686" s="42"/>
      <c r="W686" s="42"/>
      <c r="X686" s="81"/>
    </row>
    <row r="687" spans="2:24" x14ac:dyDescent="0.25">
      <c r="B687" s="2">
        <v>1</v>
      </c>
      <c r="C687" s="1">
        <f t="shared" si="78"/>
        <v>28.999999999999957</v>
      </c>
      <c r="D687" s="1">
        <f t="shared" si="76"/>
        <v>0</v>
      </c>
      <c r="E687" s="1">
        <f t="shared" si="79"/>
        <v>1</v>
      </c>
      <c r="F687" s="31">
        <f t="shared" si="77"/>
        <v>6.4</v>
      </c>
      <c r="G687" s="31">
        <f t="shared" ca="1" si="81"/>
        <v>0</v>
      </c>
      <c r="H687" s="30">
        <f t="shared" ca="1" si="82"/>
        <v>6.4</v>
      </c>
      <c r="I687" s="31">
        <f t="shared" ca="1" si="83"/>
        <v>6.4</v>
      </c>
      <c r="Q687" s="80"/>
      <c r="R687" s="42"/>
      <c r="S687" s="90">
        <f t="shared" si="80"/>
        <v>62.900000000000624</v>
      </c>
      <c r="T687" s="42"/>
      <c r="U687" s="42"/>
      <c r="V687" s="42"/>
      <c r="W687" s="42"/>
      <c r="X687" s="81"/>
    </row>
    <row r="688" spans="2:24" x14ac:dyDescent="0.25">
      <c r="B688" s="2">
        <v>1</v>
      </c>
      <c r="C688" s="1">
        <f t="shared" si="78"/>
        <v>29.999999999999957</v>
      </c>
      <c r="D688" s="1">
        <f t="shared" si="76"/>
        <v>0</v>
      </c>
      <c r="E688" s="1">
        <f t="shared" si="79"/>
        <v>1</v>
      </c>
      <c r="F688" s="31">
        <f t="shared" si="77"/>
        <v>6.4</v>
      </c>
      <c r="G688" s="31">
        <f t="shared" ca="1" si="81"/>
        <v>0</v>
      </c>
      <c r="H688" s="30">
        <f t="shared" ca="1" si="82"/>
        <v>6.4</v>
      </c>
      <c r="I688" s="31">
        <f t="shared" ca="1" si="83"/>
        <v>6.4</v>
      </c>
      <c r="Q688" s="80"/>
      <c r="R688" s="42"/>
      <c r="S688" s="90">
        <f t="shared" si="80"/>
        <v>63.000000000000625</v>
      </c>
      <c r="T688" s="42"/>
      <c r="U688" s="42"/>
      <c r="V688" s="42"/>
      <c r="W688" s="42"/>
      <c r="X688" s="81"/>
    </row>
    <row r="689" spans="2:24" x14ac:dyDescent="0.25">
      <c r="B689" s="2">
        <v>1</v>
      </c>
      <c r="C689" s="1">
        <f t="shared" si="78"/>
        <v>30.999999999999957</v>
      </c>
      <c r="D689" s="1">
        <f t="shared" si="76"/>
        <v>0</v>
      </c>
      <c r="E689" s="1">
        <f t="shared" si="79"/>
        <v>1</v>
      </c>
      <c r="F689" s="31">
        <f t="shared" si="77"/>
        <v>6.4</v>
      </c>
      <c r="G689" s="31">
        <f t="shared" ca="1" si="81"/>
        <v>0</v>
      </c>
      <c r="H689" s="30">
        <f t="shared" ca="1" si="82"/>
        <v>6.4</v>
      </c>
      <c r="I689" s="31">
        <f t="shared" ca="1" si="83"/>
        <v>6.4</v>
      </c>
      <c r="Q689" s="80"/>
      <c r="R689" s="42"/>
      <c r="S689" s="90">
        <f t="shared" si="80"/>
        <v>63.100000000000627</v>
      </c>
      <c r="T689" s="42"/>
      <c r="U689" s="42"/>
      <c r="V689" s="42"/>
      <c r="W689" s="42"/>
      <c r="X689" s="81"/>
    </row>
    <row r="690" spans="2:24" x14ac:dyDescent="0.25">
      <c r="B690" s="2">
        <v>1</v>
      </c>
      <c r="C690" s="1">
        <f t="shared" si="78"/>
        <v>31.999999999999957</v>
      </c>
      <c r="D690" s="1">
        <f t="shared" si="76"/>
        <v>0</v>
      </c>
      <c r="E690" s="1">
        <f t="shared" si="79"/>
        <v>1</v>
      </c>
      <c r="F690" s="31">
        <f t="shared" si="77"/>
        <v>6.4</v>
      </c>
      <c r="G690" s="31">
        <f t="shared" ca="1" si="81"/>
        <v>0</v>
      </c>
      <c r="H690" s="30">
        <f t="shared" ca="1" si="82"/>
        <v>6.4</v>
      </c>
      <c r="I690" s="31">
        <f t="shared" ca="1" si="83"/>
        <v>6.4</v>
      </c>
      <c r="Q690" s="80"/>
      <c r="R690" s="42"/>
      <c r="S690" s="90">
        <f t="shared" si="80"/>
        <v>63.200000000000628</v>
      </c>
      <c r="T690" s="42"/>
      <c r="U690" s="42"/>
      <c r="V690" s="42"/>
      <c r="W690" s="42"/>
      <c r="X690" s="81"/>
    </row>
    <row r="691" spans="2:24" x14ac:dyDescent="0.25">
      <c r="B691" s="2">
        <v>1</v>
      </c>
      <c r="C691" s="1">
        <f t="shared" si="78"/>
        <v>32.999999999999957</v>
      </c>
      <c r="D691" s="1">
        <f t="shared" si="76"/>
        <v>0</v>
      </c>
      <c r="E691" s="1">
        <f t="shared" si="79"/>
        <v>1</v>
      </c>
      <c r="F691" s="31">
        <f t="shared" si="77"/>
        <v>6.4</v>
      </c>
      <c r="G691" s="31">
        <f t="shared" ca="1" si="81"/>
        <v>0</v>
      </c>
      <c r="H691" s="30">
        <f t="shared" ca="1" si="82"/>
        <v>6.4</v>
      </c>
      <c r="I691" s="31">
        <f t="shared" ca="1" si="83"/>
        <v>6.4</v>
      </c>
      <c r="Q691" s="80"/>
      <c r="R691" s="42"/>
      <c r="S691" s="90">
        <f t="shared" si="80"/>
        <v>63.30000000000063</v>
      </c>
      <c r="T691" s="42"/>
      <c r="U691" s="42"/>
      <c r="V691" s="42"/>
      <c r="W691" s="42"/>
      <c r="X691" s="81"/>
    </row>
    <row r="692" spans="2:24" x14ac:dyDescent="0.25">
      <c r="B692" s="2">
        <v>1</v>
      </c>
      <c r="C692" s="1">
        <f t="shared" si="78"/>
        <v>33.999999999999957</v>
      </c>
      <c r="D692" s="1">
        <f t="shared" si="76"/>
        <v>0</v>
      </c>
      <c r="E692" s="1">
        <f t="shared" si="79"/>
        <v>1</v>
      </c>
      <c r="F692" s="31">
        <f t="shared" si="77"/>
        <v>6.4</v>
      </c>
      <c r="G692" s="31">
        <f t="shared" ca="1" si="81"/>
        <v>0</v>
      </c>
      <c r="H692" s="30">
        <f t="shared" ca="1" si="82"/>
        <v>6.4</v>
      </c>
      <c r="I692" s="31">
        <f t="shared" ca="1" si="83"/>
        <v>6.4</v>
      </c>
      <c r="Q692" s="80"/>
      <c r="R692" s="42"/>
      <c r="S692" s="90">
        <f t="shared" si="80"/>
        <v>63.400000000000631</v>
      </c>
      <c r="T692" s="42"/>
      <c r="U692" s="42"/>
      <c r="V692" s="42"/>
      <c r="W692" s="42"/>
      <c r="X692" s="81"/>
    </row>
    <row r="693" spans="2:24" x14ac:dyDescent="0.25">
      <c r="B693" s="2">
        <v>1</v>
      </c>
      <c r="C693" s="1">
        <f t="shared" si="78"/>
        <v>34.999999999999957</v>
      </c>
      <c r="D693" s="1">
        <f t="shared" si="76"/>
        <v>0</v>
      </c>
      <c r="E693" s="1">
        <f t="shared" si="79"/>
        <v>1</v>
      </c>
      <c r="F693" s="31">
        <f t="shared" si="77"/>
        <v>6.4</v>
      </c>
      <c r="G693" s="31">
        <f t="shared" ca="1" si="81"/>
        <v>0</v>
      </c>
      <c r="H693" s="30">
        <f t="shared" ca="1" si="82"/>
        <v>6.4</v>
      </c>
      <c r="I693" s="31">
        <f t="shared" ca="1" si="83"/>
        <v>6.4</v>
      </c>
      <c r="Q693" s="80"/>
      <c r="R693" s="42"/>
      <c r="S693" s="90">
        <f t="shared" si="80"/>
        <v>63.500000000000632</v>
      </c>
      <c r="T693" s="42"/>
      <c r="U693" s="42"/>
      <c r="V693" s="42"/>
      <c r="W693" s="42"/>
      <c r="X693" s="81"/>
    </row>
    <row r="694" spans="2:24" x14ac:dyDescent="0.25">
      <c r="B694" s="2">
        <v>1</v>
      </c>
      <c r="C694" s="1">
        <f t="shared" si="78"/>
        <v>0.70588235294113133</v>
      </c>
      <c r="D694" s="1">
        <f t="shared" si="76"/>
        <v>1</v>
      </c>
      <c r="E694" s="1">
        <f t="shared" si="79"/>
        <v>0</v>
      </c>
      <c r="F694" s="31">
        <f t="shared" si="77"/>
        <v>14.6</v>
      </c>
      <c r="G694" s="31">
        <f t="shared" ca="1" si="81"/>
        <v>6.4</v>
      </c>
      <c r="H694" s="30">
        <f t="shared" ca="1" si="82"/>
        <v>0</v>
      </c>
      <c r="I694" s="31">
        <f t="shared" ca="1" si="83"/>
        <v>6.4</v>
      </c>
      <c r="Q694" s="80"/>
      <c r="R694" s="42"/>
      <c r="S694" s="90">
        <f t="shared" si="80"/>
        <v>63.600000000000634</v>
      </c>
      <c r="T694" s="42"/>
      <c r="U694" s="42"/>
      <c r="V694" s="42"/>
      <c r="W694" s="42"/>
      <c r="X694" s="81"/>
    </row>
    <row r="695" spans="2:24" x14ac:dyDescent="0.25">
      <c r="B695" s="2">
        <v>1</v>
      </c>
      <c r="C695" s="1">
        <f t="shared" si="78"/>
        <v>1.7058823529411313</v>
      </c>
      <c r="D695" s="1">
        <f t="shared" si="76"/>
        <v>1</v>
      </c>
      <c r="E695" s="1">
        <f t="shared" si="79"/>
        <v>0</v>
      </c>
      <c r="F695" s="31">
        <f t="shared" si="77"/>
        <v>14.6</v>
      </c>
      <c r="G695" s="31">
        <f t="shared" ca="1" si="81"/>
        <v>8.4500000000000011</v>
      </c>
      <c r="H695" s="30">
        <f t="shared" ca="1" si="82"/>
        <v>0</v>
      </c>
      <c r="I695" s="31">
        <f t="shared" ca="1" si="83"/>
        <v>8.4500000000000011</v>
      </c>
      <c r="Q695" s="80"/>
      <c r="R695" s="42"/>
      <c r="S695" s="90">
        <f t="shared" si="80"/>
        <v>63.700000000000635</v>
      </c>
      <c r="T695" s="42"/>
      <c r="U695" s="42"/>
      <c r="V695" s="42"/>
      <c r="W695" s="42"/>
      <c r="X695" s="81"/>
    </row>
    <row r="696" spans="2:24" x14ac:dyDescent="0.25">
      <c r="B696" s="2">
        <v>1</v>
      </c>
      <c r="C696" s="1">
        <f t="shared" si="78"/>
        <v>2.7058823529411313</v>
      </c>
      <c r="D696" s="1">
        <f t="shared" si="76"/>
        <v>1</v>
      </c>
      <c r="E696" s="1">
        <f t="shared" si="79"/>
        <v>0</v>
      </c>
      <c r="F696" s="31">
        <f t="shared" si="77"/>
        <v>14.6</v>
      </c>
      <c r="G696" s="31">
        <f t="shared" ca="1" si="81"/>
        <v>10.5</v>
      </c>
      <c r="H696" s="30">
        <f t="shared" ca="1" si="82"/>
        <v>0</v>
      </c>
      <c r="I696" s="31">
        <f t="shared" ca="1" si="83"/>
        <v>10.5</v>
      </c>
      <c r="Q696" s="80"/>
      <c r="R696" s="42"/>
      <c r="S696" s="90">
        <f t="shared" si="80"/>
        <v>63.800000000000637</v>
      </c>
      <c r="T696" s="42"/>
      <c r="U696" s="42"/>
      <c r="V696" s="42"/>
      <c r="W696" s="42"/>
      <c r="X696" s="81"/>
    </row>
    <row r="697" spans="2:24" x14ac:dyDescent="0.25">
      <c r="B697" s="2">
        <v>1</v>
      </c>
      <c r="C697" s="1">
        <f t="shared" si="78"/>
        <v>3.7058823529411313</v>
      </c>
      <c r="D697" s="1">
        <f t="shared" si="76"/>
        <v>1</v>
      </c>
      <c r="E697" s="1">
        <f t="shared" si="79"/>
        <v>0</v>
      </c>
      <c r="F697" s="31">
        <f t="shared" si="77"/>
        <v>14.6</v>
      </c>
      <c r="G697" s="31">
        <f t="shared" ca="1" si="81"/>
        <v>12.55</v>
      </c>
      <c r="H697" s="30">
        <f t="shared" ca="1" si="82"/>
        <v>0</v>
      </c>
      <c r="I697" s="31">
        <f t="shared" ca="1" si="83"/>
        <v>12.55</v>
      </c>
      <c r="Q697" s="80"/>
      <c r="R697" s="42"/>
      <c r="S697" s="90">
        <f t="shared" si="80"/>
        <v>63.900000000000638</v>
      </c>
      <c r="T697" s="42"/>
      <c r="U697" s="42"/>
      <c r="V697" s="42"/>
      <c r="W697" s="42"/>
      <c r="X697" s="81"/>
    </row>
    <row r="698" spans="2:24" x14ac:dyDescent="0.25">
      <c r="B698" s="2">
        <v>1</v>
      </c>
      <c r="C698" s="1">
        <f t="shared" si="78"/>
        <v>4.7058823529411313</v>
      </c>
      <c r="D698" s="1">
        <f t="shared" ref="D698:D761" si="84">IF(C698&lt;=Inhelation_Time_RT,1,0)</f>
        <v>1</v>
      </c>
      <c r="E698" s="1">
        <f t="shared" si="79"/>
        <v>0</v>
      </c>
      <c r="F698" s="31">
        <f t="shared" ref="F698:F761" si="85">(D698*Inspiratory_pressure_level) + (E698*PEEP)</f>
        <v>14.6</v>
      </c>
      <c r="G698" s="31">
        <f t="shared" ca="1" si="81"/>
        <v>14.6</v>
      </c>
      <c r="H698" s="30">
        <f t="shared" ca="1" si="82"/>
        <v>0</v>
      </c>
      <c r="I698" s="31">
        <f t="shared" ca="1" si="83"/>
        <v>14.6</v>
      </c>
      <c r="Q698" s="80"/>
      <c r="R698" s="42"/>
      <c r="S698" s="90">
        <f t="shared" si="80"/>
        <v>64.000000000000639</v>
      </c>
      <c r="T698" s="42"/>
      <c r="U698" s="42"/>
      <c r="V698" s="42"/>
      <c r="W698" s="42"/>
      <c r="X698" s="81"/>
    </row>
    <row r="699" spans="2:24" x14ac:dyDescent="0.25">
      <c r="B699" s="2">
        <v>1</v>
      </c>
      <c r="C699" s="1">
        <f t="shared" ref="C699:C762" si="86">MOD(C698+B699,time_for_breath_RT)</f>
        <v>5.7058823529411313</v>
      </c>
      <c r="D699" s="1">
        <f t="shared" si="84"/>
        <v>1</v>
      </c>
      <c r="E699" s="1">
        <f t="shared" ref="E699:E762" si="87">IF(D699=1,0,1)</f>
        <v>0</v>
      </c>
      <c r="F699" s="31">
        <f t="shared" si="85"/>
        <v>14.6</v>
      </c>
      <c r="G699" s="31">
        <f t="shared" ca="1" si="81"/>
        <v>14.6</v>
      </c>
      <c r="H699" s="30">
        <f t="shared" ca="1" si="82"/>
        <v>0</v>
      </c>
      <c r="I699" s="31">
        <f t="shared" ca="1" si="83"/>
        <v>14.6</v>
      </c>
      <c r="Q699" s="80"/>
      <c r="R699" s="42"/>
      <c r="S699" s="90">
        <f t="shared" ref="S699:S762" si="88">S698+(B698 / RTC_to_seconds)</f>
        <v>64.100000000000634</v>
      </c>
      <c r="T699" s="42"/>
      <c r="U699" s="42"/>
      <c r="V699" s="42"/>
      <c r="W699" s="42"/>
      <c r="X699" s="81"/>
    </row>
    <row r="700" spans="2:24" x14ac:dyDescent="0.25">
      <c r="B700" s="2">
        <v>1</v>
      </c>
      <c r="C700" s="1">
        <f t="shared" si="86"/>
        <v>6.7058823529411313</v>
      </c>
      <c r="D700" s="1">
        <f t="shared" si="84"/>
        <v>1</v>
      </c>
      <c r="E700" s="1">
        <f t="shared" si="87"/>
        <v>0</v>
      </c>
      <c r="F700" s="31">
        <f t="shared" si="85"/>
        <v>14.6</v>
      </c>
      <c r="G700" s="31">
        <f t="shared" ca="1" si="81"/>
        <v>14.6</v>
      </c>
      <c r="H700" s="30">
        <f t="shared" ca="1" si="82"/>
        <v>0</v>
      </c>
      <c r="I700" s="31">
        <f t="shared" ca="1" si="83"/>
        <v>14.6</v>
      </c>
      <c r="Q700" s="80"/>
      <c r="R700" s="42"/>
      <c r="S700" s="90">
        <f t="shared" si="88"/>
        <v>64.200000000000628</v>
      </c>
      <c r="T700" s="42"/>
      <c r="U700" s="42"/>
      <c r="V700" s="42"/>
      <c r="W700" s="42"/>
      <c r="X700" s="81"/>
    </row>
    <row r="701" spans="2:24" x14ac:dyDescent="0.25">
      <c r="B701" s="2">
        <v>1</v>
      </c>
      <c r="C701" s="1">
        <f t="shared" si="86"/>
        <v>7.7058823529411313</v>
      </c>
      <c r="D701" s="1">
        <f t="shared" si="84"/>
        <v>1</v>
      </c>
      <c r="E701" s="1">
        <f t="shared" si="87"/>
        <v>0</v>
      </c>
      <c r="F701" s="31">
        <f t="shared" si="85"/>
        <v>14.6</v>
      </c>
      <c r="G701" s="31">
        <f t="shared" ca="1" si="81"/>
        <v>14.6</v>
      </c>
      <c r="H701" s="30">
        <f t="shared" ca="1" si="82"/>
        <v>0</v>
      </c>
      <c r="I701" s="31">
        <f t="shared" ca="1" si="83"/>
        <v>14.6</v>
      </c>
      <c r="Q701" s="80"/>
      <c r="R701" s="42"/>
      <c r="S701" s="90">
        <f t="shared" si="88"/>
        <v>64.300000000000622</v>
      </c>
      <c r="T701" s="42"/>
      <c r="U701" s="42"/>
      <c r="V701" s="42"/>
      <c r="W701" s="42"/>
      <c r="X701" s="81"/>
    </row>
    <row r="702" spans="2:24" x14ac:dyDescent="0.25">
      <c r="B702" s="2">
        <v>1</v>
      </c>
      <c r="C702" s="1">
        <f t="shared" si="86"/>
        <v>8.7058823529411313</v>
      </c>
      <c r="D702" s="1">
        <f t="shared" si="84"/>
        <v>1</v>
      </c>
      <c r="E702" s="1">
        <f t="shared" si="87"/>
        <v>0</v>
      </c>
      <c r="F702" s="31">
        <f t="shared" si="85"/>
        <v>14.6</v>
      </c>
      <c r="G702" s="31">
        <f t="shared" ca="1" si="81"/>
        <v>14.6</v>
      </c>
      <c r="H702" s="30">
        <f t="shared" ca="1" si="82"/>
        <v>0</v>
      </c>
      <c r="I702" s="31">
        <f t="shared" ca="1" si="83"/>
        <v>14.6</v>
      </c>
      <c r="Q702" s="80"/>
      <c r="R702" s="42"/>
      <c r="S702" s="90">
        <f t="shared" si="88"/>
        <v>64.400000000000617</v>
      </c>
      <c r="T702" s="42"/>
      <c r="U702" s="42"/>
      <c r="V702" s="42"/>
      <c r="W702" s="42"/>
      <c r="X702" s="81"/>
    </row>
    <row r="703" spans="2:24" x14ac:dyDescent="0.25">
      <c r="B703" s="2">
        <v>1</v>
      </c>
      <c r="C703" s="1">
        <f t="shared" si="86"/>
        <v>9.7058823529411313</v>
      </c>
      <c r="D703" s="1">
        <f t="shared" si="84"/>
        <v>1</v>
      </c>
      <c r="E703" s="1">
        <f t="shared" si="87"/>
        <v>0</v>
      </c>
      <c r="F703" s="31">
        <f t="shared" si="85"/>
        <v>14.6</v>
      </c>
      <c r="G703" s="31">
        <f t="shared" ca="1" si="81"/>
        <v>14.6</v>
      </c>
      <c r="H703" s="30">
        <f t="shared" ca="1" si="82"/>
        <v>0</v>
      </c>
      <c r="I703" s="31">
        <f t="shared" ca="1" si="83"/>
        <v>14.6</v>
      </c>
      <c r="Q703" s="80"/>
      <c r="R703" s="42"/>
      <c r="S703" s="90">
        <f t="shared" si="88"/>
        <v>64.500000000000611</v>
      </c>
      <c r="T703" s="42"/>
      <c r="U703" s="42"/>
      <c r="V703" s="42"/>
      <c r="W703" s="42"/>
      <c r="X703" s="81"/>
    </row>
    <row r="704" spans="2:24" x14ac:dyDescent="0.25">
      <c r="B704" s="2">
        <v>1</v>
      </c>
      <c r="C704" s="1">
        <f t="shared" si="86"/>
        <v>10.705882352941131</v>
      </c>
      <c r="D704" s="1">
        <f t="shared" si="84"/>
        <v>1</v>
      </c>
      <c r="E704" s="1">
        <f t="shared" si="87"/>
        <v>0</v>
      </c>
      <c r="F704" s="31">
        <f t="shared" si="85"/>
        <v>14.6</v>
      </c>
      <c r="G704" s="31">
        <f t="shared" ca="1" si="81"/>
        <v>14.6</v>
      </c>
      <c r="H704" s="30">
        <f t="shared" ca="1" si="82"/>
        <v>0</v>
      </c>
      <c r="I704" s="31">
        <f t="shared" ca="1" si="83"/>
        <v>14.6</v>
      </c>
      <c r="Q704" s="80"/>
      <c r="R704" s="42"/>
      <c r="S704" s="90">
        <f t="shared" si="88"/>
        <v>64.600000000000605</v>
      </c>
      <c r="T704" s="42"/>
      <c r="U704" s="42"/>
      <c r="V704" s="42"/>
      <c r="W704" s="42"/>
      <c r="X704" s="81"/>
    </row>
    <row r="705" spans="2:24" x14ac:dyDescent="0.25">
      <c r="B705" s="2">
        <v>1</v>
      </c>
      <c r="C705" s="1">
        <f t="shared" si="86"/>
        <v>11.705882352941131</v>
      </c>
      <c r="D705" s="1">
        <f t="shared" si="84"/>
        <v>1</v>
      </c>
      <c r="E705" s="1">
        <f t="shared" si="87"/>
        <v>0</v>
      </c>
      <c r="F705" s="31">
        <f t="shared" si="85"/>
        <v>14.6</v>
      </c>
      <c r="G705" s="31">
        <f t="shared" ca="1" si="81"/>
        <v>14.6</v>
      </c>
      <c r="H705" s="30">
        <f t="shared" ca="1" si="82"/>
        <v>0</v>
      </c>
      <c r="I705" s="31">
        <f t="shared" ca="1" si="83"/>
        <v>14.6</v>
      </c>
      <c r="Q705" s="80"/>
      <c r="R705" s="42"/>
      <c r="S705" s="90">
        <f t="shared" si="88"/>
        <v>64.7000000000006</v>
      </c>
      <c r="T705" s="42"/>
      <c r="U705" s="42"/>
      <c r="V705" s="42"/>
      <c r="W705" s="42"/>
      <c r="X705" s="81"/>
    </row>
    <row r="706" spans="2:24" x14ac:dyDescent="0.25">
      <c r="B706" s="2">
        <v>1</v>
      </c>
      <c r="C706" s="1">
        <f t="shared" si="86"/>
        <v>12.705882352941131</v>
      </c>
      <c r="D706" s="1">
        <f t="shared" si="84"/>
        <v>1</v>
      </c>
      <c r="E706" s="1">
        <f t="shared" si="87"/>
        <v>0</v>
      </c>
      <c r="F706" s="31">
        <f t="shared" si="85"/>
        <v>14.6</v>
      </c>
      <c r="G706" s="31">
        <f t="shared" ca="1" si="81"/>
        <v>14.6</v>
      </c>
      <c r="H706" s="30">
        <f t="shared" ca="1" si="82"/>
        <v>0</v>
      </c>
      <c r="I706" s="31">
        <f t="shared" ca="1" si="83"/>
        <v>14.6</v>
      </c>
      <c r="Q706" s="80"/>
      <c r="R706" s="42"/>
      <c r="S706" s="90">
        <f t="shared" si="88"/>
        <v>64.800000000000594</v>
      </c>
      <c r="T706" s="42"/>
      <c r="U706" s="42"/>
      <c r="V706" s="42"/>
      <c r="W706" s="42"/>
      <c r="X706" s="81"/>
    </row>
    <row r="707" spans="2:24" x14ac:dyDescent="0.25">
      <c r="B707" s="2">
        <v>1</v>
      </c>
      <c r="C707" s="1">
        <f t="shared" si="86"/>
        <v>13.705882352941131</v>
      </c>
      <c r="D707" s="1">
        <f t="shared" si="84"/>
        <v>1</v>
      </c>
      <c r="E707" s="1">
        <f t="shared" si="87"/>
        <v>0</v>
      </c>
      <c r="F707" s="31">
        <f t="shared" si="85"/>
        <v>14.6</v>
      </c>
      <c r="G707" s="31">
        <f t="shared" ca="1" si="81"/>
        <v>14.6</v>
      </c>
      <c r="H707" s="30">
        <f t="shared" ca="1" si="82"/>
        <v>0</v>
      </c>
      <c r="I707" s="31">
        <f t="shared" ca="1" si="83"/>
        <v>14.6</v>
      </c>
      <c r="Q707" s="80"/>
      <c r="R707" s="42"/>
      <c r="S707" s="90">
        <f t="shared" si="88"/>
        <v>64.900000000000588</v>
      </c>
      <c r="T707" s="42"/>
      <c r="U707" s="42"/>
      <c r="V707" s="42"/>
      <c r="W707" s="42"/>
      <c r="X707" s="81"/>
    </row>
    <row r="708" spans="2:24" x14ac:dyDescent="0.25">
      <c r="B708" s="2">
        <v>1</v>
      </c>
      <c r="C708" s="1">
        <f t="shared" si="86"/>
        <v>14.705882352941131</v>
      </c>
      <c r="D708" s="1">
        <f t="shared" si="84"/>
        <v>1</v>
      </c>
      <c r="E708" s="1">
        <f t="shared" si="87"/>
        <v>0</v>
      </c>
      <c r="F708" s="31">
        <f t="shared" si="85"/>
        <v>14.6</v>
      </c>
      <c r="G708" s="31">
        <f t="shared" ca="1" si="81"/>
        <v>14.6</v>
      </c>
      <c r="H708" s="30">
        <f t="shared" ca="1" si="82"/>
        <v>0</v>
      </c>
      <c r="I708" s="31">
        <f t="shared" ca="1" si="83"/>
        <v>14.6</v>
      </c>
      <c r="Q708" s="80"/>
      <c r="R708" s="42"/>
      <c r="S708" s="90">
        <f t="shared" si="88"/>
        <v>65.000000000000583</v>
      </c>
      <c r="T708" s="42"/>
      <c r="U708" s="42"/>
      <c r="V708" s="42"/>
      <c r="W708" s="42"/>
      <c r="X708" s="81"/>
    </row>
    <row r="709" spans="2:24" x14ac:dyDescent="0.25">
      <c r="B709" s="2">
        <v>1</v>
      </c>
      <c r="C709" s="1">
        <f t="shared" si="86"/>
        <v>15.705882352941131</v>
      </c>
      <c r="D709" s="1">
        <f t="shared" si="84"/>
        <v>1</v>
      </c>
      <c r="E709" s="1">
        <f t="shared" si="87"/>
        <v>0</v>
      </c>
      <c r="F709" s="31">
        <f t="shared" si="85"/>
        <v>14.6</v>
      </c>
      <c r="G709" s="31">
        <f t="shared" ca="1" si="81"/>
        <v>14.6</v>
      </c>
      <c r="H709" s="30">
        <f t="shared" ca="1" si="82"/>
        <v>0</v>
      </c>
      <c r="I709" s="31">
        <f t="shared" ca="1" si="83"/>
        <v>14.6</v>
      </c>
      <c r="Q709" s="80"/>
      <c r="R709" s="42"/>
      <c r="S709" s="90">
        <f t="shared" si="88"/>
        <v>65.100000000000577</v>
      </c>
      <c r="T709" s="42"/>
      <c r="U709" s="42"/>
      <c r="V709" s="42"/>
      <c r="W709" s="42"/>
      <c r="X709" s="81"/>
    </row>
    <row r="710" spans="2:24" x14ac:dyDescent="0.25">
      <c r="B710" s="2">
        <v>1</v>
      </c>
      <c r="C710" s="1">
        <f t="shared" si="86"/>
        <v>16.705882352941131</v>
      </c>
      <c r="D710" s="1">
        <f t="shared" si="84"/>
        <v>1</v>
      </c>
      <c r="E710" s="1">
        <f t="shared" si="87"/>
        <v>0</v>
      </c>
      <c r="F710" s="31">
        <f t="shared" si="85"/>
        <v>14.6</v>
      </c>
      <c r="G710" s="31">
        <f t="shared" ca="1" si="81"/>
        <v>14.6</v>
      </c>
      <c r="H710" s="30">
        <f t="shared" ca="1" si="82"/>
        <v>0</v>
      </c>
      <c r="I710" s="31">
        <f t="shared" ca="1" si="83"/>
        <v>14.6</v>
      </c>
      <c r="Q710" s="80"/>
      <c r="R710" s="42"/>
      <c r="S710" s="90">
        <f t="shared" si="88"/>
        <v>65.200000000000571</v>
      </c>
      <c r="T710" s="42"/>
      <c r="U710" s="42"/>
      <c r="V710" s="42"/>
      <c r="W710" s="42"/>
      <c r="X710" s="81"/>
    </row>
    <row r="711" spans="2:24" x14ac:dyDescent="0.25">
      <c r="B711" s="2">
        <v>1</v>
      </c>
      <c r="C711" s="1">
        <f t="shared" si="86"/>
        <v>17.705882352941131</v>
      </c>
      <c r="D711" s="1">
        <f t="shared" si="84"/>
        <v>1</v>
      </c>
      <c r="E711" s="1">
        <f t="shared" si="87"/>
        <v>0</v>
      </c>
      <c r="F711" s="31">
        <f t="shared" si="85"/>
        <v>14.6</v>
      </c>
      <c r="G711" s="31">
        <f t="shared" ca="1" si="81"/>
        <v>14.6</v>
      </c>
      <c r="H711" s="30">
        <f t="shared" ca="1" si="82"/>
        <v>0</v>
      </c>
      <c r="I711" s="31">
        <f t="shared" ca="1" si="83"/>
        <v>14.6</v>
      </c>
      <c r="Q711" s="80"/>
      <c r="R711" s="42"/>
      <c r="S711" s="90">
        <f t="shared" si="88"/>
        <v>65.300000000000566</v>
      </c>
      <c r="T711" s="42"/>
      <c r="U711" s="42"/>
      <c r="V711" s="42"/>
      <c r="W711" s="42"/>
      <c r="X711" s="81"/>
    </row>
    <row r="712" spans="2:24" x14ac:dyDescent="0.25">
      <c r="B712" s="2">
        <v>1</v>
      </c>
      <c r="C712" s="1">
        <f t="shared" si="86"/>
        <v>18.705882352941131</v>
      </c>
      <c r="D712" s="1">
        <f t="shared" si="84"/>
        <v>1</v>
      </c>
      <c r="E712" s="1">
        <f t="shared" si="87"/>
        <v>0</v>
      </c>
      <c r="F712" s="31">
        <f t="shared" si="85"/>
        <v>14.6</v>
      </c>
      <c r="G712" s="31">
        <f t="shared" ca="1" si="81"/>
        <v>14.6</v>
      </c>
      <c r="H712" s="30">
        <f t="shared" ca="1" si="82"/>
        <v>0</v>
      </c>
      <c r="I712" s="31">
        <f t="shared" ca="1" si="83"/>
        <v>14.6</v>
      </c>
      <c r="Q712" s="80"/>
      <c r="R712" s="42"/>
      <c r="S712" s="90">
        <f t="shared" si="88"/>
        <v>65.40000000000056</v>
      </c>
      <c r="T712" s="42"/>
      <c r="U712" s="42"/>
      <c r="V712" s="42"/>
      <c r="W712" s="42"/>
      <c r="X712" s="81"/>
    </row>
    <row r="713" spans="2:24" x14ac:dyDescent="0.25">
      <c r="B713" s="2">
        <v>1</v>
      </c>
      <c r="C713" s="1">
        <f t="shared" si="86"/>
        <v>19.705882352941131</v>
      </c>
      <c r="D713" s="1">
        <f t="shared" si="84"/>
        <v>1</v>
      </c>
      <c r="E713" s="1">
        <f t="shared" si="87"/>
        <v>0</v>
      </c>
      <c r="F713" s="31">
        <f t="shared" si="85"/>
        <v>14.6</v>
      </c>
      <c r="G713" s="31">
        <f t="shared" ca="1" si="81"/>
        <v>14.6</v>
      </c>
      <c r="H713" s="30">
        <f t="shared" ca="1" si="82"/>
        <v>0</v>
      </c>
      <c r="I713" s="31">
        <f t="shared" ca="1" si="83"/>
        <v>14.6</v>
      </c>
      <c r="Q713" s="80"/>
      <c r="R713" s="42"/>
      <c r="S713" s="90">
        <f t="shared" si="88"/>
        <v>65.500000000000554</v>
      </c>
      <c r="T713" s="42"/>
      <c r="U713" s="42"/>
      <c r="V713" s="42"/>
      <c r="W713" s="42"/>
      <c r="X713" s="81"/>
    </row>
    <row r="714" spans="2:24" x14ac:dyDescent="0.25">
      <c r="B714" s="2">
        <v>1</v>
      </c>
      <c r="C714" s="1">
        <f t="shared" si="86"/>
        <v>20.705882352941131</v>
      </c>
      <c r="D714" s="1">
        <f t="shared" si="84"/>
        <v>1</v>
      </c>
      <c r="E714" s="1">
        <f t="shared" si="87"/>
        <v>0</v>
      </c>
      <c r="F714" s="31">
        <f t="shared" si="85"/>
        <v>14.6</v>
      </c>
      <c r="G714" s="31">
        <f t="shared" ca="1" si="81"/>
        <v>14.6</v>
      </c>
      <c r="H714" s="30">
        <f t="shared" ca="1" si="82"/>
        <v>0</v>
      </c>
      <c r="I714" s="31">
        <f t="shared" ca="1" si="83"/>
        <v>14.6</v>
      </c>
      <c r="Q714" s="80"/>
      <c r="R714" s="42"/>
      <c r="S714" s="90">
        <f t="shared" si="88"/>
        <v>65.600000000000549</v>
      </c>
      <c r="T714" s="42"/>
      <c r="U714" s="42"/>
      <c r="V714" s="42"/>
      <c r="W714" s="42"/>
      <c r="X714" s="81"/>
    </row>
    <row r="715" spans="2:24" x14ac:dyDescent="0.25">
      <c r="B715" s="2">
        <v>1</v>
      </c>
      <c r="C715" s="1">
        <f t="shared" si="86"/>
        <v>21.705882352941131</v>
      </c>
      <c r="D715" s="1">
        <f t="shared" si="84"/>
        <v>1</v>
      </c>
      <c r="E715" s="1">
        <f t="shared" si="87"/>
        <v>0</v>
      </c>
      <c r="F715" s="31">
        <f t="shared" si="85"/>
        <v>14.6</v>
      </c>
      <c r="G715" s="31">
        <f t="shared" ref="G715:G778" ca="1" si="89">IF(D715=1, AVERAGE(OFFSET(F715,-$L$27,0,$L$27,1)),0)</f>
        <v>14.6</v>
      </c>
      <c r="H715" s="30">
        <f t="shared" ref="H715:H778" ca="1" si="90">IF(D715=0, AVERAGE(OFFSET(F715,-$L$28,0,$L$28,1)),0)</f>
        <v>0</v>
      </c>
      <c r="I715" s="31">
        <f t="shared" ref="I715:I778" ca="1" si="91">G715+H715</f>
        <v>14.6</v>
      </c>
      <c r="Q715" s="80"/>
      <c r="R715" s="42"/>
      <c r="S715" s="90">
        <f t="shared" si="88"/>
        <v>65.700000000000543</v>
      </c>
      <c r="T715" s="42"/>
      <c r="U715" s="42"/>
      <c r="V715" s="42"/>
      <c r="W715" s="42"/>
      <c r="X715" s="81"/>
    </row>
    <row r="716" spans="2:24" x14ac:dyDescent="0.25">
      <c r="B716" s="2">
        <v>1</v>
      </c>
      <c r="C716" s="1">
        <f t="shared" si="86"/>
        <v>22.705882352941131</v>
      </c>
      <c r="D716" s="1">
        <f t="shared" si="84"/>
        <v>1</v>
      </c>
      <c r="E716" s="1">
        <f t="shared" si="87"/>
        <v>0</v>
      </c>
      <c r="F716" s="31">
        <f t="shared" si="85"/>
        <v>14.6</v>
      </c>
      <c r="G716" s="31">
        <f t="shared" ca="1" si="89"/>
        <v>14.6</v>
      </c>
      <c r="H716" s="30">
        <f t="shared" ca="1" si="90"/>
        <v>0</v>
      </c>
      <c r="I716" s="31">
        <f t="shared" ca="1" si="91"/>
        <v>14.6</v>
      </c>
      <c r="Q716" s="80"/>
      <c r="R716" s="42"/>
      <c r="S716" s="90">
        <f t="shared" si="88"/>
        <v>65.800000000000537</v>
      </c>
      <c r="T716" s="42"/>
      <c r="U716" s="42"/>
      <c r="V716" s="42"/>
      <c r="W716" s="42"/>
      <c r="X716" s="81"/>
    </row>
    <row r="717" spans="2:24" x14ac:dyDescent="0.25">
      <c r="B717" s="2">
        <v>1</v>
      </c>
      <c r="C717" s="1">
        <f t="shared" si="86"/>
        <v>23.705882352941131</v>
      </c>
      <c r="D717" s="1">
        <f t="shared" si="84"/>
        <v>0</v>
      </c>
      <c r="E717" s="1">
        <f t="shared" si="87"/>
        <v>1</v>
      </c>
      <c r="F717" s="31">
        <f t="shared" si="85"/>
        <v>6.4</v>
      </c>
      <c r="G717" s="31">
        <f t="shared" ca="1" si="89"/>
        <v>0</v>
      </c>
      <c r="H717" s="30">
        <f t="shared" ca="1" si="90"/>
        <v>14.6</v>
      </c>
      <c r="I717" s="31">
        <f t="shared" ca="1" si="91"/>
        <v>14.6</v>
      </c>
      <c r="Q717" s="80"/>
      <c r="R717" s="42"/>
      <c r="S717" s="90">
        <f t="shared" si="88"/>
        <v>65.900000000000531</v>
      </c>
      <c r="T717" s="42"/>
      <c r="U717" s="42"/>
      <c r="V717" s="42"/>
      <c r="W717" s="42"/>
      <c r="X717" s="81"/>
    </row>
    <row r="718" spans="2:24" x14ac:dyDescent="0.25">
      <c r="B718" s="2">
        <v>1</v>
      </c>
      <c r="C718" s="1">
        <f t="shared" si="86"/>
        <v>24.705882352941131</v>
      </c>
      <c r="D718" s="1">
        <f t="shared" si="84"/>
        <v>0</v>
      </c>
      <c r="E718" s="1">
        <f t="shared" si="87"/>
        <v>1</v>
      </c>
      <c r="F718" s="31">
        <f t="shared" si="85"/>
        <v>6.4</v>
      </c>
      <c r="G718" s="31">
        <f t="shared" ca="1" si="89"/>
        <v>0</v>
      </c>
      <c r="H718" s="30">
        <f t="shared" ca="1" si="90"/>
        <v>6.4</v>
      </c>
      <c r="I718" s="31">
        <f t="shared" ca="1" si="91"/>
        <v>6.4</v>
      </c>
      <c r="Q718" s="80"/>
      <c r="R718" s="42"/>
      <c r="S718" s="90">
        <f t="shared" si="88"/>
        <v>66.000000000000526</v>
      </c>
      <c r="T718" s="42"/>
      <c r="U718" s="42"/>
      <c r="V718" s="42"/>
      <c r="W718" s="42"/>
      <c r="X718" s="81"/>
    </row>
    <row r="719" spans="2:24" x14ac:dyDescent="0.25">
      <c r="B719" s="2">
        <v>1</v>
      </c>
      <c r="C719" s="1">
        <f t="shared" si="86"/>
        <v>25.705882352941131</v>
      </c>
      <c r="D719" s="1">
        <f t="shared" si="84"/>
        <v>0</v>
      </c>
      <c r="E719" s="1">
        <f t="shared" si="87"/>
        <v>1</v>
      </c>
      <c r="F719" s="31">
        <f t="shared" si="85"/>
        <v>6.4</v>
      </c>
      <c r="G719" s="31">
        <f t="shared" ca="1" si="89"/>
        <v>0</v>
      </c>
      <c r="H719" s="30">
        <f t="shared" ca="1" si="90"/>
        <v>6.4</v>
      </c>
      <c r="I719" s="31">
        <f t="shared" ca="1" si="91"/>
        <v>6.4</v>
      </c>
      <c r="Q719" s="80"/>
      <c r="R719" s="42"/>
      <c r="S719" s="90">
        <f t="shared" si="88"/>
        <v>66.10000000000052</v>
      </c>
      <c r="T719" s="42"/>
      <c r="U719" s="42"/>
      <c r="V719" s="42"/>
      <c r="W719" s="42"/>
      <c r="X719" s="81"/>
    </row>
    <row r="720" spans="2:24" x14ac:dyDescent="0.25">
      <c r="B720" s="2">
        <v>1</v>
      </c>
      <c r="C720" s="1">
        <f t="shared" si="86"/>
        <v>26.705882352941131</v>
      </c>
      <c r="D720" s="1">
        <f t="shared" si="84"/>
        <v>0</v>
      </c>
      <c r="E720" s="1">
        <f t="shared" si="87"/>
        <v>1</v>
      </c>
      <c r="F720" s="31">
        <f t="shared" si="85"/>
        <v>6.4</v>
      </c>
      <c r="G720" s="31">
        <f t="shared" ca="1" si="89"/>
        <v>0</v>
      </c>
      <c r="H720" s="30">
        <f t="shared" ca="1" si="90"/>
        <v>6.4</v>
      </c>
      <c r="I720" s="31">
        <f t="shared" ca="1" si="91"/>
        <v>6.4</v>
      </c>
      <c r="Q720" s="80"/>
      <c r="R720" s="42"/>
      <c r="S720" s="90">
        <f t="shared" si="88"/>
        <v>66.200000000000514</v>
      </c>
      <c r="T720" s="42"/>
      <c r="U720" s="42"/>
      <c r="V720" s="42"/>
      <c r="W720" s="42"/>
      <c r="X720" s="81"/>
    </row>
    <row r="721" spans="2:24" x14ac:dyDescent="0.25">
      <c r="B721" s="2">
        <v>1</v>
      </c>
      <c r="C721" s="1">
        <f t="shared" si="86"/>
        <v>27.705882352941131</v>
      </c>
      <c r="D721" s="1">
        <f t="shared" si="84"/>
        <v>0</v>
      </c>
      <c r="E721" s="1">
        <f t="shared" si="87"/>
        <v>1</v>
      </c>
      <c r="F721" s="31">
        <f t="shared" si="85"/>
        <v>6.4</v>
      </c>
      <c r="G721" s="31">
        <f t="shared" ca="1" si="89"/>
        <v>0</v>
      </c>
      <c r="H721" s="30">
        <f t="shared" ca="1" si="90"/>
        <v>6.4</v>
      </c>
      <c r="I721" s="31">
        <f t="shared" ca="1" si="91"/>
        <v>6.4</v>
      </c>
      <c r="Q721" s="80"/>
      <c r="R721" s="42"/>
      <c r="S721" s="90">
        <f t="shared" si="88"/>
        <v>66.300000000000509</v>
      </c>
      <c r="T721" s="42"/>
      <c r="U721" s="42"/>
      <c r="V721" s="42"/>
      <c r="W721" s="42"/>
      <c r="X721" s="81"/>
    </row>
    <row r="722" spans="2:24" x14ac:dyDescent="0.25">
      <c r="B722" s="2">
        <v>1</v>
      </c>
      <c r="C722" s="1">
        <f t="shared" si="86"/>
        <v>28.705882352941131</v>
      </c>
      <c r="D722" s="1">
        <f t="shared" si="84"/>
        <v>0</v>
      </c>
      <c r="E722" s="1">
        <f t="shared" si="87"/>
        <v>1</v>
      </c>
      <c r="F722" s="31">
        <f t="shared" si="85"/>
        <v>6.4</v>
      </c>
      <c r="G722" s="31">
        <f t="shared" ca="1" si="89"/>
        <v>0</v>
      </c>
      <c r="H722" s="30">
        <f t="shared" ca="1" si="90"/>
        <v>6.4</v>
      </c>
      <c r="I722" s="31">
        <f t="shared" ca="1" si="91"/>
        <v>6.4</v>
      </c>
      <c r="Q722" s="80"/>
      <c r="R722" s="42"/>
      <c r="S722" s="90">
        <f t="shared" si="88"/>
        <v>66.400000000000503</v>
      </c>
      <c r="T722" s="42"/>
      <c r="U722" s="42"/>
      <c r="V722" s="42"/>
      <c r="W722" s="42"/>
      <c r="X722" s="81"/>
    </row>
    <row r="723" spans="2:24" x14ac:dyDescent="0.25">
      <c r="B723" s="2">
        <v>1</v>
      </c>
      <c r="C723" s="1">
        <f t="shared" si="86"/>
        <v>29.705882352941131</v>
      </c>
      <c r="D723" s="1">
        <f t="shared" si="84"/>
        <v>0</v>
      </c>
      <c r="E723" s="1">
        <f t="shared" si="87"/>
        <v>1</v>
      </c>
      <c r="F723" s="31">
        <f t="shared" si="85"/>
        <v>6.4</v>
      </c>
      <c r="G723" s="31">
        <f t="shared" ca="1" si="89"/>
        <v>0</v>
      </c>
      <c r="H723" s="30">
        <f t="shared" ca="1" si="90"/>
        <v>6.4</v>
      </c>
      <c r="I723" s="31">
        <f t="shared" ca="1" si="91"/>
        <v>6.4</v>
      </c>
      <c r="Q723" s="80"/>
      <c r="R723" s="42"/>
      <c r="S723" s="90">
        <f t="shared" si="88"/>
        <v>66.500000000000497</v>
      </c>
      <c r="T723" s="42"/>
      <c r="U723" s="42"/>
      <c r="V723" s="42"/>
      <c r="W723" s="42"/>
      <c r="X723" s="81"/>
    </row>
    <row r="724" spans="2:24" x14ac:dyDescent="0.25">
      <c r="B724" s="2">
        <v>1</v>
      </c>
      <c r="C724" s="1">
        <f t="shared" si="86"/>
        <v>30.705882352941131</v>
      </c>
      <c r="D724" s="1">
        <f t="shared" si="84"/>
        <v>0</v>
      </c>
      <c r="E724" s="1">
        <f t="shared" si="87"/>
        <v>1</v>
      </c>
      <c r="F724" s="31">
        <f t="shared" si="85"/>
        <v>6.4</v>
      </c>
      <c r="G724" s="31">
        <f t="shared" ca="1" si="89"/>
        <v>0</v>
      </c>
      <c r="H724" s="30">
        <f t="shared" ca="1" si="90"/>
        <v>6.4</v>
      </c>
      <c r="I724" s="31">
        <f t="shared" ca="1" si="91"/>
        <v>6.4</v>
      </c>
      <c r="Q724" s="80"/>
      <c r="R724" s="42"/>
      <c r="S724" s="90">
        <f t="shared" si="88"/>
        <v>66.600000000000492</v>
      </c>
      <c r="T724" s="42"/>
      <c r="U724" s="42"/>
      <c r="V724" s="42"/>
      <c r="W724" s="42"/>
      <c r="X724" s="81"/>
    </row>
    <row r="725" spans="2:24" x14ac:dyDescent="0.25">
      <c r="B725" s="2">
        <v>1</v>
      </c>
      <c r="C725" s="1">
        <f t="shared" si="86"/>
        <v>31.705882352941131</v>
      </c>
      <c r="D725" s="1">
        <f t="shared" si="84"/>
        <v>0</v>
      </c>
      <c r="E725" s="1">
        <f t="shared" si="87"/>
        <v>1</v>
      </c>
      <c r="F725" s="31">
        <f t="shared" si="85"/>
        <v>6.4</v>
      </c>
      <c r="G725" s="31">
        <f t="shared" ca="1" si="89"/>
        <v>0</v>
      </c>
      <c r="H725" s="30">
        <f t="shared" ca="1" si="90"/>
        <v>6.4</v>
      </c>
      <c r="I725" s="31">
        <f t="shared" ca="1" si="91"/>
        <v>6.4</v>
      </c>
      <c r="Q725" s="80"/>
      <c r="R725" s="42"/>
      <c r="S725" s="90">
        <f t="shared" si="88"/>
        <v>66.700000000000486</v>
      </c>
      <c r="T725" s="42"/>
      <c r="U725" s="42"/>
      <c r="V725" s="42"/>
      <c r="W725" s="42"/>
      <c r="X725" s="81"/>
    </row>
    <row r="726" spans="2:24" x14ac:dyDescent="0.25">
      <c r="B726" s="2">
        <v>1</v>
      </c>
      <c r="C726" s="1">
        <f t="shared" si="86"/>
        <v>32.705882352941131</v>
      </c>
      <c r="D726" s="1">
        <f t="shared" si="84"/>
        <v>0</v>
      </c>
      <c r="E726" s="1">
        <f t="shared" si="87"/>
        <v>1</v>
      </c>
      <c r="F726" s="31">
        <f t="shared" si="85"/>
        <v>6.4</v>
      </c>
      <c r="G726" s="31">
        <f t="shared" ca="1" si="89"/>
        <v>0</v>
      </c>
      <c r="H726" s="30">
        <f t="shared" ca="1" si="90"/>
        <v>6.4</v>
      </c>
      <c r="I726" s="31">
        <f t="shared" ca="1" si="91"/>
        <v>6.4</v>
      </c>
      <c r="Q726" s="80"/>
      <c r="R726" s="42"/>
      <c r="S726" s="90">
        <f t="shared" si="88"/>
        <v>66.80000000000048</v>
      </c>
      <c r="T726" s="42"/>
      <c r="U726" s="42"/>
      <c r="V726" s="42"/>
      <c r="W726" s="42"/>
      <c r="X726" s="81"/>
    </row>
    <row r="727" spans="2:24" x14ac:dyDescent="0.25">
      <c r="B727" s="2">
        <v>1</v>
      </c>
      <c r="C727" s="1">
        <f t="shared" si="86"/>
        <v>33.705882352941131</v>
      </c>
      <c r="D727" s="1">
        <f t="shared" si="84"/>
        <v>0</v>
      </c>
      <c r="E727" s="1">
        <f t="shared" si="87"/>
        <v>1</v>
      </c>
      <c r="F727" s="31">
        <f t="shared" si="85"/>
        <v>6.4</v>
      </c>
      <c r="G727" s="31">
        <f t="shared" ca="1" si="89"/>
        <v>0</v>
      </c>
      <c r="H727" s="30">
        <f t="shared" ca="1" si="90"/>
        <v>6.4</v>
      </c>
      <c r="I727" s="31">
        <f t="shared" ca="1" si="91"/>
        <v>6.4</v>
      </c>
      <c r="Q727" s="80"/>
      <c r="R727" s="42"/>
      <c r="S727" s="90">
        <f t="shared" si="88"/>
        <v>66.900000000000475</v>
      </c>
      <c r="T727" s="42"/>
      <c r="U727" s="42"/>
      <c r="V727" s="42"/>
      <c r="W727" s="42"/>
      <c r="X727" s="81"/>
    </row>
    <row r="728" spans="2:24" x14ac:dyDescent="0.25">
      <c r="B728" s="2">
        <v>1</v>
      </c>
      <c r="C728" s="1">
        <f t="shared" si="86"/>
        <v>34.705882352941131</v>
      </c>
      <c r="D728" s="1">
        <f t="shared" si="84"/>
        <v>0</v>
      </c>
      <c r="E728" s="1">
        <f t="shared" si="87"/>
        <v>1</v>
      </c>
      <c r="F728" s="31">
        <f t="shared" si="85"/>
        <v>6.4</v>
      </c>
      <c r="G728" s="31">
        <f t="shared" ca="1" si="89"/>
        <v>0</v>
      </c>
      <c r="H728" s="30">
        <f t="shared" ca="1" si="90"/>
        <v>6.4</v>
      </c>
      <c r="I728" s="31">
        <f t="shared" ca="1" si="91"/>
        <v>6.4</v>
      </c>
      <c r="Q728" s="80"/>
      <c r="R728" s="42"/>
      <c r="S728" s="90">
        <f t="shared" si="88"/>
        <v>67.000000000000469</v>
      </c>
      <c r="T728" s="42"/>
      <c r="U728" s="42"/>
      <c r="V728" s="42"/>
      <c r="W728" s="42"/>
      <c r="X728" s="81"/>
    </row>
    <row r="729" spans="2:24" x14ac:dyDescent="0.25">
      <c r="B729" s="2">
        <v>1</v>
      </c>
      <c r="C729" s="1">
        <f t="shared" si="86"/>
        <v>0.41176470588230529</v>
      </c>
      <c r="D729" s="1">
        <f t="shared" si="84"/>
        <v>1</v>
      </c>
      <c r="E729" s="1">
        <f t="shared" si="87"/>
        <v>0</v>
      </c>
      <c r="F729" s="31">
        <f t="shared" si="85"/>
        <v>14.6</v>
      </c>
      <c r="G729" s="31">
        <f t="shared" ca="1" si="89"/>
        <v>6.4</v>
      </c>
      <c r="H729" s="30">
        <f t="shared" ca="1" si="90"/>
        <v>0</v>
      </c>
      <c r="I729" s="31">
        <f t="shared" ca="1" si="91"/>
        <v>6.4</v>
      </c>
      <c r="Q729" s="80"/>
      <c r="R729" s="42"/>
      <c r="S729" s="90">
        <f t="shared" si="88"/>
        <v>67.100000000000463</v>
      </c>
      <c r="T729" s="42"/>
      <c r="U729" s="42"/>
      <c r="V729" s="42"/>
      <c r="W729" s="42"/>
      <c r="X729" s="81"/>
    </row>
    <row r="730" spans="2:24" x14ac:dyDescent="0.25">
      <c r="B730" s="2">
        <v>1</v>
      </c>
      <c r="C730" s="1">
        <f t="shared" si="86"/>
        <v>1.4117647058823053</v>
      </c>
      <c r="D730" s="1">
        <f t="shared" si="84"/>
        <v>1</v>
      </c>
      <c r="E730" s="1">
        <f t="shared" si="87"/>
        <v>0</v>
      </c>
      <c r="F730" s="31">
        <f t="shared" si="85"/>
        <v>14.6</v>
      </c>
      <c r="G730" s="31">
        <f t="shared" ca="1" si="89"/>
        <v>8.4500000000000011</v>
      </c>
      <c r="H730" s="30">
        <f t="shared" ca="1" si="90"/>
        <v>0</v>
      </c>
      <c r="I730" s="31">
        <f t="shared" ca="1" si="91"/>
        <v>8.4500000000000011</v>
      </c>
      <c r="Q730" s="80"/>
      <c r="R730" s="42"/>
      <c r="S730" s="90">
        <f t="shared" si="88"/>
        <v>67.200000000000458</v>
      </c>
      <c r="T730" s="42"/>
      <c r="U730" s="42"/>
      <c r="V730" s="42"/>
      <c r="W730" s="42"/>
      <c r="X730" s="81"/>
    </row>
    <row r="731" spans="2:24" x14ac:dyDescent="0.25">
      <c r="B731" s="2">
        <v>1</v>
      </c>
      <c r="C731" s="1">
        <f t="shared" si="86"/>
        <v>2.4117647058823053</v>
      </c>
      <c r="D731" s="1">
        <f t="shared" si="84"/>
        <v>1</v>
      </c>
      <c r="E731" s="1">
        <f t="shared" si="87"/>
        <v>0</v>
      </c>
      <c r="F731" s="31">
        <f t="shared" si="85"/>
        <v>14.6</v>
      </c>
      <c r="G731" s="31">
        <f t="shared" ca="1" si="89"/>
        <v>10.5</v>
      </c>
      <c r="H731" s="30">
        <f t="shared" ca="1" si="90"/>
        <v>0</v>
      </c>
      <c r="I731" s="31">
        <f t="shared" ca="1" si="91"/>
        <v>10.5</v>
      </c>
      <c r="Q731" s="80"/>
      <c r="R731" s="42"/>
      <c r="S731" s="90">
        <f t="shared" si="88"/>
        <v>67.300000000000452</v>
      </c>
      <c r="T731" s="42"/>
      <c r="U731" s="42"/>
      <c r="V731" s="42"/>
      <c r="W731" s="42"/>
      <c r="X731" s="81"/>
    </row>
    <row r="732" spans="2:24" x14ac:dyDescent="0.25">
      <c r="B732" s="2">
        <v>1</v>
      </c>
      <c r="C732" s="1">
        <f t="shared" si="86"/>
        <v>3.4117647058823053</v>
      </c>
      <c r="D732" s="1">
        <f t="shared" si="84"/>
        <v>1</v>
      </c>
      <c r="E732" s="1">
        <f t="shared" si="87"/>
        <v>0</v>
      </c>
      <c r="F732" s="31">
        <f t="shared" si="85"/>
        <v>14.6</v>
      </c>
      <c r="G732" s="31">
        <f t="shared" ca="1" si="89"/>
        <v>12.55</v>
      </c>
      <c r="H732" s="30">
        <f t="shared" ca="1" si="90"/>
        <v>0</v>
      </c>
      <c r="I732" s="31">
        <f t="shared" ca="1" si="91"/>
        <v>12.55</v>
      </c>
      <c r="Q732" s="80"/>
      <c r="R732" s="42"/>
      <c r="S732" s="90">
        <f t="shared" si="88"/>
        <v>67.400000000000446</v>
      </c>
      <c r="T732" s="42"/>
      <c r="U732" s="42"/>
      <c r="V732" s="42"/>
      <c r="W732" s="42"/>
      <c r="X732" s="81"/>
    </row>
    <row r="733" spans="2:24" x14ac:dyDescent="0.25">
      <c r="B733" s="2">
        <v>1</v>
      </c>
      <c r="C733" s="1">
        <f t="shared" si="86"/>
        <v>4.4117647058823053</v>
      </c>
      <c r="D733" s="1">
        <f t="shared" si="84"/>
        <v>1</v>
      </c>
      <c r="E733" s="1">
        <f t="shared" si="87"/>
        <v>0</v>
      </c>
      <c r="F733" s="31">
        <f t="shared" si="85"/>
        <v>14.6</v>
      </c>
      <c r="G733" s="31">
        <f t="shared" ca="1" si="89"/>
        <v>14.6</v>
      </c>
      <c r="H733" s="30">
        <f t="shared" ca="1" si="90"/>
        <v>0</v>
      </c>
      <c r="I733" s="31">
        <f t="shared" ca="1" si="91"/>
        <v>14.6</v>
      </c>
      <c r="Q733" s="80"/>
      <c r="R733" s="42"/>
      <c r="S733" s="90">
        <f t="shared" si="88"/>
        <v>67.500000000000441</v>
      </c>
      <c r="T733" s="42"/>
      <c r="U733" s="42"/>
      <c r="V733" s="42"/>
      <c r="W733" s="42"/>
      <c r="X733" s="81"/>
    </row>
    <row r="734" spans="2:24" x14ac:dyDescent="0.25">
      <c r="B734" s="2">
        <v>1</v>
      </c>
      <c r="C734" s="1">
        <f t="shared" si="86"/>
        <v>5.4117647058823053</v>
      </c>
      <c r="D734" s="1">
        <f t="shared" si="84"/>
        <v>1</v>
      </c>
      <c r="E734" s="1">
        <f t="shared" si="87"/>
        <v>0</v>
      </c>
      <c r="F734" s="31">
        <f t="shared" si="85"/>
        <v>14.6</v>
      </c>
      <c r="G734" s="31">
        <f t="shared" ca="1" si="89"/>
        <v>14.6</v>
      </c>
      <c r="H734" s="30">
        <f t="shared" ca="1" si="90"/>
        <v>0</v>
      </c>
      <c r="I734" s="31">
        <f t="shared" ca="1" si="91"/>
        <v>14.6</v>
      </c>
      <c r="Q734" s="80"/>
      <c r="R734" s="42"/>
      <c r="S734" s="90">
        <f t="shared" si="88"/>
        <v>67.600000000000435</v>
      </c>
      <c r="T734" s="42"/>
      <c r="U734" s="42"/>
      <c r="V734" s="42"/>
      <c r="W734" s="42"/>
      <c r="X734" s="81"/>
    </row>
    <row r="735" spans="2:24" x14ac:dyDescent="0.25">
      <c r="B735" s="2">
        <v>1</v>
      </c>
      <c r="C735" s="1">
        <f t="shared" si="86"/>
        <v>6.4117647058823053</v>
      </c>
      <c r="D735" s="1">
        <f t="shared" si="84"/>
        <v>1</v>
      </c>
      <c r="E735" s="1">
        <f t="shared" si="87"/>
        <v>0</v>
      </c>
      <c r="F735" s="31">
        <f t="shared" si="85"/>
        <v>14.6</v>
      </c>
      <c r="G735" s="31">
        <f t="shared" ca="1" si="89"/>
        <v>14.6</v>
      </c>
      <c r="H735" s="30">
        <f t="shared" ca="1" si="90"/>
        <v>0</v>
      </c>
      <c r="I735" s="31">
        <f t="shared" ca="1" si="91"/>
        <v>14.6</v>
      </c>
      <c r="Q735" s="80"/>
      <c r="R735" s="42"/>
      <c r="S735" s="90">
        <f t="shared" si="88"/>
        <v>67.700000000000429</v>
      </c>
      <c r="T735" s="42"/>
      <c r="U735" s="42"/>
      <c r="V735" s="42"/>
      <c r="W735" s="42"/>
      <c r="X735" s="81"/>
    </row>
    <row r="736" spans="2:24" x14ac:dyDescent="0.25">
      <c r="B736" s="2">
        <v>1</v>
      </c>
      <c r="C736" s="1">
        <f t="shared" si="86"/>
        <v>7.4117647058823053</v>
      </c>
      <c r="D736" s="1">
        <f t="shared" si="84"/>
        <v>1</v>
      </c>
      <c r="E736" s="1">
        <f t="shared" si="87"/>
        <v>0</v>
      </c>
      <c r="F736" s="31">
        <f t="shared" si="85"/>
        <v>14.6</v>
      </c>
      <c r="G736" s="31">
        <f t="shared" ca="1" si="89"/>
        <v>14.6</v>
      </c>
      <c r="H736" s="30">
        <f t="shared" ca="1" si="90"/>
        <v>0</v>
      </c>
      <c r="I736" s="31">
        <f t="shared" ca="1" si="91"/>
        <v>14.6</v>
      </c>
      <c r="Q736" s="80"/>
      <c r="R736" s="42"/>
      <c r="S736" s="90">
        <f t="shared" si="88"/>
        <v>67.800000000000423</v>
      </c>
      <c r="T736" s="42"/>
      <c r="U736" s="42"/>
      <c r="V736" s="42"/>
      <c r="W736" s="42"/>
      <c r="X736" s="81"/>
    </row>
    <row r="737" spans="2:24" x14ac:dyDescent="0.25">
      <c r="B737" s="2">
        <v>1</v>
      </c>
      <c r="C737" s="1">
        <f t="shared" si="86"/>
        <v>8.4117647058823053</v>
      </c>
      <c r="D737" s="1">
        <f t="shared" si="84"/>
        <v>1</v>
      </c>
      <c r="E737" s="1">
        <f t="shared" si="87"/>
        <v>0</v>
      </c>
      <c r="F737" s="31">
        <f t="shared" si="85"/>
        <v>14.6</v>
      </c>
      <c r="G737" s="31">
        <f t="shared" ca="1" si="89"/>
        <v>14.6</v>
      </c>
      <c r="H737" s="30">
        <f t="shared" ca="1" si="90"/>
        <v>0</v>
      </c>
      <c r="I737" s="31">
        <f t="shared" ca="1" si="91"/>
        <v>14.6</v>
      </c>
      <c r="Q737" s="80"/>
      <c r="R737" s="42"/>
      <c r="S737" s="90">
        <f t="shared" si="88"/>
        <v>67.900000000000418</v>
      </c>
      <c r="T737" s="42"/>
      <c r="U737" s="42"/>
      <c r="V737" s="42"/>
      <c r="W737" s="42"/>
      <c r="X737" s="81"/>
    </row>
    <row r="738" spans="2:24" x14ac:dyDescent="0.25">
      <c r="B738" s="2">
        <v>1</v>
      </c>
      <c r="C738" s="1">
        <f t="shared" si="86"/>
        <v>9.4117647058823053</v>
      </c>
      <c r="D738" s="1">
        <f t="shared" si="84"/>
        <v>1</v>
      </c>
      <c r="E738" s="1">
        <f t="shared" si="87"/>
        <v>0</v>
      </c>
      <c r="F738" s="31">
        <f t="shared" si="85"/>
        <v>14.6</v>
      </c>
      <c r="G738" s="31">
        <f t="shared" ca="1" si="89"/>
        <v>14.6</v>
      </c>
      <c r="H738" s="30">
        <f t="shared" ca="1" si="90"/>
        <v>0</v>
      </c>
      <c r="I738" s="31">
        <f t="shared" ca="1" si="91"/>
        <v>14.6</v>
      </c>
      <c r="Q738" s="80"/>
      <c r="R738" s="42"/>
      <c r="S738" s="90">
        <f t="shared" si="88"/>
        <v>68.000000000000412</v>
      </c>
      <c r="T738" s="42"/>
      <c r="U738" s="42"/>
      <c r="V738" s="42"/>
      <c r="W738" s="42"/>
      <c r="X738" s="81"/>
    </row>
    <row r="739" spans="2:24" x14ac:dyDescent="0.25">
      <c r="B739" s="2">
        <v>1</v>
      </c>
      <c r="C739" s="1">
        <f t="shared" si="86"/>
        <v>10.411764705882305</v>
      </c>
      <c r="D739" s="1">
        <f t="shared" si="84"/>
        <v>1</v>
      </c>
      <c r="E739" s="1">
        <f t="shared" si="87"/>
        <v>0</v>
      </c>
      <c r="F739" s="31">
        <f t="shared" si="85"/>
        <v>14.6</v>
      </c>
      <c r="G739" s="31">
        <f t="shared" ca="1" si="89"/>
        <v>14.6</v>
      </c>
      <c r="H739" s="30">
        <f t="shared" ca="1" si="90"/>
        <v>0</v>
      </c>
      <c r="I739" s="31">
        <f t="shared" ca="1" si="91"/>
        <v>14.6</v>
      </c>
      <c r="Q739" s="80"/>
      <c r="R739" s="42"/>
      <c r="S739" s="90">
        <f t="shared" si="88"/>
        <v>68.100000000000406</v>
      </c>
      <c r="T739" s="42"/>
      <c r="U739" s="42"/>
      <c r="V739" s="42"/>
      <c r="W739" s="42"/>
      <c r="X739" s="81"/>
    </row>
    <row r="740" spans="2:24" x14ac:dyDescent="0.25">
      <c r="B740" s="2">
        <v>1</v>
      </c>
      <c r="C740" s="1">
        <f t="shared" si="86"/>
        <v>11.411764705882305</v>
      </c>
      <c r="D740" s="1">
        <f t="shared" si="84"/>
        <v>1</v>
      </c>
      <c r="E740" s="1">
        <f t="shared" si="87"/>
        <v>0</v>
      </c>
      <c r="F740" s="31">
        <f t="shared" si="85"/>
        <v>14.6</v>
      </c>
      <c r="G740" s="31">
        <f t="shared" ca="1" si="89"/>
        <v>14.6</v>
      </c>
      <c r="H740" s="30">
        <f t="shared" ca="1" si="90"/>
        <v>0</v>
      </c>
      <c r="I740" s="31">
        <f t="shared" ca="1" si="91"/>
        <v>14.6</v>
      </c>
      <c r="Q740" s="80"/>
      <c r="R740" s="42"/>
      <c r="S740" s="90">
        <f t="shared" si="88"/>
        <v>68.200000000000401</v>
      </c>
      <c r="T740" s="42"/>
      <c r="U740" s="42"/>
      <c r="V740" s="42"/>
      <c r="W740" s="42"/>
      <c r="X740" s="81"/>
    </row>
    <row r="741" spans="2:24" x14ac:dyDescent="0.25">
      <c r="B741" s="2">
        <v>1</v>
      </c>
      <c r="C741" s="1">
        <f t="shared" si="86"/>
        <v>12.411764705882305</v>
      </c>
      <c r="D741" s="1">
        <f t="shared" si="84"/>
        <v>1</v>
      </c>
      <c r="E741" s="1">
        <f t="shared" si="87"/>
        <v>0</v>
      </c>
      <c r="F741" s="31">
        <f t="shared" si="85"/>
        <v>14.6</v>
      </c>
      <c r="G741" s="31">
        <f t="shared" ca="1" si="89"/>
        <v>14.6</v>
      </c>
      <c r="H741" s="30">
        <f t="shared" ca="1" si="90"/>
        <v>0</v>
      </c>
      <c r="I741" s="31">
        <f t="shared" ca="1" si="91"/>
        <v>14.6</v>
      </c>
      <c r="Q741" s="80"/>
      <c r="R741" s="42"/>
      <c r="S741" s="90">
        <f t="shared" si="88"/>
        <v>68.300000000000395</v>
      </c>
      <c r="T741" s="42"/>
      <c r="U741" s="42"/>
      <c r="V741" s="42"/>
      <c r="W741" s="42"/>
      <c r="X741" s="81"/>
    </row>
    <row r="742" spans="2:24" x14ac:dyDescent="0.25">
      <c r="B742" s="2">
        <v>1</v>
      </c>
      <c r="C742" s="1">
        <f t="shared" si="86"/>
        <v>13.411764705882305</v>
      </c>
      <c r="D742" s="1">
        <f t="shared" si="84"/>
        <v>1</v>
      </c>
      <c r="E742" s="1">
        <f t="shared" si="87"/>
        <v>0</v>
      </c>
      <c r="F742" s="31">
        <f t="shared" si="85"/>
        <v>14.6</v>
      </c>
      <c r="G742" s="31">
        <f t="shared" ca="1" si="89"/>
        <v>14.6</v>
      </c>
      <c r="H742" s="30">
        <f t="shared" ca="1" si="90"/>
        <v>0</v>
      </c>
      <c r="I742" s="31">
        <f t="shared" ca="1" si="91"/>
        <v>14.6</v>
      </c>
      <c r="Q742" s="80"/>
      <c r="R742" s="42"/>
      <c r="S742" s="90">
        <f t="shared" si="88"/>
        <v>68.400000000000389</v>
      </c>
      <c r="T742" s="42"/>
      <c r="U742" s="42"/>
      <c r="V742" s="42"/>
      <c r="W742" s="42"/>
      <c r="X742" s="81"/>
    </row>
    <row r="743" spans="2:24" x14ac:dyDescent="0.25">
      <c r="B743" s="2">
        <v>1</v>
      </c>
      <c r="C743" s="1">
        <f t="shared" si="86"/>
        <v>14.411764705882305</v>
      </c>
      <c r="D743" s="1">
        <f t="shared" si="84"/>
        <v>1</v>
      </c>
      <c r="E743" s="1">
        <f t="shared" si="87"/>
        <v>0</v>
      </c>
      <c r="F743" s="31">
        <f t="shared" si="85"/>
        <v>14.6</v>
      </c>
      <c r="G743" s="31">
        <f t="shared" ca="1" si="89"/>
        <v>14.6</v>
      </c>
      <c r="H743" s="30">
        <f t="shared" ca="1" si="90"/>
        <v>0</v>
      </c>
      <c r="I743" s="31">
        <f t="shared" ca="1" si="91"/>
        <v>14.6</v>
      </c>
      <c r="Q743" s="80"/>
      <c r="R743" s="42"/>
      <c r="S743" s="90">
        <f t="shared" si="88"/>
        <v>68.500000000000384</v>
      </c>
      <c r="T743" s="42"/>
      <c r="U743" s="42"/>
      <c r="V743" s="42"/>
      <c r="W743" s="42"/>
      <c r="X743" s="81"/>
    </row>
    <row r="744" spans="2:24" x14ac:dyDescent="0.25">
      <c r="B744" s="2">
        <v>1</v>
      </c>
      <c r="C744" s="1">
        <f t="shared" si="86"/>
        <v>15.411764705882305</v>
      </c>
      <c r="D744" s="1">
        <f t="shared" si="84"/>
        <v>1</v>
      </c>
      <c r="E744" s="1">
        <f t="shared" si="87"/>
        <v>0</v>
      </c>
      <c r="F744" s="31">
        <f t="shared" si="85"/>
        <v>14.6</v>
      </c>
      <c r="G744" s="31">
        <f t="shared" ca="1" si="89"/>
        <v>14.6</v>
      </c>
      <c r="H744" s="30">
        <f t="shared" ca="1" si="90"/>
        <v>0</v>
      </c>
      <c r="I744" s="31">
        <f t="shared" ca="1" si="91"/>
        <v>14.6</v>
      </c>
      <c r="Q744" s="80"/>
      <c r="R744" s="42"/>
      <c r="S744" s="90">
        <f t="shared" si="88"/>
        <v>68.600000000000378</v>
      </c>
      <c r="T744" s="42"/>
      <c r="U744" s="42"/>
      <c r="V744" s="42"/>
      <c r="W744" s="42"/>
      <c r="X744" s="81"/>
    </row>
    <row r="745" spans="2:24" x14ac:dyDescent="0.25">
      <c r="B745" s="2">
        <v>1</v>
      </c>
      <c r="C745" s="1">
        <f t="shared" si="86"/>
        <v>16.411764705882305</v>
      </c>
      <c r="D745" s="1">
        <f t="shared" si="84"/>
        <v>1</v>
      </c>
      <c r="E745" s="1">
        <f t="shared" si="87"/>
        <v>0</v>
      </c>
      <c r="F745" s="31">
        <f t="shared" si="85"/>
        <v>14.6</v>
      </c>
      <c r="G745" s="31">
        <f t="shared" ca="1" si="89"/>
        <v>14.6</v>
      </c>
      <c r="H745" s="30">
        <f t="shared" ca="1" si="90"/>
        <v>0</v>
      </c>
      <c r="I745" s="31">
        <f t="shared" ca="1" si="91"/>
        <v>14.6</v>
      </c>
      <c r="Q745" s="80"/>
      <c r="R745" s="42"/>
      <c r="S745" s="90">
        <f t="shared" si="88"/>
        <v>68.700000000000372</v>
      </c>
      <c r="T745" s="42"/>
      <c r="U745" s="42"/>
      <c r="V745" s="42"/>
      <c r="W745" s="42"/>
      <c r="X745" s="81"/>
    </row>
    <row r="746" spans="2:24" x14ac:dyDescent="0.25">
      <c r="B746" s="2">
        <v>1</v>
      </c>
      <c r="C746" s="1">
        <f t="shared" si="86"/>
        <v>17.411764705882305</v>
      </c>
      <c r="D746" s="1">
        <f t="shared" si="84"/>
        <v>1</v>
      </c>
      <c r="E746" s="1">
        <f t="shared" si="87"/>
        <v>0</v>
      </c>
      <c r="F746" s="31">
        <f t="shared" si="85"/>
        <v>14.6</v>
      </c>
      <c r="G746" s="31">
        <f t="shared" ca="1" si="89"/>
        <v>14.6</v>
      </c>
      <c r="H746" s="30">
        <f t="shared" ca="1" si="90"/>
        <v>0</v>
      </c>
      <c r="I746" s="31">
        <f t="shared" ca="1" si="91"/>
        <v>14.6</v>
      </c>
      <c r="Q746" s="80"/>
      <c r="R746" s="42"/>
      <c r="S746" s="90">
        <f t="shared" si="88"/>
        <v>68.800000000000367</v>
      </c>
      <c r="T746" s="42"/>
      <c r="U746" s="42"/>
      <c r="V746" s="42"/>
      <c r="W746" s="42"/>
      <c r="X746" s="81"/>
    </row>
    <row r="747" spans="2:24" x14ac:dyDescent="0.25">
      <c r="B747" s="2">
        <v>1</v>
      </c>
      <c r="C747" s="1">
        <f t="shared" si="86"/>
        <v>18.411764705882305</v>
      </c>
      <c r="D747" s="1">
        <f t="shared" si="84"/>
        <v>1</v>
      </c>
      <c r="E747" s="1">
        <f t="shared" si="87"/>
        <v>0</v>
      </c>
      <c r="F747" s="31">
        <f t="shared" si="85"/>
        <v>14.6</v>
      </c>
      <c r="G747" s="31">
        <f t="shared" ca="1" si="89"/>
        <v>14.6</v>
      </c>
      <c r="H747" s="30">
        <f t="shared" ca="1" si="90"/>
        <v>0</v>
      </c>
      <c r="I747" s="31">
        <f t="shared" ca="1" si="91"/>
        <v>14.6</v>
      </c>
      <c r="Q747" s="80"/>
      <c r="R747" s="42"/>
      <c r="S747" s="90">
        <f t="shared" si="88"/>
        <v>68.900000000000361</v>
      </c>
      <c r="T747" s="42"/>
      <c r="U747" s="42"/>
      <c r="V747" s="42"/>
      <c r="W747" s="42"/>
      <c r="X747" s="81"/>
    </row>
    <row r="748" spans="2:24" x14ac:dyDescent="0.25">
      <c r="B748" s="2">
        <v>1</v>
      </c>
      <c r="C748" s="1">
        <f t="shared" si="86"/>
        <v>19.411764705882305</v>
      </c>
      <c r="D748" s="1">
        <f t="shared" si="84"/>
        <v>1</v>
      </c>
      <c r="E748" s="1">
        <f t="shared" si="87"/>
        <v>0</v>
      </c>
      <c r="F748" s="31">
        <f t="shared" si="85"/>
        <v>14.6</v>
      </c>
      <c r="G748" s="31">
        <f t="shared" ca="1" si="89"/>
        <v>14.6</v>
      </c>
      <c r="H748" s="30">
        <f t="shared" ca="1" si="90"/>
        <v>0</v>
      </c>
      <c r="I748" s="31">
        <f t="shared" ca="1" si="91"/>
        <v>14.6</v>
      </c>
      <c r="Q748" s="80"/>
      <c r="R748" s="42"/>
      <c r="S748" s="90">
        <f t="shared" si="88"/>
        <v>69.000000000000355</v>
      </c>
      <c r="T748" s="42"/>
      <c r="U748" s="42"/>
      <c r="V748" s="42"/>
      <c r="W748" s="42"/>
      <c r="X748" s="81"/>
    </row>
    <row r="749" spans="2:24" x14ac:dyDescent="0.25">
      <c r="B749" s="2">
        <v>1</v>
      </c>
      <c r="C749" s="1">
        <f t="shared" si="86"/>
        <v>20.411764705882305</v>
      </c>
      <c r="D749" s="1">
        <f t="shared" si="84"/>
        <v>1</v>
      </c>
      <c r="E749" s="1">
        <f t="shared" si="87"/>
        <v>0</v>
      </c>
      <c r="F749" s="31">
        <f t="shared" si="85"/>
        <v>14.6</v>
      </c>
      <c r="G749" s="31">
        <f t="shared" ca="1" si="89"/>
        <v>14.6</v>
      </c>
      <c r="H749" s="30">
        <f t="shared" ca="1" si="90"/>
        <v>0</v>
      </c>
      <c r="I749" s="31">
        <f t="shared" ca="1" si="91"/>
        <v>14.6</v>
      </c>
      <c r="Q749" s="80"/>
      <c r="R749" s="42"/>
      <c r="S749" s="90">
        <f t="shared" si="88"/>
        <v>69.10000000000035</v>
      </c>
      <c r="T749" s="42"/>
      <c r="U749" s="42"/>
      <c r="V749" s="42"/>
      <c r="W749" s="42"/>
      <c r="X749" s="81"/>
    </row>
    <row r="750" spans="2:24" x14ac:dyDescent="0.25">
      <c r="B750" s="2">
        <v>1</v>
      </c>
      <c r="C750" s="1">
        <f t="shared" si="86"/>
        <v>21.411764705882305</v>
      </c>
      <c r="D750" s="1">
        <f t="shared" si="84"/>
        <v>1</v>
      </c>
      <c r="E750" s="1">
        <f t="shared" si="87"/>
        <v>0</v>
      </c>
      <c r="F750" s="31">
        <f t="shared" si="85"/>
        <v>14.6</v>
      </c>
      <c r="G750" s="31">
        <f t="shared" ca="1" si="89"/>
        <v>14.6</v>
      </c>
      <c r="H750" s="30">
        <f t="shared" ca="1" si="90"/>
        <v>0</v>
      </c>
      <c r="I750" s="31">
        <f t="shared" ca="1" si="91"/>
        <v>14.6</v>
      </c>
      <c r="Q750" s="80"/>
      <c r="R750" s="42"/>
      <c r="S750" s="90">
        <f t="shared" si="88"/>
        <v>69.200000000000344</v>
      </c>
      <c r="T750" s="42"/>
      <c r="U750" s="42"/>
      <c r="V750" s="42"/>
      <c r="W750" s="42"/>
      <c r="X750" s="81"/>
    </row>
    <row r="751" spans="2:24" x14ac:dyDescent="0.25">
      <c r="B751" s="2">
        <v>1</v>
      </c>
      <c r="C751" s="1">
        <f t="shared" si="86"/>
        <v>22.411764705882305</v>
      </c>
      <c r="D751" s="1">
        <f t="shared" si="84"/>
        <v>1</v>
      </c>
      <c r="E751" s="1">
        <f t="shared" si="87"/>
        <v>0</v>
      </c>
      <c r="F751" s="31">
        <f t="shared" si="85"/>
        <v>14.6</v>
      </c>
      <c r="G751" s="31">
        <f t="shared" ca="1" si="89"/>
        <v>14.6</v>
      </c>
      <c r="H751" s="30">
        <f t="shared" ca="1" si="90"/>
        <v>0</v>
      </c>
      <c r="I751" s="31">
        <f t="shared" ca="1" si="91"/>
        <v>14.6</v>
      </c>
      <c r="Q751" s="80"/>
      <c r="R751" s="42"/>
      <c r="S751" s="90">
        <f t="shared" si="88"/>
        <v>69.300000000000338</v>
      </c>
      <c r="T751" s="42"/>
      <c r="U751" s="42"/>
      <c r="V751" s="42"/>
      <c r="W751" s="42"/>
      <c r="X751" s="81"/>
    </row>
    <row r="752" spans="2:24" x14ac:dyDescent="0.25">
      <c r="B752" s="2">
        <v>1</v>
      </c>
      <c r="C752" s="1">
        <f t="shared" si="86"/>
        <v>23.411764705882305</v>
      </c>
      <c r="D752" s="1">
        <f t="shared" si="84"/>
        <v>0</v>
      </c>
      <c r="E752" s="1">
        <f t="shared" si="87"/>
        <v>1</v>
      </c>
      <c r="F752" s="31">
        <f t="shared" si="85"/>
        <v>6.4</v>
      </c>
      <c r="G752" s="31">
        <f t="shared" ca="1" si="89"/>
        <v>0</v>
      </c>
      <c r="H752" s="30">
        <f t="shared" ca="1" si="90"/>
        <v>14.6</v>
      </c>
      <c r="I752" s="31">
        <f t="shared" ca="1" si="91"/>
        <v>14.6</v>
      </c>
      <c r="Q752" s="80"/>
      <c r="R752" s="42"/>
      <c r="S752" s="90">
        <f t="shared" si="88"/>
        <v>69.400000000000333</v>
      </c>
      <c r="T752" s="42"/>
      <c r="U752" s="42"/>
      <c r="V752" s="42"/>
      <c r="W752" s="42"/>
      <c r="X752" s="81"/>
    </row>
    <row r="753" spans="2:24" x14ac:dyDescent="0.25">
      <c r="B753" s="2">
        <v>1</v>
      </c>
      <c r="C753" s="1">
        <f t="shared" si="86"/>
        <v>24.411764705882305</v>
      </c>
      <c r="D753" s="1">
        <f t="shared" si="84"/>
        <v>0</v>
      </c>
      <c r="E753" s="1">
        <f t="shared" si="87"/>
        <v>1</v>
      </c>
      <c r="F753" s="31">
        <f t="shared" si="85"/>
        <v>6.4</v>
      </c>
      <c r="G753" s="31">
        <f t="shared" ca="1" si="89"/>
        <v>0</v>
      </c>
      <c r="H753" s="30">
        <f t="shared" ca="1" si="90"/>
        <v>6.4</v>
      </c>
      <c r="I753" s="31">
        <f t="shared" ca="1" si="91"/>
        <v>6.4</v>
      </c>
      <c r="Q753" s="80"/>
      <c r="R753" s="42"/>
      <c r="S753" s="90">
        <f t="shared" si="88"/>
        <v>69.500000000000327</v>
      </c>
      <c r="T753" s="42"/>
      <c r="U753" s="42"/>
      <c r="V753" s="42"/>
      <c r="W753" s="42"/>
      <c r="X753" s="81"/>
    </row>
    <row r="754" spans="2:24" x14ac:dyDescent="0.25">
      <c r="B754" s="2">
        <v>1</v>
      </c>
      <c r="C754" s="1">
        <f t="shared" si="86"/>
        <v>25.411764705882305</v>
      </c>
      <c r="D754" s="1">
        <f t="shared" si="84"/>
        <v>0</v>
      </c>
      <c r="E754" s="1">
        <f t="shared" si="87"/>
        <v>1</v>
      </c>
      <c r="F754" s="31">
        <f t="shared" si="85"/>
        <v>6.4</v>
      </c>
      <c r="G754" s="31">
        <f t="shared" ca="1" si="89"/>
        <v>0</v>
      </c>
      <c r="H754" s="30">
        <f t="shared" ca="1" si="90"/>
        <v>6.4</v>
      </c>
      <c r="I754" s="31">
        <f t="shared" ca="1" si="91"/>
        <v>6.4</v>
      </c>
      <c r="Q754" s="80"/>
      <c r="R754" s="42"/>
      <c r="S754" s="90">
        <f t="shared" si="88"/>
        <v>69.600000000000321</v>
      </c>
      <c r="T754" s="42"/>
      <c r="U754" s="42"/>
      <c r="V754" s="42"/>
      <c r="W754" s="42"/>
      <c r="X754" s="81"/>
    </row>
    <row r="755" spans="2:24" x14ac:dyDescent="0.25">
      <c r="B755" s="2">
        <v>1</v>
      </c>
      <c r="C755" s="1">
        <f t="shared" si="86"/>
        <v>26.411764705882305</v>
      </c>
      <c r="D755" s="1">
        <f t="shared" si="84"/>
        <v>0</v>
      </c>
      <c r="E755" s="1">
        <f t="shared" si="87"/>
        <v>1</v>
      </c>
      <c r="F755" s="31">
        <f t="shared" si="85"/>
        <v>6.4</v>
      </c>
      <c r="G755" s="31">
        <f t="shared" ca="1" si="89"/>
        <v>0</v>
      </c>
      <c r="H755" s="30">
        <f t="shared" ca="1" si="90"/>
        <v>6.4</v>
      </c>
      <c r="I755" s="31">
        <f t="shared" ca="1" si="91"/>
        <v>6.4</v>
      </c>
      <c r="Q755" s="80"/>
      <c r="R755" s="42"/>
      <c r="S755" s="90">
        <f t="shared" si="88"/>
        <v>69.700000000000315</v>
      </c>
      <c r="T755" s="42"/>
      <c r="U755" s="42"/>
      <c r="V755" s="42"/>
      <c r="W755" s="42"/>
      <c r="X755" s="81"/>
    </row>
    <row r="756" spans="2:24" x14ac:dyDescent="0.25">
      <c r="B756" s="2">
        <v>1</v>
      </c>
      <c r="C756" s="1">
        <f t="shared" si="86"/>
        <v>27.411764705882305</v>
      </c>
      <c r="D756" s="1">
        <f t="shared" si="84"/>
        <v>0</v>
      </c>
      <c r="E756" s="1">
        <f t="shared" si="87"/>
        <v>1</v>
      </c>
      <c r="F756" s="31">
        <f t="shared" si="85"/>
        <v>6.4</v>
      </c>
      <c r="G756" s="31">
        <f t="shared" ca="1" si="89"/>
        <v>0</v>
      </c>
      <c r="H756" s="30">
        <f t="shared" ca="1" si="90"/>
        <v>6.4</v>
      </c>
      <c r="I756" s="31">
        <f t="shared" ca="1" si="91"/>
        <v>6.4</v>
      </c>
      <c r="Q756" s="80"/>
      <c r="R756" s="42"/>
      <c r="S756" s="90">
        <f t="shared" si="88"/>
        <v>69.80000000000031</v>
      </c>
      <c r="T756" s="42"/>
      <c r="U756" s="42"/>
      <c r="V756" s="42"/>
      <c r="W756" s="42"/>
      <c r="X756" s="81"/>
    </row>
    <row r="757" spans="2:24" x14ac:dyDescent="0.25">
      <c r="B757" s="2">
        <v>1</v>
      </c>
      <c r="C757" s="1">
        <f t="shared" si="86"/>
        <v>28.411764705882305</v>
      </c>
      <c r="D757" s="1">
        <f t="shared" si="84"/>
        <v>0</v>
      </c>
      <c r="E757" s="1">
        <f t="shared" si="87"/>
        <v>1</v>
      </c>
      <c r="F757" s="31">
        <f t="shared" si="85"/>
        <v>6.4</v>
      </c>
      <c r="G757" s="31">
        <f t="shared" ca="1" si="89"/>
        <v>0</v>
      </c>
      <c r="H757" s="30">
        <f t="shared" ca="1" si="90"/>
        <v>6.4</v>
      </c>
      <c r="I757" s="31">
        <f t="shared" ca="1" si="91"/>
        <v>6.4</v>
      </c>
      <c r="Q757" s="80"/>
      <c r="R757" s="42"/>
      <c r="S757" s="90">
        <f t="shared" si="88"/>
        <v>69.900000000000304</v>
      </c>
      <c r="T757" s="42"/>
      <c r="U757" s="42"/>
      <c r="V757" s="42"/>
      <c r="W757" s="42"/>
      <c r="X757" s="81"/>
    </row>
    <row r="758" spans="2:24" x14ac:dyDescent="0.25">
      <c r="B758" s="2">
        <v>1</v>
      </c>
      <c r="C758" s="1">
        <f t="shared" si="86"/>
        <v>29.411764705882305</v>
      </c>
      <c r="D758" s="1">
        <f t="shared" si="84"/>
        <v>0</v>
      </c>
      <c r="E758" s="1">
        <f t="shared" si="87"/>
        <v>1</v>
      </c>
      <c r="F758" s="31">
        <f t="shared" si="85"/>
        <v>6.4</v>
      </c>
      <c r="G758" s="31">
        <f t="shared" ca="1" si="89"/>
        <v>0</v>
      </c>
      <c r="H758" s="30">
        <f t="shared" ca="1" si="90"/>
        <v>6.4</v>
      </c>
      <c r="I758" s="31">
        <f t="shared" ca="1" si="91"/>
        <v>6.4</v>
      </c>
      <c r="Q758" s="80"/>
      <c r="R758" s="42"/>
      <c r="S758" s="90">
        <f t="shared" si="88"/>
        <v>70.000000000000298</v>
      </c>
      <c r="T758" s="42"/>
      <c r="U758" s="42"/>
      <c r="V758" s="42"/>
      <c r="W758" s="42"/>
      <c r="X758" s="81"/>
    </row>
    <row r="759" spans="2:24" x14ac:dyDescent="0.25">
      <c r="B759" s="2">
        <v>1</v>
      </c>
      <c r="C759" s="1">
        <f t="shared" si="86"/>
        <v>30.411764705882305</v>
      </c>
      <c r="D759" s="1">
        <f t="shared" si="84"/>
        <v>0</v>
      </c>
      <c r="E759" s="1">
        <f t="shared" si="87"/>
        <v>1</v>
      </c>
      <c r="F759" s="31">
        <f t="shared" si="85"/>
        <v>6.4</v>
      </c>
      <c r="G759" s="31">
        <f t="shared" ca="1" si="89"/>
        <v>0</v>
      </c>
      <c r="H759" s="30">
        <f t="shared" ca="1" si="90"/>
        <v>6.4</v>
      </c>
      <c r="I759" s="31">
        <f t="shared" ca="1" si="91"/>
        <v>6.4</v>
      </c>
      <c r="Q759" s="80"/>
      <c r="R759" s="42"/>
      <c r="S759" s="90">
        <f t="shared" si="88"/>
        <v>70.100000000000293</v>
      </c>
      <c r="T759" s="42"/>
      <c r="U759" s="42"/>
      <c r="V759" s="42"/>
      <c r="W759" s="42"/>
      <c r="X759" s="81"/>
    </row>
    <row r="760" spans="2:24" x14ac:dyDescent="0.25">
      <c r="B760" s="2">
        <v>1</v>
      </c>
      <c r="C760" s="1">
        <f t="shared" si="86"/>
        <v>31.411764705882305</v>
      </c>
      <c r="D760" s="1">
        <f t="shared" si="84"/>
        <v>0</v>
      </c>
      <c r="E760" s="1">
        <f t="shared" si="87"/>
        <v>1</v>
      </c>
      <c r="F760" s="31">
        <f t="shared" si="85"/>
        <v>6.4</v>
      </c>
      <c r="G760" s="31">
        <f t="shared" ca="1" si="89"/>
        <v>0</v>
      </c>
      <c r="H760" s="30">
        <f t="shared" ca="1" si="90"/>
        <v>6.4</v>
      </c>
      <c r="I760" s="31">
        <f t="shared" ca="1" si="91"/>
        <v>6.4</v>
      </c>
      <c r="Q760" s="80"/>
      <c r="R760" s="42"/>
      <c r="S760" s="90">
        <f t="shared" si="88"/>
        <v>70.200000000000287</v>
      </c>
      <c r="T760" s="42"/>
      <c r="U760" s="42"/>
      <c r="V760" s="42"/>
      <c r="W760" s="42"/>
      <c r="X760" s="81"/>
    </row>
    <row r="761" spans="2:24" x14ac:dyDescent="0.25">
      <c r="B761" s="2">
        <v>1</v>
      </c>
      <c r="C761" s="1">
        <f t="shared" si="86"/>
        <v>32.411764705882305</v>
      </c>
      <c r="D761" s="1">
        <f t="shared" si="84"/>
        <v>0</v>
      </c>
      <c r="E761" s="1">
        <f t="shared" si="87"/>
        <v>1</v>
      </c>
      <c r="F761" s="31">
        <f t="shared" si="85"/>
        <v>6.4</v>
      </c>
      <c r="G761" s="31">
        <f t="shared" ca="1" si="89"/>
        <v>0</v>
      </c>
      <c r="H761" s="30">
        <f t="shared" ca="1" si="90"/>
        <v>6.4</v>
      </c>
      <c r="I761" s="31">
        <f t="shared" ca="1" si="91"/>
        <v>6.4</v>
      </c>
      <c r="Q761" s="80"/>
      <c r="R761" s="42"/>
      <c r="S761" s="90">
        <f t="shared" si="88"/>
        <v>70.300000000000281</v>
      </c>
      <c r="T761" s="42"/>
      <c r="U761" s="42"/>
      <c r="V761" s="42"/>
      <c r="W761" s="42"/>
      <c r="X761" s="81"/>
    </row>
    <row r="762" spans="2:24" x14ac:dyDescent="0.25">
      <c r="B762" s="2">
        <v>1</v>
      </c>
      <c r="C762" s="1">
        <f t="shared" si="86"/>
        <v>33.411764705882305</v>
      </c>
      <c r="D762" s="1">
        <f t="shared" ref="D762:D825" si="92">IF(C762&lt;=Inhelation_Time_RT,1,0)</f>
        <v>0</v>
      </c>
      <c r="E762" s="1">
        <f t="shared" si="87"/>
        <v>1</v>
      </c>
      <c r="F762" s="31">
        <f t="shared" ref="F762:F825" si="93">(D762*Inspiratory_pressure_level) + (E762*PEEP)</f>
        <v>6.4</v>
      </c>
      <c r="G762" s="31">
        <f t="shared" ca="1" si="89"/>
        <v>0</v>
      </c>
      <c r="H762" s="30">
        <f t="shared" ca="1" si="90"/>
        <v>6.4</v>
      </c>
      <c r="I762" s="31">
        <f t="shared" ca="1" si="91"/>
        <v>6.4</v>
      </c>
      <c r="Q762" s="80"/>
      <c r="R762" s="42"/>
      <c r="S762" s="90">
        <f t="shared" si="88"/>
        <v>70.400000000000276</v>
      </c>
      <c r="T762" s="42"/>
      <c r="U762" s="42"/>
      <c r="V762" s="42"/>
      <c r="W762" s="42"/>
      <c r="X762" s="81"/>
    </row>
    <row r="763" spans="2:24" x14ac:dyDescent="0.25">
      <c r="B763" s="2">
        <v>1</v>
      </c>
      <c r="C763" s="1">
        <f t="shared" ref="C763:C826" si="94">MOD(C762+B763,time_for_breath_RT)</f>
        <v>34.411764705882305</v>
      </c>
      <c r="D763" s="1">
        <f t="shared" si="92"/>
        <v>0</v>
      </c>
      <c r="E763" s="1">
        <f t="shared" ref="E763:E826" si="95">IF(D763=1,0,1)</f>
        <v>1</v>
      </c>
      <c r="F763" s="31">
        <f t="shared" si="93"/>
        <v>6.4</v>
      </c>
      <c r="G763" s="31">
        <f t="shared" ca="1" si="89"/>
        <v>0</v>
      </c>
      <c r="H763" s="30">
        <f t="shared" ca="1" si="90"/>
        <v>6.4</v>
      </c>
      <c r="I763" s="31">
        <f t="shared" ca="1" si="91"/>
        <v>6.4</v>
      </c>
      <c r="Q763" s="80"/>
      <c r="R763" s="42"/>
      <c r="S763" s="90">
        <f t="shared" ref="S763:S826" si="96">S762+(B762 / RTC_to_seconds)</f>
        <v>70.50000000000027</v>
      </c>
      <c r="T763" s="42"/>
      <c r="U763" s="42"/>
      <c r="V763" s="42"/>
      <c r="W763" s="42"/>
      <c r="X763" s="81"/>
    </row>
    <row r="764" spans="2:24" x14ac:dyDescent="0.25">
      <c r="B764" s="2">
        <v>1</v>
      </c>
      <c r="C764" s="1">
        <f t="shared" si="94"/>
        <v>0.11764705882347926</v>
      </c>
      <c r="D764" s="1">
        <f t="shared" si="92"/>
        <v>1</v>
      </c>
      <c r="E764" s="1">
        <f t="shared" si="95"/>
        <v>0</v>
      </c>
      <c r="F764" s="31">
        <f t="shared" si="93"/>
        <v>14.6</v>
      </c>
      <c r="G764" s="31">
        <f t="shared" ca="1" si="89"/>
        <v>6.4</v>
      </c>
      <c r="H764" s="30">
        <f t="shared" ca="1" si="90"/>
        <v>0</v>
      </c>
      <c r="I764" s="31">
        <f t="shared" ca="1" si="91"/>
        <v>6.4</v>
      </c>
      <c r="Q764" s="80"/>
      <c r="R764" s="42"/>
      <c r="S764" s="90">
        <f t="shared" si="96"/>
        <v>70.600000000000264</v>
      </c>
      <c r="T764" s="42"/>
      <c r="U764" s="42"/>
      <c r="V764" s="42"/>
      <c r="W764" s="42"/>
      <c r="X764" s="81"/>
    </row>
    <row r="765" spans="2:24" x14ac:dyDescent="0.25">
      <c r="B765" s="2">
        <v>1</v>
      </c>
      <c r="C765" s="1">
        <f t="shared" si="94"/>
        <v>1.1176470588234793</v>
      </c>
      <c r="D765" s="1">
        <f t="shared" si="92"/>
        <v>1</v>
      </c>
      <c r="E765" s="1">
        <f t="shared" si="95"/>
        <v>0</v>
      </c>
      <c r="F765" s="31">
        <f t="shared" si="93"/>
        <v>14.6</v>
      </c>
      <c r="G765" s="31">
        <f t="shared" ca="1" si="89"/>
        <v>8.4500000000000011</v>
      </c>
      <c r="H765" s="30">
        <f t="shared" ca="1" si="90"/>
        <v>0</v>
      </c>
      <c r="I765" s="31">
        <f t="shared" ca="1" si="91"/>
        <v>8.4500000000000011</v>
      </c>
      <c r="Q765" s="80"/>
      <c r="R765" s="42"/>
      <c r="S765" s="90">
        <f t="shared" si="96"/>
        <v>70.700000000000259</v>
      </c>
      <c r="T765" s="42"/>
      <c r="U765" s="42"/>
      <c r="V765" s="42"/>
      <c r="W765" s="42"/>
      <c r="X765" s="81"/>
    </row>
    <row r="766" spans="2:24" x14ac:dyDescent="0.25">
      <c r="B766" s="2">
        <v>1</v>
      </c>
      <c r="C766" s="1">
        <f t="shared" si="94"/>
        <v>2.1176470588234793</v>
      </c>
      <c r="D766" s="1">
        <f t="shared" si="92"/>
        <v>1</v>
      </c>
      <c r="E766" s="1">
        <f t="shared" si="95"/>
        <v>0</v>
      </c>
      <c r="F766" s="31">
        <f t="shared" si="93"/>
        <v>14.6</v>
      </c>
      <c r="G766" s="31">
        <f t="shared" ca="1" si="89"/>
        <v>10.5</v>
      </c>
      <c r="H766" s="30">
        <f t="shared" ca="1" si="90"/>
        <v>0</v>
      </c>
      <c r="I766" s="31">
        <f t="shared" ca="1" si="91"/>
        <v>10.5</v>
      </c>
      <c r="Q766" s="80"/>
      <c r="R766" s="42"/>
      <c r="S766" s="90">
        <f t="shared" si="96"/>
        <v>70.800000000000253</v>
      </c>
      <c r="T766" s="42"/>
      <c r="U766" s="42"/>
      <c r="V766" s="42"/>
      <c r="W766" s="42"/>
      <c r="X766" s="81"/>
    </row>
    <row r="767" spans="2:24" x14ac:dyDescent="0.25">
      <c r="B767" s="2">
        <v>1</v>
      </c>
      <c r="C767" s="1">
        <f t="shared" si="94"/>
        <v>3.1176470588234793</v>
      </c>
      <c r="D767" s="1">
        <f t="shared" si="92"/>
        <v>1</v>
      </c>
      <c r="E767" s="1">
        <f t="shared" si="95"/>
        <v>0</v>
      </c>
      <c r="F767" s="31">
        <f t="shared" si="93"/>
        <v>14.6</v>
      </c>
      <c r="G767" s="31">
        <f t="shared" ca="1" si="89"/>
        <v>12.55</v>
      </c>
      <c r="H767" s="30">
        <f t="shared" ca="1" si="90"/>
        <v>0</v>
      </c>
      <c r="I767" s="31">
        <f t="shared" ca="1" si="91"/>
        <v>12.55</v>
      </c>
      <c r="Q767" s="80"/>
      <c r="R767" s="42"/>
      <c r="S767" s="90">
        <f t="shared" si="96"/>
        <v>70.900000000000247</v>
      </c>
      <c r="T767" s="42"/>
      <c r="U767" s="42"/>
      <c r="V767" s="42"/>
      <c r="W767" s="42"/>
      <c r="X767" s="81"/>
    </row>
    <row r="768" spans="2:24" x14ac:dyDescent="0.25">
      <c r="B768" s="2">
        <v>1</v>
      </c>
      <c r="C768" s="1">
        <f t="shared" si="94"/>
        <v>4.1176470588234793</v>
      </c>
      <c r="D768" s="1">
        <f t="shared" si="92"/>
        <v>1</v>
      </c>
      <c r="E768" s="1">
        <f t="shared" si="95"/>
        <v>0</v>
      </c>
      <c r="F768" s="31">
        <f t="shared" si="93"/>
        <v>14.6</v>
      </c>
      <c r="G768" s="31">
        <f t="shared" ca="1" si="89"/>
        <v>14.6</v>
      </c>
      <c r="H768" s="30">
        <f t="shared" ca="1" si="90"/>
        <v>0</v>
      </c>
      <c r="I768" s="31">
        <f t="shared" ca="1" si="91"/>
        <v>14.6</v>
      </c>
      <c r="Q768" s="80"/>
      <c r="R768" s="42"/>
      <c r="S768" s="90">
        <f t="shared" si="96"/>
        <v>71.000000000000242</v>
      </c>
      <c r="T768" s="42"/>
      <c r="U768" s="42"/>
      <c r="V768" s="42"/>
      <c r="W768" s="42"/>
      <c r="X768" s="81"/>
    </row>
    <row r="769" spans="2:24" x14ac:dyDescent="0.25">
      <c r="B769" s="2">
        <v>1</v>
      </c>
      <c r="C769" s="1">
        <f t="shared" si="94"/>
        <v>5.1176470588234793</v>
      </c>
      <c r="D769" s="1">
        <f t="shared" si="92"/>
        <v>1</v>
      </c>
      <c r="E769" s="1">
        <f t="shared" si="95"/>
        <v>0</v>
      </c>
      <c r="F769" s="31">
        <f t="shared" si="93"/>
        <v>14.6</v>
      </c>
      <c r="G769" s="31">
        <f t="shared" ca="1" si="89"/>
        <v>14.6</v>
      </c>
      <c r="H769" s="30">
        <f t="shared" ca="1" si="90"/>
        <v>0</v>
      </c>
      <c r="I769" s="31">
        <f t="shared" ca="1" si="91"/>
        <v>14.6</v>
      </c>
      <c r="Q769" s="80"/>
      <c r="R769" s="42"/>
      <c r="S769" s="90">
        <f t="shared" si="96"/>
        <v>71.100000000000236</v>
      </c>
      <c r="T769" s="42"/>
      <c r="U769" s="42"/>
      <c r="V769" s="42"/>
      <c r="W769" s="42"/>
      <c r="X769" s="81"/>
    </row>
    <row r="770" spans="2:24" x14ac:dyDescent="0.25">
      <c r="B770" s="2">
        <v>1</v>
      </c>
      <c r="C770" s="1">
        <f t="shared" si="94"/>
        <v>6.1176470588234793</v>
      </c>
      <c r="D770" s="1">
        <f t="shared" si="92"/>
        <v>1</v>
      </c>
      <c r="E770" s="1">
        <f t="shared" si="95"/>
        <v>0</v>
      </c>
      <c r="F770" s="31">
        <f t="shared" si="93"/>
        <v>14.6</v>
      </c>
      <c r="G770" s="31">
        <f t="shared" ca="1" si="89"/>
        <v>14.6</v>
      </c>
      <c r="H770" s="30">
        <f t="shared" ca="1" si="90"/>
        <v>0</v>
      </c>
      <c r="I770" s="31">
        <f t="shared" ca="1" si="91"/>
        <v>14.6</v>
      </c>
      <c r="Q770" s="80"/>
      <c r="R770" s="42"/>
      <c r="S770" s="90">
        <f t="shared" si="96"/>
        <v>71.20000000000023</v>
      </c>
      <c r="T770" s="42"/>
      <c r="U770" s="42"/>
      <c r="V770" s="42"/>
      <c r="W770" s="42"/>
      <c r="X770" s="81"/>
    </row>
    <row r="771" spans="2:24" x14ac:dyDescent="0.25">
      <c r="B771" s="2">
        <v>1</v>
      </c>
      <c r="C771" s="1">
        <f t="shared" si="94"/>
        <v>7.1176470588234793</v>
      </c>
      <c r="D771" s="1">
        <f t="shared" si="92"/>
        <v>1</v>
      </c>
      <c r="E771" s="1">
        <f t="shared" si="95"/>
        <v>0</v>
      </c>
      <c r="F771" s="31">
        <f t="shared" si="93"/>
        <v>14.6</v>
      </c>
      <c r="G771" s="31">
        <f t="shared" ca="1" si="89"/>
        <v>14.6</v>
      </c>
      <c r="H771" s="30">
        <f t="shared" ca="1" si="90"/>
        <v>0</v>
      </c>
      <c r="I771" s="31">
        <f t="shared" ca="1" si="91"/>
        <v>14.6</v>
      </c>
      <c r="Q771" s="80"/>
      <c r="R771" s="42"/>
      <c r="S771" s="90">
        <f t="shared" si="96"/>
        <v>71.300000000000225</v>
      </c>
      <c r="T771" s="42"/>
      <c r="U771" s="42"/>
      <c r="V771" s="42"/>
      <c r="W771" s="42"/>
      <c r="X771" s="81"/>
    </row>
    <row r="772" spans="2:24" x14ac:dyDescent="0.25">
      <c r="B772" s="2">
        <v>1</v>
      </c>
      <c r="C772" s="1">
        <f t="shared" si="94"/>
        <v>8.1176470588234793</v>
      </c>
      <c r="D772" s="1">
        <f t="shared" si="92"/>
        <v>1</v>
      </c>
      <c r="E772" s="1">
        <f t="shared" si="95"/>
        <v>0</v>
      </c>
      <c r="F772" s="31">
        <f t="shared" si="93"/>
        <v>14.6</v>
      </c>
      <c r="G772" s="31">
        <f t="shared" ca="1" si="89"/>
        <v>14.6</v>
      </c>
      <c r="H772" s="30">
        <f t="shared" ca="1" si="90"/>
        <v>0</v>
      </c>
      <c r="I772" s="31">
        <f t="shared" ca="1" si="91"/>
        <v>14.6</v>
      </c>
      <c r="Q772" s="80"/>
      <c r="R772" s="42"/>
      <c r="S772" s="90">
        <f t="shared" si="96"/>
        <v>71.400000000000219</v>
      </c>
      <c r="T772" s="42"/>
      <c r="U772" s="42"/>
      <c r="V772" s="42"/>
      <c r="W772" s="42"/>
      <c r="X772" s="81"/>
    </row>
    <row r="773" spans="2:24" x14ac:dyDescent="0.25">
      <c r="B773" s="2">
        <v>1</v>
      </c>
      <c r="C773" s="1">
        <f t="shared" si="94"/>
        <v>9.1176470588234793</v>
      </c>
      <c r="D773" s="1">
        <f t="shared" si="92"/>
        <v>1</v>
      </c>
      <c r="E773" s="1">
        <f t="shared" si="95"/>
        <v>0</v>
      </c>
      <c r="F773" s="31">
        <f t="shared" si="93"/>
        <v>14.6</v>
      </c>
      <c r="G773" s="31">
        <f t="shared" ca="1" si="89"/>
        <v>14.6</v>
      </c>
      <c r="H773" s="30">
        <f t="shared" ca="1" si="90"/>
        <v>0</v>
      </c>
      <c r="I773" s="31">
        <f t="shared" ca="1" si="91"/>
        <v>14.6</v>
      </c>
      <c r="Q773" s="80"/>
      <c r="R773" s="42"/>
      <c r="S773" s="90">
        <f t="shared" si="96"/>
        <v>71.500000000000213</v>
      </c>
      <c r="T773" s="42"/>
      <c r="U773" s="42"/>
      <c r="V773" s="42"/>
      <c r="W773" s="42"/>
      <c r="X773" s="81"/>
    </row>
    <row r="774" spans="2:24" x14ac:dyDescent="0.25">
      <c r="B774" s="2">
        <v>1</v>
      </c>
      <c r="C774" s="1">
        <f t="shared" si="94"/>
        <v>10.117647058823479</v>
      </c>
      <c r="D774" s="1">
        <f t="shared" si="92"/>
        <v>1</v>
      </c>
      <c r="E774" s="1">
        <f t="shared" si="95"/>
        <v>0</v>
      </c>
      <c r="F774" s="31">
        <f t="shared" si="93"/>
        <v>14.6</v>
      </c>
      <c r="G774" s="31">
        <f t="shared" ca="1" si="89"/>
        <v>14.6</v>
      </c>
      <c r="H774" s="30">
        <f t="shared" ca="1" si="90"/>
        <v>0</v>
      </c>
      <c r="I774" s="31">
        <f t="shared" ca="1" si="91"/>
        <v>14.6</v>
      </c>
      <c r="Q774" s="80"/>
      <c r="R774" s="42"/>
      <c r="S774" s="90">
        <f t="shared" si="96"/>
        <v>71.600000000000207</v>
      </c>
      <c r="T774" s="42"/>
      <c r="U774" s="42"/>
      <c r="V774" s="42"/>
      <c r="W774" s="42"/>
      <c r="X774" s="81"/>
    </row>
    <row r="775" spans="2:24" x14ac:dyDescent="0.25">
      <c r="B775" s="2">
        <v>1</v>
      </c>
      <c r="C775" s="1">
        <f t="shared" si="94"/>
        <v>11.117647058823479</v>
      </c>
      <c r="D775" s="1">
        <f t="shared" si="92"/>
        <v>1</v>
      </c>
      <c r="E775" s="1">
        <f t="shared" si="95"/>
        <v>0</v>
      </c>
      <c r="F775" s="31">
        <f t="shared" si="93"/>
        <v>14.6</v>
      </c>
      <c r="G775" s="31">
        <f t="shared" ca="1" si="89"/>
        <v>14.6</v>
      </c>
      <c r="H775" s="30">
        <f t="shared" ca="1" si="90"/>
        <v>0</v>
      </c>
      <c r="I775" s="31">
        <f t="shared" ca="1" si="91"/>
        <v>14.6</v>
      </c>
      <c r="Q775" s="80"/>
      <c r="R775" s="42"/>
      <c r="S775" s="90">
        <f t="shared" si="96"/>
        <v>71.700000000000202</v>
      </c>
      <c r="T775" s="42"/>
      <c r="U775" s="42"/>
      <c r="V775" s="42"/>
      <c r="W775" s="42"/>
      <c r="X775" s="81"/>
    </row>
    <row r="776" spans="2:24" x14ac:dyDescent="0.25">
      <c r="B776" s="2">
        <v>1</v>
      </c>
      <c r="C776" s="1">
        <f t="shared" si="94"/>
        <v>12.117647058823479</v>
      </c>
      <c r="D776" s="1">
        <f t="shared" si="92"/>
        <v>1</v>
      </c>
      <c r="E776" s="1">
        <f t="shared" si="95"/>
        <v>0</v>
      </c>
      <c r="F776" s="31">
        <f t="shared" si="93"/>
        <v>14.6</v>
      </c>
      <c r="G776" s="31">
        <f t="shared" ca="1" si="89"/>
        <v>14.6</v>
      </c>
      <c r="H776" s="30">
        <f t="shared" ca="1" si="90"/>
        <v>0</v>
      </c>
      <c r="I776" s="31">
        <f t="shared" ca="1" si="91"/>
        <v>14.6</v>
      </c>
      <c r="Q776" s="80"/>
      <c r="R776" s="42"/>
      <c r="S776" s="90">
        <f t="shared" si="96"/>
        <v>71.800000000000196</v>
      </c>
      <c r="T776" s="42"/>
      <c r="U776" s="42"/>
      <c r="V776" s="42"/>
      <c r="W776" s="42"/>
      <c r="X776" s="81"/>
    </row>
    <row r="777" spans="2:24" x14ac:dyDescent="0.25">
      <c r="B777" s="2">
        <v>1</v>
      </c>
      <c r="C777" s="1">
        <f t="shared" si="94"/>
        <v>13.117647058823479</v>
      </c>
      <c r="D777" s="1">
        <f t="shared" si="92"/>
        <v>1</v>
      </c>
      <c r="E777" s="1">
        <f t="shared" si="95"/>
        <v>0</v>
      </c>
      <c r="F777" s="31">
        <f t="shared" si="93"/>
        <v>14.6</v>
      </c>
      <c r="G777" s="31">
        <f t="shared" ca="1" si="89"/>
        <v>14.6</v>
      </c>
      <c r="H777" s="30">
        <f t="shared" ca="1" si="90"/>
        <v>0</v>
      </c>
      <c r="I777" s="31">
        <f t="shared" ca="1" si="91"/>
        <v>14.6</v>
      </c>
      <c r="Q777" s="80"/>
      <c r="R777" s="42"/>
      <c r="S777" s="90">
        <f t="shared" si="96"/>
        <v>71.90000000000019</v>
      </c>
      <c r="T777" s="42"/>
      <c r="U777" s="42"/>
      <c r="V777" s="42"/>
      <c r="W777" s="42"/>
      <c r="X777" s="81"/>
    </row>
    <row r="778" spans="2:24" x14ac:dyDescent="0.25">
      <c r="B778" s="2">
        <v>1</v>
      </c>
      <c r="C778" s="1">
        <f t="shared" si="94"/>
        <v>14.117647058823479</v>
      </c>
      <c r="D778" s="1">
        <f t="shared" si="92"/>
        <v>1</v>
      </c>
      <c r="E778" s="1">
        <f t="shared" si="95"/>
        <v>0</v>
      </c>
      <c r="F778" s="31">
        <f t="shared" si="93"/>
        <v>14.6</v>
      </c>
      <c r="G778" s="31">
        <f t="shared" ca="1" si="89"/>
        <v>14.6</v>
      </c>
      <c r="H778" s="30">
        <f t="shared" ca="1" si="90"/>
        <v>0</v>
      </c>
      <c r="I778" s="31">
        <f t="shared" ca="1" si="91"/>
        <v>14.6</v>
      </c>
      <c r="Q778" s="80"/>
      <c r="R778" s="42"/>
      <c r="S778" s="90">
        <f t="shared" si="96"/>
        <v>72.000000000000185</v>
      </c>
      <c r="T778" s="42"/>
      <c r="U778" s="42"/>
      <c r="V778" s="42"/>
      <c r="W778" s="42"/>
      <c r="X778" s="81"/>
    </row>
    <row r="779" spans="2:24" x14ac:dyDescent="0.25">
      <c r="B779" s="2">
        <v>1</v>
      </c>
      <c r="C779" s="1">
        <f t="shared" si="94"/>
        <v>15.117647058823479</v>
      </c>
      <c r="D779" s="1">
        <f t="shared" si="92"/>
        <v>1</v>
      </c>
      <c r="E779" s="1">
        <f t="shared" si="95"/>
        <v>0</v>
      </c>
      <c r="F779" s="31">
        <f t="shared" si="93"/>
        <v>14.6</v>
      </c>
      <c r="G779" s="31">
        <f t="shared" ref="G779:G842" ca="1" si="97">IF(D779=1, AVERAGE(OFFSET(F779,-$L$27,0,$L$27,1)),0)</f>
        <v>14.6</v>
      </c>
      <c r="H779" s="30">
        <f t="shared" ref="H779:H842" ca="1" si="98">IF(D779=0, AVERAGE(OFFSET(F779,-$L$28,0,$L$28,1)),0)</f>
        <v>0</v>
      </c>
      <c r="I779" s="31">
        <f t="shared" ref="I779:I842" ca="1" si="99">G779+H779</f>
        <v>14.6</v>
      </c>
      <c r="Q779" s="80"/>
      <c r="R779" s="42"/>
      <c r="S779" s="90">
        <f t="shared" si="96"/>
        <v>72.100000000000179</v>
      </c>
      <c r="T779" s="42"/>
      <c r="U779" s="42"/>
      <c r="V779" s="42"/>
      <c r="W779" s="42"/>
      <c r="X779" s="81"/>
    </row>
    <row r="780" spans="2:24" x14ac:dyDescent="0.25">
      <c r="B780" s="2">
        <v>1</v>
      </c>
      <c r="C780" s="1">
        <f t="shared" si="94"/>
        <v>16.117647058823479</v>
      </c>
      <c r="D780" s="1">
        <f t="shared" si="92"/>
        <v>1</v>
      </c>
      <c r="E780" s="1">
        <f t="shared" si="95"/>
        <v>0</v>
      </c>
      <c r="F780" s="31">
        <f t="shared" si="93"/>
        <v>14.6</v>
      </c>
      <c r="G780" s="31">
        <f t="shared" ca="1" si="97"/>
        <v>14.6</v>
      </c>
      <c r="H780" s="30">
        <f t="shared" ca="1" si="98"/>
        <v>0</v>
      </c>
      <c r="I780" s="31">
        <f t="shared" ca="1" si="99"/>
        <v>14.6</v>
      </c>
      <c r="Q780" s="80"/>
      <c r="R780" s="42"/>
      <c r="S780" s="90">
        <f t="shared" si="96"/>
        <v>72.200000000000173</v>
      </c>
      <c r="T780" s="42"/>
      <c r="U780" s="42"/>
      <c r="V780" s="42"/>
      <c r="W780" s="42"/>
      <c r="X780" s="81"/>
    </row>
    <row r="781" spans="2:24" x14ac:dyDescent="0.25">
      <c r="B781" s="2">
        <v>1</v>
      </c>
      <c r="C781" s="1">
        <f t="shared" si="94"/>
        <v>17.117647058823479</v>
      </c>
      <c r="D781" s="1">
        <f t="shared" si="92"/>
        <v>1</v>
      </c>
      <c r="E781" s="1">
        <f t="shared" si="95"/>
        <v>0</v>
      </c>
      <c r="F781" s="31">
        <f t="shared" si="93"/>
        <v>14.6</v>
      </c>
      <c r="G781" s="31">
        <f t="shared" ca="1" si="97"/>
        <v>14.6</v>
      </c>
      <c r="H781" s="30">
        <f t="shared" ca="1" si="98"/>
        <v>0</v>
      </c>
      <c r="I781" s="31">
        <f t="shared" ca="1" si="99"/>
        <v>14.6</v>
      </c>
      <c r="Q781" s="80"/>
      <c r="R781" s="42"/>
      <c r="S781" s="90">
        <f t="shared" si="96"/>
        <v>72.300000000000168</v>
      </c>
      <c r="T781" s="42"/>
      <c r="U781" s="42"/>
      <c r="V781" s="42"/>
      <c r="W781" s="42"/>
      <c r="X781" s="81"/>
    </row>
    <row r="782" spans="2:24" x14ac:dyDescent="0.25">
      <c r="B782" s="2">
        <v>1</v>
      </c>
      <c r="C782" s="1">
        <f t="shared" si="94"/>
        <v>18.117647058823479</v>
      </c>
      <c r="D782" s="1">
        <f t="shared" si="92"/>
        <v>1</v>
      </c>
      <c r="E782" s="1">
        <f t="shared" si="95"/>
        <v>0</v>
      </c>
      <c r="F782" s="31">
        <f t="shared" si="93"/>
        <v>14.6</v>
      </c>
      <c r="G782" s="31">
        <f t="shared" ca="1" si="97"/>
        <v>14.6</v>
      </c>
      <c r="H782" s="30">
        <f t="shared" ca="1" si="98"/>
        <v>0</v>
      </c>
      <c r="I782" s="31">
        <f t="shared" ca="1" si="99"/>
        <v>14.6</v>
      </c>
      <c r="Q782" s="80"/>
      <c r="R782" s="42"/>
      <c r="S782" s="90">
        <f t="shared" si="96"/>
        <v>72.400000000000162</v>
      </c>
      <c r="T782" s="42"/>
      <c r="U782" s="42"/>
      <c r="V782" s="42"/>
      <c r="W782" s="42"/>
      <c r="X782" s="81"/>
    </row>
    <row r="783" spans="2:24" x14ac:dyDescent="0.25">
      <c r="B783" s="2">
        <v>1</v>
      </c>
      <c r="C783" s="1">
        <f t="shared" si="94"/>
        <v>19.117647058823479</v>
      </c>
      <c r="D783" s="1">
        <f t="shared" si="92"/>
        <v>1</v>
      </c>
      <c r="E783" s="1">
        <f t="shared" si="95"/>
        <v>0</v>
      </c>
      <c r="F783" s="31">
        <f t="shared" si="93"/>
        <v>14.6</v>
      </c>
      <c r="G783" s="31">
        <f t="shared" ca="1" si="97"/>
        <v>14.6</v>
      </c>
      <c r="H783" s="30">
        <f t="shared" ca="1" si="98"/>
        <v>0</v>
      </c>
      <c r="I783" s="31">
        <f t="shared" ca="1" si="99"/>
        <v>14.6</v>
      </c>
      <c r="Q783" s="80"/>
      <c r="R783" s="42"/>
      <c r="S783" s="90">
        <f t="shared" si="96"/>
        <v>72.500000000000156</v>
      </c>
      <c r="T783" s="42"/>
      <c r="U783" s="42"/>
      <c r="V783" s="42"/>
      <c r="W783" s="42"/>
      <c r="X783" s="81"/>
    </row>
    <row r="784" spans="2:24" x14ac:dyDescent="0.25">
      <c r="B784" s="2">
        <v>1</v>
      </c>
      <c r="C784" s="1">
        <f t="shared" si="94"/>
        <v>20.117647058823479</v>
      </c>
      <c r="D784" s="1">
        <f t="shared" si="92"/>
        <v>1</v>
      </c>
      <c r="E784" s="1">
        <f t="shared" si="95"/>
        <v>0</v>
      </c>
      <c r="F784" s="31">
        <f t="shared" si="93"/>
        <v>14.6</v>
      </c>
      <c r="G784" s="31">
        <f t="shared" ca="1" si="97"/>
        <v>14.6</v>
      </c>
      <c r="H784" s="30">
        <f t="shared" ca="1" si="98"/>
        <v>0</v>
      </c>
      <c r="I784" s="31">
        <f t="shared" ca="1" si="99"/>
        <v>14.6</v>
      </c>
      <c r="Q784" s="80"/>
      <c r="R784" s="42"/>
      <c r="S784" s="90">
        <f t="shared" si="96"/>
        <v>72.600000000000151</v>
      </c>
      <c r="T784" s="42"/>
      <c r="U784" s="42"/>
      <c r="V784" s="42"/>
      <c r="W784" s="42"/>
      <c r="X784" s="81"/>
    </row>
    <row r="785" spans="2:24" x14ac:dyDescent="0.25">
      <c r="B785" s="2">
        <v>1</v>
      </c>
      <c r="C785" s="1">
        <f t="shared" si="94"/>
        <v>21.117647058823479</v>
      </c>
      <c r="D785" s="1">
        <f t="shared" si="92"/>
        <v>1</v>
      </c>
      <c r="E785" s="1">
        <f t="shared" si="95"/>
        <v>0</v>
      </c>
      <c r="F785" s="31">
        <f t="shared" si="93"/>
        <v>14.6</v>
      </c>
      <c r="G785" s="31">
        <f t="shared" ca="1" si="97"/>
        <v>14.6</v>
      </c>
      <c r="H785" s="30">
        <f t="shared" ca="1" si="98"/>
        <v>0</v>
      </c>
      <c r="I785" s="31">
        <f t="shared" ca="1" si="99"/>
        <v>14.6</v>
      </c>
      <c r="Q785" s="80"/>
      <c r="R785" s="42"/>
      <c r="S785" s="90">
        <f t="shared" si="96"/>
        <v>72.700000000000145</v>
      </c>
      <c r="T785" s="42"/>
      <c r="U785" s="42"/>
      <c r="V785" s="42"/>
      <c r="W785" s="42"/>
      <c r="X785" s="81"/>
    </row>
    <row r="786" spans="2:24" x14ac:dyDescent="0.25">
      <c r="B786" s="2">
        <v>1</v>
      </c>
      <c r="C786" s="1">
        <f t="shared" si="94"/>
        <v>22.117647058823479</v>
      </c>
      <c r="D786" s="1">
        <f t="shared" si="92"/>
        <v>1</v>
      </c>
      <c r="E786" s="1">
        <f t="shared" si="95"/>
        <v>0</v>
      </c>
      <c r="F786" s="31">
        <f t="shared" si="93"/>
        <v>14.6</v>
      </c>
      <c r="G786" s="31">
        <f t="shared" ca="1" si="97"/>
        <v>14.6</v>
      </c>
      <c r="H786" s="30">
        <f t="shared" ca="1" si="98"/>
        <v>0</v>
      </c>
      <c r="I786" s="31">
        <f t="shared" ca="1" si="99"/>
        <v>14.6</v>
      </c>
      <c r="Q786" s="80"/>
      <c r="R786" s="42"/>
      <c r="S786" s="90">
        <f t="shared" si="96"/>
        <v>72.800000000000139</v>
      </c>
      <c r="T786" s="42"/>
      <c r="U786" s="42"/>
      <c r="V786" s="42"/>
      <c r="W786" s="42"/>
      <c r="X786" s="81"/>
    </row>
    <row r="787" spans="2:24" x14ac:dyDescent="0.25">
      <c r="B787" s="2">
        <v>1</v>
      </c>
      <c r="C787" s="1">
        <f t="shared" si="94"/>
        <v>23.117647058823479</v>
      </c>
      <c r="D787" s="1">
        <f t="shared" si="92"/>
        <v>0</v>
      </c>
      <c r="E787" s="1">
        <f t="shared" si="95"/>
        <v>1</v>
      </c>
      <c r="F787" s="31">
        <f t="shared" si="93"/>
        <v>6.4</v>
      </c>
      <c r="G787" s="31">
        <f t="shared" ca="1" si="97"/>
        <v>0</v>
      </c>
      <c r="H787" s="30">
        <f t="shared" ca="1" si="98"/>
        <v>14.6</v>
      </c>
      <c r="I787" s="31">
        <f t="shared" ca="1" si="99"/>
        <v>14.6</v>
      </c>
      <c r="Q787" s="80"/>
      <c r="R787" s="42"/>
      <c r="S787" s="90">
        <f t="shared" si="96"/>
        <v>72.900000000000134</v>
      </c>
      <c r="T787" s="42"/>
      <c r="U787" s="42"/>
      <c r="V787" s="42"/>
      <c r="W787" s="42"/>
      <c r="X787" s="81"/>
    </row>
    <row r="788" spans="2:24" x14ac:dyDescent="0.25">
      <c r="B788" s="2">
        <v>1</v>
      </c>
      <c r="C788" s="1">
        <f t="shared" si="94"/>
        <v>24.117647058823479</v>
      </c>
      <c r="D788" s="1">
        <f t="shared" si="92"/>
        <v>0</v>
      </c>
      <c r="E788" s="1">
        <f t="shared" si="95"/>
        <v>1</v>
      </c>
      <c r="F788" s="31">
        <f t="shared" si="93"/>
        <v>6.4</v>
      </c>
      <c r="G788" s="31">
        <f t="shared" ca="1" si="97"/>
        <v>0</v>
      </c>
      <c r="H788" s="30">
        <f t="shared" ca="1" si="98"/>
        <v>6.4</v>
      </c>
      <c r="I788" s="31">
        <f t="shared" ca="1" si="99"/>
        <v>6.4</v>
      </c>
      <c r="Q788" s="80"/>
      <c r="R788" s="42"/>
      <c r="S788" s="90">
        <f t="shared" si="96"/>
        <v>73.000000000000128</v>
      </c>
      <c r="T788" s="42"/>
      <c r="U788" s="42"/>
      <c r="V788" s="42"/>
      <c r="W788" s="42"/>
      <c r="X788" s="81"/>
    </row>
    <row r="789" spans="2:24" x14ac:dyDescent="0.25">
      <c r="B789" s="2">
        <v>1</v>
      </c>
      <c r="C789" s="1">
        <f t="shared" si="94"/>
        <v>25.117647058823479</v>
      </c>
      <c r="D789" s="1">
        <f t="shared" si="92"/>
        <v>0</v>
      </c>
      <c r="E789" s="1">
        <f t="shared" si="95"/>
        <v>1</v>
      </c>
      <c r="F789" s="31">
        <f t="shared" si="93"/>
        <v>6.4</v>
      </c>
      <c r="G789" s="31">
        <f t="shared" ca="1" si="97"/>
        <v>0</v>
      </c>
      <c r="H789" s="30">
        <f t="shared" ca="1" si="98"/>
        <v>6.4</v>
      </c>
      <c r="I789" s="31">
        <f t="shared" ca="1" si="99"/>
        <v>6.4</v>
      </c>
      <c r="Q789" s="80"/>
      <c r="R789" s="42"/>
      <c r="S789" s="90">
        <f t="shared" si="96"/>
        <v>73.100000000000122</v>
      </c>
      <c r="T789" s="42"/>
      <c r="U789" s="42"/>
      <c r="V789" s="42"/>
      <c r="W789" s="42"/>
      <c r="X789" s="81"/>
    </row>
    <row r="790" spans="2:24" x14ac:dyDescent="0.25">
      <c r="B790" s="2">
        <v>1</v>
      </c>
      <c r="C790" s="1">
        <f t="shared" si="94"/>
        <v>26.117647058823479</v>
      </c>
      <c r="D790" s="1">
        <f t="shared" si="92"/>
        <v>0</v>
      </c>
      <c r="E790" s="1">
        <f t="shared" si="95"/>
        <v>1</v>
      </c>
      <c r="F790" s="31">
        <f t="shared" si="93"/>
        <v>6.4</v>
      </c>
      <c r="G790" s="31">
        <f t="shared" ca="1" si="97"/>
        <v>0</v>
      </c>
      <c r="H790" s="30">
        <f t="shared" ca="1" si="98"/>
        <v>6.4</v>
      </c>
      <c r="I790" s="31">
        <f t="shared" ca="1" si="99"/>
        <v>6.4</v>
      </c>
      <c r="Q790" s="80"/>
      <c r="R790" s="42"/>
      <c r="S790" s="90">
        <f t="shared" si="96"/>
        <v>73.200000000000117</v>
      </c>
      <c r="T790" s="42"/>
      <c r="U790" s="42"/>
      <c r="V790" s="42"/>
      <c r="W790" s="42"/>
      <c r="X790" s="81"/>
    </row>
    <row r="791" spans="2:24" x14ac:dyDescent="0.25">
      <c r="B791" s="2">
        <v>1</v>
      </c>
      <c r="C791" s="1">
        <f t="shared" si="94"/>
        <v>27.117647058823479</v>
      </c>
      <c r="D791" s="1">
        <f t="shared" si="92"/>
        <v>0</v>
      </c>
      <c r="E791" s="1">
        <f t="shared" si="95"/>
        <v>1</v>
      </c>
      <c r="F791" s="31">
        <f t="shared" si="93"/>
        <v>6.4</v>
      </c>
      <c r="G791" s="31">
        <f t="shared" ca="1" si="97"/>
        <v>0</v>
      </c>
      <c r="H791" s="30">
        <f t="shared" ca="1" si="98"/>
        <v>6.4</v>
      </c>
      <c r="I791" s="31">
        <f t="shared" ca="1" si="99"/>
        <v>6.4</v>
      </c>
      <c r="Q791" s="80"/>
      <c r="R791" s="42"/>
      <c r="S791" s="90">
        <f t="shared" si="96"/>
        <v>73.300000000000111</v>
      </c>
      <c r="T791" s="42"/>
      <c r="U791" s="42"/>
      <c r="V791" s="42"/>
      <c r="W791" s="42"/>
      <c r="X791" s="81"/>
    </row>
    <row r="792" spans="2:24" x14ac:dyDescent="0.25">
      <c r="B792" s="2">
        <v>1</v>
      </c>
      <c r="C792" s="1">
        <f t="shared" si="94"/>
        <v>28.117647058823479</v>
      </c>
      <c r="D792" s="1">
        <f t="shared" si="92"/>
        <v>0</v>
      </c>
      <c r="E792" s="1">
        <f t="shared" si="95"/>
        <v>1</v>
      </c>
      <c r="F792" s="31">
        <f t="shared" si="93"/>
        <v>6.4</v>
      </c>
      <c r="G792" s="31">
        <f t="shared" ca="1" si="97"/>
        <v>0</v>
      </c>
      <c r="H792" s="30">
        <f t="shared" ca="1" si="98"/>
        <v>6.4</v>
      </c>
      <c r="I792" s="31">
        <f t="shared" ca="1" si="99"/>
        <v>6.4</v>
      </c>
      <c r="Q792" s="80"/>
      <c r="R792" s="42"/>
      <c r="S792" s="90">
        <f t="shared" si="96"/>
        <v>73.400000000000105</v>
      </c>
      <c r="T792" s="42"/>
      <c r="U792" s="42"/>
      <c r="V792" s="42"/>
      <c r="W792" s="42"/>
      <c r="X792" s="81"/>
    </row>
    <row r="793" spans="2:24" x14ac:dyDescent="0.25">
      <c r="B793" s="2">
        <v>1</v>
      </c>
      <c r="C793" s="1">
        <f t="shared" si="94"/>
        <v>29.117647058823479</v>
      </c>
      <c r="D793" s="1">
        <f t="shared" si="92"/>
        <v>0</v>
      </c>
      <c r="E793" s="1">
        <f t="shared" si="95"/>
        <v>1</v>
      </c>
      <c r="F793" s="31">
        <f t="shared" si="93"/>
        <v>6.4</v>
      </c>
      <c r="G793" s="31">
        <f t="shared" ca="1" si="97"/>
        <v>0</v>
      </c>
      <c r="H793" s="30">
        <f t="shared" ca="1" si="98"/>
        <v>6.4</v>
      </c>
      <c r="I793" s="31">
        <f t="shared" ca="1" si="99"/>
        <v>6.4</v>
      </c>
      <c r="Q793" s="80"/>
      <c r="R793" s="42"/>
      <c r="S793" s="90">
        <f t="shared" si="96"/>
        <v>73.500000000000099</v>
      </c>
      <c r="T793" s="42"/>
      <c r="U793" s="42"/>
      <c r="V793" s="42"/>
      <c r="W793" s="42"/>
      <c r="X793" s="81"/>
    </row>
    <row r="794" spans="2:24" x14ac:dyDescent="0.25">
      <c r="B794" s="2">
        <v>1</v>
      </c>
      <c r="C794" s="1">
        <f t="shared" si="94"/>
        <v>30.117647058823479</v>
      </c>
      <c r="D794" s="1">
        <f t="shared" si="92"/>
        <v>0</v>
      </c>
      <c r="E794" s="1">
        <f t="shared" si="95"/>
        <v>1</v>
      </c>
      <c r="F794" s="31">
        <f t="shared" si="93"/>
        <v>6.4</v>
      </c>
      <c r="G794" s="31">
        <f t="shared" ca="1" si="97"/>
        <v>0</v>
      </c>
      <c r="H794" s="30">
        <f t="shared" ca="1" si="98"/>
        <v>6.4</v>
      </c>
      <c r="I794" s="31">
        <f t="shared" ca="1" si="99"/>
        <v>6.4</v>
      </c>
      <c r="Q794" s="80"/>
      <c r="R794" s="42"/>
      <c r="S794" s="90">
        <f t="shared" si="96"/>
        <v>73.600000000000094</v>
      </c>
      <c r="T794" s="42"/>
      <c r="U794" s="42"/>
      <c r="V794" s="42"/>
      <c r="W794" s="42"/>
      <c r="X794" s="81"/>
    </row>
    <row r="795" spans="2:24" x14ac:dyDescent="0.25">
      <c r="B795" s="2">
        <v>1</v>
      </c>
      <c r="C795" s="1">
        <f t="shared" si="94"/>
        <v>31.117647058823479</v>
      </c>
      <c r="D795" s="1">
        <f t="shared" si="92"/>
        <v>0</v>
      </c>
      <c r="E795" s="1">
        <f t="shared" si="95"/>
        <v>1</v>
      </c>
      <c r="F795" s="31">
        <f t="shared" si="93"/>
        <v>6.4</v>
      </c>
      <c r="G795" s="31">
        <f t="shared" ca="1" si="97"/>
        <v>0</v>
      </c>
      <c r="H795" s="30">
        <f t="shared" ca="1" si="98"/>
        <v>6.4</v>
      </c>
      <c r="I795" s="31">
        <f t="shared" ca="1" si="99"/>
        <v>6.4</v>
      </c>
      <c r="Q795" s="80"/>
      <c r="R795" s="42"/>
      <c r="S795" s="90">
        <f t="shared" si="96"/>
        <v>73.700000000000088</v>
      </c>
      <c r="T795" s="42"/>
      <c r="U795" s="42"/>
      <c r="V795" s="42"/>
      <c r="W795" s="42"/>
      <c r="X795" s="81"/>
    </row>
    <row r="796" spans="2:24" x14ac:dyDescent="0.25">
      <c r="B796" s="2">
        <v>1</v>
      </c>
      <c r="C796" s="1">
        <f t="shared" si="94"/>
        <v>32.117647058823479</v>
      </c>
      <c r="D796" s="1">
        <f t="shared" si="92"/>
        <v>0</v>
      </c>
      <c r="E796" s="1">
        <f t="shared" si="95"/>
        <v>1</v>
      </c>
      <c r="F796" s="31">
        <f t="shared" si="93"/>
        <v>6.4</v>
      </c>
      <c r="G796" s="31">
        <f t="shared" ca="1" si="97"/>
        <v>0</v>
      </c>
      <c r="H796" s="30">
        <f t="shared" ca="1" si="98"/>
        <v>6.4</v>
      </c>
      <c r="I796" s="31">
        <f t="shared" ca="1" si="99"/>
        <v>6.4</v>
      </c>
      <c r="Q796" s="80"/>
      <c r="R796" s="42"/>
      <c r="S796" s="90">
        <f t="shared" si="96"/>
        <v>73.800000000000082</v>
      </c>
      <c r="T796" s="42"/>
      <c r="U796" s="42"/>
      <c r="V796" s="42"/>
      <c r="W796" s="42"/>
      <c r="X796" s="81"/>
    </row>
    <row r="797" spans="2:24" x14ac:dyDescent="0.25">
      <c r="B797" s="2">
        <v>1</v>
      </c>
      <c r="C797" s="1">
        <f t="shared" si="94"/>
        <v>33.117647058823479</v>
      </c>
      <c r="D797" s="1">
        <f t="shared" si="92"/>
        <v>0</v>
      </c>
      <c r="E797" s="1">
        <f t="shared" si="95"/>
        <v>1</v>
      </c>
      <c r="F797" s="31">
        <f t="shared" si="93"/>
        <v>6.4</v>
      </c>
      <c r="G797" s="31">
        <f t="shared" ca="1" si="97"/>
        <v>0</v>
      </c>
      <c r="H797" s="30">
        <f t="shared" ca="1" si="98"/>
        <v>6.4</v>
      </c>
      <c r="I797" s="31">
        <f t="shared" ca="1" si="99"/>
        <v>6.4</v>
      </c>
      <c r="Q797" s="80"/>
      <c r="R797" s="42"/>
      <c r="S797" s="90">
        <f t="shared" si="96"/>
        <v>73.900000000000077</v>
      </c>
      <c r="T797" s="42"/>
      <c r="U797" s="42"/>
      <c r="V797" s="42"/>
      <c r="W797" s="42"/>
      <c r="X797" s="81"/>
    </row>
    <row r="798" spans="2:24" x14ac:dyDescent="0.25">
      <c r="B798" s="2">
        <v>1</v>
      </c>
      <c r="C798" s="1">
        <f t="shared" si="94"/>
        <v>34.117647058823479</v>
      </c>
      <c r="D798" s="1">
        <f t="shared" si="92"/>
        <v>0</v>
      </c>
      <c r="E798" s="1">
        <f t="shared" si="95"/>
        <v>1</v>
      </c>
      <c r="F798" s="31">
        <f t="shared" si="93"/>
        <v>6.4</v>
      </c>
      <c r="G798" s="31">
        <f t="shared" ca="1" si="97"/>
        <v>0</v>
      </c>
      <c r="H798" s="30">
        <f t="shared" ca="1" si="98"/>
        <v>6.4</v>
      </c>
      <c r="I798" s="31">
        <f t="shared" ca="1" si="99"/>
        <v>6.4</v>
      </c>
      <c r="Q798" s="80"/>
      <c r="R798" s="42"/>
      <c r="S798" s="90">
        <f t="shared" si="96"/>
        <v>74.000000000000071</v>
      </c>
      <c r="T798" s="42"/>
      <c r="U798" s="42"/>
      <c r="V798" s="42"/>
      <c r="W798" s="42"/>
      <c r="X798" s="81"/>
    </row>
    <row r="799" spans="2:24" x14ac:dyDescent="0.25">
      <c r="B799" s="2">
        <v>1</v>
      </c>
      <c r="C799" s="1">
        <f t="shared" si="94"/>
        <v>35.117647058823479</v>
      </c>
      <c r="D799" s="1">
        <f t="shared" si="92"/>
        <v>0</v>
      </c>
      <c r="E799" s="1">
        <f t="shared" si="95"/>
        <v>1</v>
      </c>
      <c r="F799" s="31">
        <f t="shared" si="93"/>
        <v>6.4</v>
      </c>
      <c r="G799" s="31">
        <f t="shared" ca="1" si="97"/>
        <v>0</v>
      </c>
      <c r="H799" s="30">
        <f t="shared" ca="1" si="98"/>
        <v>6.4</v>
      </c>
      <c r="I799" s="31">
        <f t="shared" ca="1" si="99"/>
        <v>6.4</v>
      </c>
      <c r="Q799" s="80"/>
      <c r="R799" s="42"/>
      <c r="S799" s="90">
        <f t="shared" si="96"/>
        <v>74.100000000000065</v>
      </c>
      <c r="T799" s="42"/>
      <c r="U799" s="42"/>
      <c r="V799" s="42"/>
      <c r="W799" s="42"/>
      <c r="X799" s="81"/>
    </row>
    <row r="800" spans="2:24" x14ac:dyDescent="0.25">
      <c r="B800" s="2">
        <v>1</v>
      </c>
      <c r="C800" s="1">
        <f t="shared" si="94"/>
        <v>0.82352941176465322</v>
      </c>
      <c r="D800" s="1">
        <f t="shared" si="92"/>
        <v>1</v>
      </c>
      <c r="E800" s="1">
        <f t="shared" si="95"/>
        <v>0</v>
      </c>
      <c r="F800" s="31">
        <f t="shared" si="93"/>
        <v>14.6</v>
      </c>
      <c r="G800" s="31">
        <f t="shared" ca="1" si="97"/>
        <v>6.4</v>
      </c>
      <c r="H800" s="30">
        <f t="shared" ca="1" si="98"/>
        <v>0</v>
      </c>
      <c r="I800" s="31">
        <f t="shared" ca="1" si="99"/>
        <v>6.4</v>
      </c>
      <c r="Q800" s="80"/>
      <c r="R800" s="42"/>
      <c r="S800" s="90">
        <f t="shared" si="96"/>
        <v>74.20000000000006</v>
      </c>
      <c r="T800" s="42"/>
      <c r="U800" s="42"/>
      <c r="V800" s="42"/>
      <c r="W800" s="42"/>
      <c r="X800" s="81"/>
    </row>
    <row r="801" spans="2:24" x14ac:dyDescent="0.25">
      <c r="B801" s="2">
        <v>1</v>
      </c>
      <c r="C801" s="1">
        <f t="shared" si="94"/>
        <v>1.8235294117646532</v>
      </c>
      <c r="D801" s="1">
        <f t="shared" si="92"/>
        <v>1</v>
      </c>
      <c r="E801" s="1">
        <f t="shared" si="95"/>
        <v>0</v>
      </c>
      <c r="F801" s="31">
        <f t="shared" si="93"/>
        <v>14.6</v>
      </c>
      <c r="G801" s="31">
        <f t="shared" ca="1" si="97"/>
        <v>8.4500000000000011</v>
      </c>
      <c r="H801" s="30">
        <f t="shared" ca="1" si="98"/>
        <v>0</v>
      </c>
      <c r="I801" s="31">
        <f t="shared" ca="1" si="99"/>
        <v>8.4500000000000011</v>
      </c>
      <c r="Q801" s="80"/>
      <c r="R801" s="42"/>
      <c r="S801" s="90">
        <f t="shared" si="96"/>
        <v>74.300000000000054</v>
      </c>
      <c r="T801" s="42"/>
      <c r="U801" s="42"/>
      <c r="V801" s="42"/>
      <c r="W801" s="42"/>
      <c r="X801" s="81"/>
    </row>
    <row r="802" spans="2:24" x14ac:dyDescent="0.25">
      <c r="B802" s="2">
        <v>1</v>
      </c>
      <c r="C802" s="1">
        <f t="shared" si="94"/>
        <v>2.8235294117646532</v>
      </c>
      <c r="D802" s="1">
        <f t="shared" si="92"/>
        <v>1</v>
      </c>
      <c r="E802" s="1">
        <f t="shared" si="95"/>
        <v>0</v>
      </c>
      <c r="F802" s="31">
        <f t="shared" si="93"/>
        <v>14.6</v>
      </c>
      <c r="G802" s="31">
        <f t="shared" ca="1" si="97"/>
        <v>10.5</v>
      </c>
      <c r="H802" s="30">
        <f t="shared" ca="1" si="98"/>
        <v>0</v>
      </c>
      <c r="I802" s="31">
        <f t="shared" ca="1" si="99"/>
        <v>10.5</v>
      </c>
      <c r="Q802" s="80"/>
      <c r="R802" s="42"/>
      <c r="S802" s="90">
        <f t="shared" si="96"/>
        <v>74.400000000000048</v>
      </c>
      <c r="T802" s="42"/>
      <c r="U802" s="42"/>
      <c r="V802" s="42"/>
      <c r="W802" s="42"/>
      <c r="X802" s="81"/>
    </row>
    <row r="803" spans="2:24" x14ac:dyDescent="0.25">
      <c r="B803" s="2">
        <v>1</v>
      </c>
      <c r="C803" s="1">
        <f t="shared" si="94"/>
        <v>3.8235294117646532</v>
      </c>
      <c r="D803" s="1">
        <f t="shared" si="92"/>
        <v>1</v>
      </c>
      <c r="E803" s="1">
        <f t="shared" si="95"/>
        <v>0</v>
      </c>
      <c r="F803" s="31">
        <f t="shared" si="93"/>
        <v>14.6</v>
      </c>
      <c r="G803" s="31">
        <f t="shared" ca="1" si="97"/>
        <v>12.55</v>
      </c>
      <c r="H803" s="30">
        <f t="shared" ca="1" si="98"/>
        <v>0</v>
      </c>
      <c r="I803" s="31">
        <f t="shared" ca="1" si="99"/>
        <v>12.55</v>
      </c>
      <c r="Q803" s="80"/>
      <c r="R803" s="42"/>
      <c r="S803" s="90">
        <f t="shared" si="96"/>
        <v>74.500000000000043</v>
      </c>
      <c r="T803" s="42"/>
      <c r="U803" s="42"/>
      <c r="V803" s="42"/>
      <c r="W803" s="42"/>
      <c r="X803" s="81"/>
    </row>
    <row r="804" spans="2:24" x14ac:dyDescent="0.25">
      <c r="B804" s="2">
        <v>1</v>
      </c>
      <c r="C804" s="1">
        <f t="shared" si="94"/>
        <v>4.8235294117646532</v>
      </c>
      <c r="D804" s="1">
        <f t="shared" si="92"/>
        <v>1</v>
      </c>
      <c r="E804" s="1">
        <f t="shared" si="95"/>
        <v>0</v>
      </c>
      <c r="F804" s="31">
        <f t="shared" si="93"/>
        <v>14.6</v>
      </c>
      <c r="G804" s="31">
        <f t="shared" ca="1" si="97"/>
        <v>14.6</v>
      </c>
      <c r="H804" s="30">
        <f t="shared" ca="1" si="98"/>
        <v>0</v>
      </c>
      <c r="I804" s="31">
        <f t="shared" ca="1" si="99"/>
        <v>14.6</v>
      </c>
      <c r="Q804" s="80"/>
      <c r="R804" s="42"/>
      <c r="S804" s="90">
        <f t="shared" si="96"/>
        <v>74.600000000000037</v>
      </c>
      <c r="T804" s="42"/>
      <c r="U804" s="42"/>
      <c r="V804" s="42"/>
      <c r="W804" s="42"/>
      <c r="X804" s="81"/>
    </row>
    <row r="805" spans="2:24" x14ac:dyDescent="0.25">
      <c r="B805" s="2">
        <v>1</v>
      </c>
      <c r="C805" s="1">
        <f t="shared" si="94"/>
        <v>5.8235294117646532</v>
      </c>
      <c r="D805" s="1">
        <f t="shared" si="92"/>
        <v>1</v>
      </c>
      <c r="E805" s="1">
        <f t="shared" si="95"/>
        <v>0</v>
      </c>
      <c r="F805" s="31">
        <f t="shared" si="93"/>
        <v>14.6</v>
      </c>
      <c r="G805" s="31">
        <f t="shared" ca="1" si="97"/>
        <v>14.6</v>
      </c>
      <c r="H805" s="30">
        <f t="shared" ca="1" si="98"/>
        <v>0</v>
      </c>
      <c r="I805" s="31">
        <f t="shared" ca="1" si="99"/>
        <v>14.6</v>
      </c>
      <c r="Q805" s="80"/>
      <c r="R805" s="42"/>
      <c r="S805" s="90">
        <f t="shared" si="96"/>
        <v>74.700000000000031</v>
      </c>
      <c r="T805" s="42"/>
      <c r="U805" s="42"/>
      <c r="V805" s="42"/>
      <c r="W805" s="42"/>
      <c r="X805" s="81"/>
    </row>
    <row r="806" spans="2:24" x14ac:dyDescent="0.25">
      <c r="B806" s="2">
        <v>1</v>
      </c>
      <c r="C806" s="1">
        <f t="shared" si="94"/>
        <v>6.8235294117646532</v>
      </c>
      <c r="D806" s="1">
        <f t="shared" si="92"/>
        <v>1</v>
      </c>
      <c r="E806" s="1">
        <f t="shared" si="95"/>
        <v>0</v>
      </c>
      <c r="F806" s="31">
        <f t="shared" si="93"/>
        <v>14.6</v>
      </c>
      <c r="G806" s="31">
        <f t="shared" ca="1" si="97"/>
        <v>14.6</v>
      </c>
      <c r="H806" s="30">
        <f t="shared" ca="1" si="98"/>
        <v>0</v>
      </c>
      <c r="I806" s="31">
        <f t="shared" ca="1" si="99"/>
        <v>14.6</v>
      </c>
      <c r="Q806" s="80"/>
      <c r="R806" s="42"/>
      <c r="S806" s="90">
        <f t="shared" si="96"/>
        <v>74.800000000000026</v>
      </c>
      <c r="T806" s="42"/>
      <c r="U806" s="42"/>
      <c r="V806" s="42"/>
      <c r="W806" s="42"/>
      <c r="X806" s="81"/>
    </row>
    <row r="807" spans="2:24" x14ac:dyDescent="0.25">
      <c r="B807" s="2">
        <v>1</v>
      </c>
      <c r="C807" s="1">
        <f t="shared" si="94"/>
        <v>7.8235294117646532</v>
      </c>
      <c r="D807" s="1">
        <f t="shared" si="92"/>
        <v>1</v>
      </c>
      <c r="E807" s="1">
        <f t="shared" si="95"/>
        <v>0</v>
      </c>
      <c r="F807" s="31">
        <f t="shared" si="93"/>
        <v>14.6</v>
      </c>
      <c r="G807" s="31">
        <f t="shared" ca="1" si="97"/>
        <v>14.6</v>
      </c>
      <c r="H807" s="30">
        <f t="shared" ca="1" si="98"/>
        <v>0</v>
      </c>
      <c r="I807" s="31">
        <f t="shared" ca="1" si="99"/>
        <v>14.6</v>
      </c>
      <c r="Q807" s="80"/>
      <c r="R807" s="42"/>
      <c r="S807" s="90">
        <f t="shared" si="96"/>
        <v>74.90000000000002</v>
      </c>
      <c r="T807" s="42"/>
      <c r="U807" s="42"/>
      <c r="V807" s="42"/>
      <c r="W807" s="42"/>
      <c r="X807" s="81"/>
    </row>
    <row r="808" spans="2:24" x14ac:dyDescent="0.25">
      <c r="B808" s="2">
        <v>1</v>
      </c>
      <c r="C808" s="1">
        <f t="shared" si="94"/>
        <v>8.8235294117646532</v>
      </c>
      <c r="D808" s="1">
        <f t="shared" si="92"/>
        <v>1</v>
      </c>
      <c r="E808" s="1">
        <f t="shared" si="95"/>
        <v>0</v>
      </c>
      <c r="F808" s="31">
        <f t="shared" si="93"/>
        <v>14.6</v>
      </c>
      <c r="G808" s="31">
        <f t="shared" ca="1" si="97"/>
        <v>14.6</v>
      </c>
      <c r="H808" s="30">
        <f t="shared" ca="1" si="98"/>
        <v>0</v>
      </c>
      <c r="I808" s="31">
        <f t="shared" ca="1" si="99"/>
        <v>14.6</v>
      </c>
      <c r="Q808" s="80"/>
      <c r="R808" s="42"/>
      <c r="S808" s="90">
        <f t="shared" si="96"/>
        <v>75.000000000000014</v>
      </c>
      <c r="T808" s="42"/>
      <c r="U808" s="42"/>
      <c r="V808" s="42"/>
      <c r="W808" s="42"/>
      <c r="X808" s="81"/>
    </row>
    <row r="809" spans="2:24" x14ac:dyDescent="0.25">
      <c r="B809" s="2">
        <v>1</v>
      </c>
      <c r="C809" s="1">
        <f t="shared" si="94"/>
        <v>9.8235294117646532</v>
      </c>
      <c r="D809" s="1">
        <f t="shared" si="92"/>
        <v>1</v>
      </c>
      <c r="E809" s="1">
        <f t="shared" si="95"/>
        <v>0</v>
      </c>
      <c r="F809" s="31">
        <f t="shared" si="93"/>
        <v>14.6</v>
      </c>
      <c r="G809" s="31">
        <f t="shared" ca="1" si="97"/>
        <v>14.6</v>
      </c>
      <c r="H809" s="30">
        <f t="shared" ca="1" si="98"/>
        <v>0</v>
      </c>
      <c r="I809" s="31">
        <f t="shared" ca="1" si="99"/>
        <v>14.6</v>
      </c>
      <c r="Q809" s="80"/>
      <c r="R809" s="42"/>
      <c r="S809" s="90">
        <f t="shared" si="96"/>
        <v>75.100000000000009</v>
      </c>
      <c r="T809" s="42"/>
      <c r="U809" s="42"/>
      <c r="V809" s="42"/>
      <c r="W809" s="42"/>
      <c r="X809" s="81"/>
    </row>
    <row r="810" spans="2:24" x14ac:dyDescent="0.25">
      <c r="B810" s="2">
        <v>1</v>
      </c>
      <c r="C810" s="1">
        <f t="shared" si="94"/>
        <v>10.823529411764653</v>
      </c>
      <c r="D810" s="1">
        <f t="shared" si="92"/>
        <v>1</v>
      </c>
      <c r="E810" s="1">
        <f t="shared" si="95"/>
        <v>0</v>
      </c>
      <c r="F810" s="31">
        <f t="shared" si="93"/>
        <v>14.6</v>
      </c>
      <c r="G810" s="31">
        <f t="shared" ca="1" si="97"/>
        <v>14.6</v>
      </c>
      <c r="H810" s="30">
        <f t="shared" ca="1" si="98"/>
        <v>0</v>
      </c>
      <c r="I810" s="31">
        <f t="shared" ca="1" si="99"/>
        <v>14.6</v>
      </c>
      <c r="Q810" s="80"/>
      <c r="R810" s="42"/>
      <c r="S810" s="90">
        <f t="shared" si="96"/>
        <v>75.2</v>
      </c>
      <c r="T810" s="42"/>
      <c r="U810" s="42"/>
      <c r="V810" s="42"/>
      <c r="W810" s="42"/>
      <c r="X810" s="81"/>
    </row>
    <row r="811" spans="2:24" x14ac:dyDescent="0.25">
      <c r="B811" s="2">
        <v>1</v>
      </c>
      <c r="C811" s="1">
        <f t="shared" si="94"/>
        <v>11.823529411764653</v>
      </c>
      <c r="D811" s="1">
        <f t="shared" si="92"/>
        <v>1</v>
      </c>
      <c r="E811" s="1">
        <f t="shared" si="95"/>
        <v>0</v>
      </c>
      <c r="F811" s="31">
        <f t="shared" si="93"/>
        <v>14.6</v>
      </c>
      <c r="G811" s="31">
        <f t="shared" ca="1" si="97"/>
        <v>14.6</v>
      </c>
      <c r="H811" s="30">
        <f t="shared" ca="1" si="98"/>
        <v>0</v>
      </c>
      <c r="I811" s="31">
        <f t="shared" ca="1" si="99"/>
        <v>14.6</v>
      </c>
      <c r="Q811" s="80"/>
      <c r="R811" s="42"/>
      <c r="S811" s="90">
        <f t="shared" si="96"/>
        <v>75.3</v>
      </c>
      <c r="T811" s="42"/>
      <c r="U811" s="42"/>
      <c r="V811" s="42"/>
      <c r="W811" s="42"/>
      <c r="X811" s="81"/>
    </row>
    <row r="812" spans="2:24" x14ac:dyDescent="0.25">
      <c r="B812" s="2">
        <v>1</v>
      </c>
      <c r="C812" s="1">
        <f t="shared" si="94"/>
        <v>12.823529411764653</v>
      </c>
      <c r="D812" s="1">
        <f t="shared" si="92"/>
        <v>1</v>
      </c>
      <c r="E812" s="1">
        <f t="shared" si="95"/>
        <v>0</v>
      </c>
      <c r="F812" s="31">
        <f t="shared" si="93"/>
        <v>14.6</v>
      </c>
      <c r="G812" s="31">
        <f t="shared" ca="1" si="97"/>
        <v>14.6</v>
      </c>
      <c r="H812" s="30">
        <f t="shared" ca="1" si="98"/>
        <v>0</v>
      </c>
      <c r="I812" s="31">
        <f t="shared" ca="1" si="99"/>
        <v>14.6</v>
      </c>
      <c r="Q812" s="80"/>
      <c r="R812" s="42"/>
      <c r="S812" s="90">
        <f t="shared" si="96"/>
        <v>75.399999999999991</v>
      </c>
      <c r="T812" s="42"/>
      <c r="U812" s="42"/>
      <c r="V812" s="42"/>
      <c r="W812" s="42"/>
      <c r="X812" s="81"/>
    </row>
    <row r="813" spans="2:24" x14ac:dyDescent="0.25">
      <c r="B813" s="2">
        <v>1</v>
      </c>
      <c r="C813" s="1">
        <f t="shared" si="94"/>
        <v>13.823529411764653</v>
      </c>
      <c r="D813" s="1">
        <f t="shared" si="92"/>
        <v>1</v>
      </c>
      <c r="E813" s="1">
        <f t="shared" si="95"/>
        <v>0</v>
      </c>
      <c r="F813" s="31">
        <f t="shared" si="93"/>
        <v>14.6</v>
      </c>
      <c r="G813" s="31">
        <f t="shared" ca="1" si="97"/>
        <v>14.6</v>
      </c>
      <c r="H813" s="30">
        <f t="shared" ca="1" si="98"/>
        <v>0</v>
      </c>
      <c r="I813" s="31">
        <f t="shared" ca="1" si="99"/>
        <v>14.6</v>
      </c>
      <c r="Q813" s="80"/>
      <c r="R813" s="42"/>
      <c r="S813" s="90">
        <f t="shared" si="96"/>
        <v>75.499999999999986</v>
      </c>
      <c r="T813" s="42"/>
      <c r="U813" s="42"/>
      <c r="V813" s="42"/>
      <c r="W813" s="42"/>
      <c r="X813" s="81"/>
    </row>
    <row r="814" spans="2:24" x14ac:dyDescent="0.25">
      <c r="B814" s="2">
        <v>1</v>
      </c>
      <c r="C814" s="1">
        <f t="shared" si="94"/>
        <v>14.823529411764653</v>
      </c>
      <c r="D814" s="1">
        <f t="shared" si="92"/>
        <v>1</v>
      </c>
      <c r="E814" s="1">
        <f t="shared" si="95"/>
        <v>0</v>
      </c>
      <c r="F814" s="31">
        <f t="shared" si="93"/>
        <v>14.6</v>
      </c>
      <c r="G814" s="31">
        <f t="shared" ca="1" si="97"/>
        <v>14.6</v>
      </c>
      <c r="H814" s="30">
        <f t="shared" ca="1" si="98"/>
        <v>0</v>
      </c>
      <c r="I814" s="31">
        <f t="shared" ca="1" si="99"/>
        <v>14.6</v>
      </c>
      <c r="Q814" s="80"/>
      <c r="R814" s="42"/>
      <c r="S814" s="90">
        <f t="shared" si="96"/>
        <v>75.59999999999998</v>
      </c>
      <c r="T814" s="42"/>
      <c r="U814" s="42"/>
      <c r="V814" s="42"/>
      <c r="W814" s="42"/>
      <c r="X814" s="81"/>
    </row>
    <row r="815" spans="2:24" x14ac:dyDescent="0.25">
      <c r="B815" s="2">
        <v>1</v>
      </c>
      <c r="C815" s="1">
        <f t="shared" si="94"/>
        <v>15.823529411764653</v>
      </c>
      <c r="D815" s="1">
        <f t="shared" si="92"/>
        <v>1</v>
      </c>
      <c r="E815" s="1">
        <f t="shared" si="95"/>
        <v>0</v>
      </c>
      <c r="F815" s="31">
        <f t="shared" si="93"/>
        <v>14.6</v>
      </c>
      <c r="G815" s="31">
        <f t="shared" ca="1" si="97"/>
        <v>14.6</v>
      </c>
      <c r="H815" s="30">
        <f t="shared" ca="1" si="98"/>
        <v>0</v>
      </c>
      <c r="I815" s="31">
        <f t="shared" ca="1" si="99"/>
        <v>14.6</v>
      </c>
      <c r="Q815" s="80"/>
      <c r="R815" s="42"/>
      <c r="S815" s="90">
        <f t="shared" si="96"/>
        <v>75.699999999999974</v>
      </c>
      <c r="T815" s="42"/>
      <c r="U815" s="42"/>
      <c r="V815" s="42"/>
      <c r="W815" s="42"/>
      <c r="X815" s="81"/>
    </row>
    <row r="816" spans="2:24" x14ac:dyDescent="0.25">
      <c r="B816" s="2">
        <v>1</v>
      </c>
      <c r="C816" s="1">
        <f t="shared" si="94"/>
        <v>16.823529411764653</v>
      </c>
      <c r="D816" s="1">
        <f t="shared" si="92"/>
        <v>1</v>
      </c>
      <c r="E816" s="1">
        <f t="shared" si="95"/>
        <v>0</v>
      </c>
      <c r="F816" s="31">
        <f t="shared" si="93"/>
        <v>14.6</v>
      </c>
      <c r="G816" s="31">
        <f t="shared" ca="1" si="97"/>
        <v>14.6</v>
      </c>
      <c r="H816" s="30">
        <f t="shared" ca="1" si="98"/>
        <v>0</v>
      </c>
      <c r="I816" s="31">
        <f t="shared" ca="1" si="99"/>
        <v>14.6</v>
      </c>
      <c r="Q816" s="80"/>
      <c r="R816" s="42"/>
      <c r="S816" s="90">
        <f t="shared" si="96"/>
        <v>75.799999999999969</v>
      </c>
      <c r="T816" s="42"/>
      <c r="U816" s="42"/>
      <c r="V816" s="42"/>
      <c r="W816" s="42"/>
      <c r="X816" s="81"/>
    </row>
    <row r="817" spans="2:24" x14ac:dyDescent="0.25">
      <c r="B817" s="2">
        <v>1</v>
      </c>
      <c r="C817" s="1">
        <f t="shared" si="94"/>
        <v>17.823529411764653</v>
      </c>
      <c r="D817" s="1">
        <f t="shared" si="92"/>
        <v>1</v>
      </c>
      <c r="E817" s="1">
        <f t="shared" si="95"/>
        <v>0</v>
      </c>
      <c r="F817" s="31">
        <f t="shared" si="93"/>
        <v>14.6</v>
      </c>
      <c r="G817" s="31">
        <f t="shared" ca="1" si="97"/>
        <v>14.6</v>
      </c>
      <c r="H817" s="30">
        <f t="shared" ca="1" si="98"/>
        <v>0</v>
      </c>
      <c r="I817" s="31">
        <f t="shared" ca="1" si="99"/>
        <v>14.6</v>
      </c>
      <c r="Q817" s="80"/>
      <c r="R817" s="42"/>
      <c r="S817" s="90">
        <f t="shared" si="96"/>
        <v>75.899999999999963</v>
      </c>
      <c r="T817" s="42"/>
      <c r="U817" s="42"/>
      <c r="V817" s="42"/>
      <c r="W817" s="42"/>
      <c r="X817" s="81"/>
    </row>
    <row r="818" spans="2:24" x14ac:dyDescent="0.25">
      <c r="B818" s="2">
        <v>1</v>
      </c>
      <c r="C818" s="1">
        <f t="shared" si="94"/>
        <v>18.823529411764653</v>
      </c>
      <c r="D818" s="1">
        <f t="shared" si="92"/>
        <v>1</v>
      </c>
      <c r="E818" s="1">
        <f t="shared" si="95"/>
        <v>0</v>
      </c>
      <c r="F818" s="31">
        <f t="shared" si="93"/>
        <v>14.6</v>
      </c>
      <c r="G818" s="31">
        <f t="shared" ca="1" si="97"/>
        <v>14.6</v>
      </c>
      <c r="H818" s="30">
        <f t="shared" ca="1" si="98"/>
        <v>0</v>
      </c>
      <c r="I818" s="31">
        <f t="shared" ca="1" si="99"/>
        <v>14.6</v>
      </c>
      <c r="Q818" s="80"/>
      <c r="R818" s="42"/>
      <c r="S818" s="90">
        <f t="shared" si="96"/>
        <v>75.999999999999957</v>
      </c>
      <c r="T818" s="42"/>
      <c r="U818" s="42"/>
      <c r="V818" s="42"/>
      <c r="W818" s="42"/>
      <c r="X818" s="81"/>
    </row>
    <row r="819" spans="2:24" x14ac:dyDescent="0.25">
      <c r="B819" s="2">
        <v>1</v>
      </c>
      <c r="C819" s="1">
        <f t="shared" si="94"/>
        <v>19.823529411764653</v>
      </c>
      <c r="D819" s="1">
        <f t="shared" si="92"/>
        <v>1</v>
      </c>
      <c r="E819" s="1">
        <f t="shared" si="95"/>
        <v>0</v>
      </c>
      <c r="F819" s="31">
        <f t="shared" si="93"/>
        <v>14.6</v>
      </c>
      <c r="G819" s="31">
        <f t="shared" ca="1" si="97"/>
        <v>14.6</v>
      </c>
      <c r="H819" s="30">
        <f t="shared" ca="1" si="98"/>
        <v>0</v>
      </c>
      <c r="I819" s="31">
        <f t="shared" ca="1" si="99"/>
        <v>14.6</v>
      </c>
      <c r="Q819" s="80"/>
      <c r="R819" s="42"/>
      <c r="S819" s="90">
        <f t="shared" si="96"/>
        <v>76.099999999999952</v>
      </c>
      <c r="T819" s="42"/>
      <c r="U819" s="42"/>
      <c r="V819" s="42"/>
      <c r="W819" s="42"/>
      <c r="X819" s="81"/>
    </row>
    <row r="820" spans="2:24" x14ac:dyDescent="0.25">
      <c r="B820" s="2">
        <v>1</v>
      </c>
      <c r="C820" s="1">
        <f t="shared" si="94"/>
        <v>20.823529411764653</v>
      </c>
      <c r="D820" s="1">
        <f t="shared" si="92"/>
        <v>1</v>
      </c>
      <c r="E820" s="1">
        <f t="shared" si="95"/>
        <v>0</v>
      </c>
      <c r="F820" s="31">
        <f t="shared" si="93"/>
        <v>14.6</v>
      </c>
      <c r="G820" s="31">
        <f t="shared" ca="1" si="97"/>
        <v>14.6</v>
      </c>
      <c r="H820" s="30">
        <f t="shared" ca="1" si="98"/>
        <v>0</v>
      </c>
      <c r="I820" s="31">
        <f t="shared" ca="1" si="99"/>
        <v>14.6</v>
      </c>
      <c r="Q820" s="80"/>
      <c r="R820" s="42"/>
      <c r="S820" s="90">
        <f t="shared" si="96"/>
        <v>76.199999999999946</v>
      </c>
      <c r="T820" s="42"/>
      <c r="U820" s="42"/>
      <c r="V820" s="42"/>
      <c r="W820" s="42"/>
      <c r="X820" s="81"/>
    </row>
    <row r="821" spans="2:24" x14ac:dyDescent="0.25">
      <c r="B821" s="2">
        <v>1</v>
      </c>
      <c r="C821" s="1">
        <f t="shared" si="94"/>
        <v>21.823529411764653</v>
      </c>
      <c r="D821" s="1">
        <f t="shared" si="92"/>
        <v>1</v>
      </c>
      <c r="E821" s="1">
        <f t="shared" si="95"/>
        <v>0</v>
      </c>
      <c r="F821" s="31">
        <f t="shared" si="93"/>
        <v>14.6</v>
      </c>
      <c r="G821" s="31">
        <f t="shared" ca="1" si="97"/>
        <v>14.6</v>
      </c>
      <c r="H821" s="30">
        <f t="shared" ca="1" si="98"/>
        <v>0</v>
      </c>
      <c r="I821" s="31">
        <f t="shared" ca="1" si="99"/>
        <v>14.6</v>
      </c>
      <c r="Q821" s="80"/>
      <c r="R821" s="42"/>
      <c r="S821" s="90">
        <f t="shared" si="96"/>
        <v>76.29999999999994</v>
      </c>
      <c r="T821" s="42"/>
      <c r="U821" s="42"/>
      <c r="V821" s="42"/>
      <c r="W821" s="42"/>
      <c r="X821" s="81"/>
    </row>
    <row r="822" spans="2:24" x14ac:dyDescent="0.25">
      <c r="B822" s="2">
        <v>1</v>
      </c>
      <c r="C822" s="1">
        <f t="shared" si="94"/>
        <v>22.823529411764653</v>
      </c>
      <c r="D822" s="1">
        <f t="shared" si="92"/>
        <v>0</v>
      </c>
      <c r="E822" s="1">
        <f t="shared" si="95"/>
        <v>1</v>
      </c>
      <c r="F822" s="31">
        <f t="shared" si="93"/>
        <v>6.4</v>
      </c>
      <c r="G822" s="31">
        <f t="shared" ca="1" si="97"/>
        <v>0</v>
      </c>
      <c r="H822" s="30">
        <f t="shared" ca="1" si="98"/>
        <v>14.6</v>
      </c>
      <c r="I822" s="31">
        <f t="shared" ca="1" si="99"/>
        <v>14.6</v>
      </c>
      <c r="Q822" s="80"/>
      <c r="R822" s="42"/>
      <c r="S822" s="90">
        <f t="shared" si="96"/>
        <v>76.399999999999935</v>
      </c>
      <c r="T822" s="42"/>
      <c r="U822" s="42"/>
      <c r="V822" s="42"/>
      <c r="W822" s="42"/>
      <c r="X822" s="81"/>
    </row>
    <row r="823" spans="2:24" x14ac:dyDescent="0.25">
      <c r="B823" s="2">
        <v>1</v>
      </c>
      <c r="C823" s="1">
        <f t="shared" si="94"/>
        <v>23.823529411764653</v>
      </c>
      <c r="D823" s="1">
        <f t="shared" si="92"/>
        <v>0</v>
      </c>
      <c r="E823" s="1">
        <f t="shared" si="95"/>
        <v>1</v>
      </c>
      <c r="F823" s="31">
        <f t="shared" si="93"/>
        <v>6.4</v>
      </c>
      <c r="G823" s="31">
        <f t="shared" ca="1" si="97"/>
        <v>0</v>
      </c>
      <c r="H823" s="30">
        <f t="shared" ca="1" si="98"/>
        <v>6.4</v>
      </c>
      <c r="I823" s="31">
        <f t="shared" ca="1" si="99"/>
        <v>6.4</v>
      </c>
      <c r="Q823" s="80"/>
      <c r="R823" s="42"/>
      <c r="S823" s="90">
        <f t="shared" si="96"/>
        <v>76.499999999999929</v>
      </c>
      <c r="T823" s="42"/>
      <c r="U823" s="42"/>
      <c r="V823" s="42"/>
      <c r="W823" s="42"/>
      <c r="X823" s="81"/>
    </row>
    <row r="824" spans="2:24" x14ac:dyDescent="0.25">
      <c r="B824" s="2">
        <v>1</v>
      </c>
      <c r="C824" s="1">
        <f t="shared" si="94"/>
        <v>24.823529411764653</v>
      </c>
      <c r="D824" s="1">
        <f t="shared" si="92"/>
        <v>0</v>
      </c>
      <c r="E824" s="1">
        <f t="shared" si="95"/>
        <v>1</v>
      </c>
      <c r="F824" s="31">
        <f t="shared" si="93"/>
        <v>6.4</v>
      </c>
      <c r="G824" s="31">
        <f t="shared" ca="1" si="97"/>
        <v>0</v>
      </c>
      <c r="H824" s="30">
        <f t="shared" ca="1" si="98"/>
        <v>6.4</v>
      </c>
      <c r="I824" s="31">
        <f t="shared" ca="1" si="99"/>
        <v>6.4</v>
      </c>
      <c r="Q824" s="80"/>
      <c r="R824" s="42"/>
      <c r="S824" s="90">
        <f t="shared" si="96"/>
        <v>76.599999999999923</v>
      </c>
      <c r="T824" s="42"/>
      <c r="U824" s="42"/>
      <c r="V824" s="42"/>
      <c r="W824" s="42"/>
      <c r="X824" s="81"/>
    </row>
    <row r="825" spans="2:24" x14ac:dyDescent="0.25">
      <c r="B825" s="2">
        <v>1</v>
      </c>
      <c r="C825" s="1">
        <f t="shared" si="94"/>
        <v>25.823529411764653</v>
      </c>
      <c r="D825" s="1">
        <f t="shared" si="92"/>
        <v>0</v>
      </c>
      <c r="E825" s="1">
        <f t="shared" si="95"/>
        <v>1</v>
      </c>
      <c r="F825" s="31">
        <f t="shared" si="93"/>
        <v>6.4</v>
      </c>
      <c r="G825" s="31">
        <f t="shared" ca="1" si="97"/>
        <v>0</v>
      </c>
      <c r="H825" s="30">
        <f t="shared" ca="1" si="98"/>
        <v>6.4</v>
      </c>
      <c r="I825" s="31">
        <f t="shared" ca="1" si="99"/>
        <v>6.4</v>
      </c>
      <c r="Q825" s="80"/>
      <c r="R825" s="42"/>
      <c r="S825" s="90">
        <f t="shared" si="96"/>
        <v>76.699999999999918</v>
      </c>
      <c r="T825" s="42"/>
      <c r="U825" s="42"/>
      <c r="V825" s="42"/>
      <c r="W825" s="42"/>
      <c r="X825" s="81"/>
    </row>
    <row r="826" spans="2:24" x14ac:dyDescent="0.25">
      <c r="B826" s="2">
        <v>1</v>
      </c>
      <c r="C826" s="1">
        <f t="shared" si="94"/>
        <v>26.823529411764653</v>
      </c>
      <c r="D826" s="1">
        <f t="shared" ref="D826:D889" si="100">IF(C826&lt;=Inhelation_Time_RT,1,0)</f>
        <v>0</v>
      </c>
      <c r="E826" s="1">
        <f t="shared" si="95"/>
        <v>1</v>
      </c>
      <c r="F826" s="31">
        <f t="shared" ref="F826:F889" si="101">(D826*Inspiratory_pressure_level) + (E826*PEEP)</f>
        <v>6.4</v>
      </c>
      <c r="G826" s="31">
        <f t="shared" ca="1" si="97"/>
        <v>0</v>
      </c>
      <c r="H826" s="30">
        <f t="shared" ca="1" si="98"/>
        <v>6.4</v>
      </c>
      <c r="I826" s="31">
        <f t="shared" ca="1" si="99"/>
        <v>6.4</v>
      </c>
      <c r="Q826" s="80"/>
      <c r="R826" s="42"/>
      <c r="S826" s="90">
        <f t="shared" si="96"/>
        <v>76.799999999999912</v>
      </c>
      <c r="T826" s="42"/>
      <c r="U826" s="42"/>
      <c r="V826" s="42"/>
      <c r="W826" s="42"/>
      <c r="X826" s="81"/>
    </row>
    <row r="827" spans="2:24" x14ac:dyDescent="0.25">
      <c r="B827" s="2">
        <v>1</v>
      </c>
      <c r="C827" s="1">
        <f t="shared" ref="C827:C890" si="102">MOD(C826+B827,time_for_breath_RT)</f>
        <v>27.823529411764653</v>
      </c>
      <c r="D827" s="1">
        <f t="shared" si="100"/>
        <v>0</v>
      </c>
      <c r="E827" s="1">
        <f t="shared" ref="E827:E890" si="103">IF(D827=1,0,1)</f>
        <v>1</v>
      </c>
      <c r="F827" s="31">
        <f t="shared" si="101"/>
        <v>6.4</v>
      </c>
      <c r="G827" s="31">
        <f t="shared" ca="1" si="97"/>
        <v>0</v>
      </c>
      <c r="H827" s="30">
        <f t="shared" ca="1" si="98"/>
        <v>6.4</v>
      </c>
      <c r="I827" s="31">
        <f t="shared" ca="1" si="99"/>
        <v>6.4</v>
      </c>
      <c r="Q827" s="80"/>
      <c r="R827" s="42"/>
      <c r="S827" s="90">
        <f t="shared" ref="S827:S890" si="104">S826+(B826 / RTC_to_seconds)</f>
        <v>76.899999999999906</v>
      </c>
      <c r="T827" s="42"/>
      <c r="U827" s="42"/>
      <c r="V827" s="42"/>
      <c r="W827" s="42"/>
      <c r="X827" s="81"/>
    </row>
    <row r="828" spans="2:24" x14ac:dyDescent="0.25">
      <c r="B828" s="2">
        <v>1</v>
      </c>
      <c r="C828" s="1">
        <f t="shared" si="102"/>
        <v>28.823529411764653</v>
      </c>
      <c r="D828" s="1">
        <f t="shared" si="100"/>
        <v>0</v>
      </c>
      <c r="E828" s="1">
        <f t="shared" si="103"/>
        <v>1</v>
      </c>
      <c r="F828" s="31">
        <f t="shared" si="101"/>
        <v>6.4</v>
      </c>
      <c r="G828" s="31">
        <f t="shared" ca="1" si="97"/>
        <v>0</v>
      </c>
      <c r="H828" s="30">
        <f t="shared" ca="1" si="98"/>
        <v>6.4</v>
      </c>
      <c r="I828" s="31">
        <f t="shared" ca="1" si="99"/>
        <v>6.4</v>
      </c>
      <c r="Q828" s="80"/>
      <c r="R828" s="42"/>
      <c r="S828" s="90">
        <f t="shared" si="104"/>
        <v>76.999999999999901</v>
      </c>
      <c r="T828" s="42"/>
      <c r="U828" s="42"/>
      <c r="V828" s="42"/>
      <c r="W828" s="42"/>
      <c r="X828" s="81"/>
    </row>
    <row r="829" spans="2:24" x14ac:dyDescent="0.25">
      <c r="B829" s="2">
        <v>1</v>
      </c>
      <c r="C829" s="1">
        <f t="shared" si="102"/>
        <v>29.823529411764653</v>
      </c>
      <c r="D829" s="1">
        <f t="shared" si="100"/>
        <v>0</v>
      </c>
      <c r="E829" s="1">
        <f t="shared" si="103"/>
        <v>1</v>
      </c>
      <c r="F829" s="31">
        <f t="shared" si="101"/>
        <v>6.4</v>
      </c>
      <c r="G829" s="31">
        <f t="shared" ca="1" si="97"/>
        <v>0</v>
      </c>
      <c r="H829" s="30">
        <f t="shared" ca="1" si="98"/>
        <v>6.4</v>
      </c>
      <c r="I829" s="31">
        <f t="shared" ca="1" si="99"/>
        <v>6.4</v>
      </c>
      <c r="Q829" s="80"/>
      <c r="R829" s="42"/>
      <c r="S829" s="90">
        <f t="shared" si="104"/>
        <v>77.099999999999895</v>
      </c>
      <c r="T829" s="42"/>
      <c r="U829" s="42"/>
      <c r="V829" s="42"/>
      <c r="W829" s="42"/>
      <c r="X829" s="81"/>
    </row>
    <row r="830" spans="2:24" x14ac:dyDescent="0.25">
      <c r="B830" s="2">
        <v>1</v>
      </c>
      <c r="C830" s="1">
        <f t="shared" si="102"/>
        <v>30.823529411764653</v>
      </c>
      <c r="D830" s="1">
        <f t="shared" si="100"/>
        <v>0</v>
      </c>
      <c r="E830" s="1">
        <f t="shared" si="103"/>
        <v>1</v>
      </c>
      <c r="F830" s="31">
        <f t="shared" si="101"/>
        <v>6.4</v>
      </c>
      <c r="G830" s="31">
        <f t="shared" ca="1" si="97"/>
        <v>0</v>
      </c>
      <c r="H830" s="30">
        <f t="shared" ca="1" si="98"/>
        <v>6.4</v>
      </c>
      <c r="I830" s="31">
        <f t="shared" ca="1" si="99"/>
        <v>6.4</v>
      </c>
      <c r="Q830" s="80"/>
      <c r="R830" s="42"/>
      <c r="S830" s="90">
        <f t="shared" si="104"/>
        <v>77.199999999999889</v>
      </c>
      <c r="T830" s="42"/>
      <c r="U830" s="42"/>
      <c r="V830" s="42"/>
      <c r="W830" s="42"/>
      <c r="X830" s="81"/>
    </row>
    <row r="831" spans="2:24" x14ac:dyDescent="0.25">
      <c r="B831" s="2">
        <v>1</v>
      </c>
      <c r="C831" s="1">
        <f t="shared" si="102"/>
        <v>31.823529411764653</v>
      </c>
      <c r="D831" s="1">
        <f t="shared" si="100"/>
        <v>0</v>
      </c>
      <c r="E831" s="1">
        <f t="shared" si="103"/>
        <v>1</v>
      </c>
      <c r="F831" s="31">
        <f t="shared" si="101"/>
        <v>6.4</v>
      </c>
      <c r="G831" s="31">
        <f t="shared" ca="1" si="97"/>
        <v>0</v>
      </c>
      <c r="H831" s="30">
        <f t="shared" ca="1" si="98"/>
        <v>6.4</v>
      </c>
      <c r="I831" s="31">
        <f t="shared" ca="1" si="99"/>
        <v>6.4</v>
      </c>
      <c r="Q831" s="80"/>
      <c r="R831" s="42"/>
      <c r="S831" s="90">
        <f t="shared" si="104"/>
        <v>77.299999999999883</v>
      </c>
      <c r="T831" s="42"/>
      <c r="U831" s="42"/>
      <c r="V831" s="42"/>
      <c r="W831" s="42"/>
      <c r="X831" s="81"/>
    </row>
    <row r="832" spans="2:24" x14ac:dyDescent="0.25">
      <c r="B832" s="2">
        <v>1</v>
      </c>
      <c r="C832" s="1">
        <f t="shared" si="102"/>
        <v>32.823529411764653</v>
      </c>
      <c r="D832" s="1">
        <f t="shared" si="100"/>
        <v>0</v>
      </c>
      <c r="E832" s="1">
        <f t="shared" si="103"/>
        <v>1</v>
      </c>
      <c r="F832" s="31">
        <f t="shared" si="101"/>
        <v>6.4</v>
      </c>
      <c r="G832" s="31">
        <f t="shared" ca="1" si="97"/>
        <v>0</v>
      </c>
      <c r="H832" s="30">
        <f t="shared" ca="1" si="98"/>
        <v>6.4</v>
      </c>
      <c r="I832" s="31">
        <f t="shared" ca="1" si="99"/>
        <v>6.4</v>
      </c>
      <c r="Q832" s="80"/>
      <c r="R832" s="42"/>
      <c r="S832" s="90">
        <f t="shared" si="104"/>
        <v>77.399999999999878</v>
      </c>
      <c r="T832" s="42"/>
      <c r="U832" s="42"/>
      <c r="V832" s="42"/>
      <c r="W832" s="42"/>
      <c r="X832" s="81"/>
    </row>
    <row r="833" spans="2:24" x14ac:dyDescent="0.25">
      <c r="B833" s="2">
        <v>1</v>
      </c>
      <c r="C833" s="1">
        <f t="shared" si="102"/>
        <v>33.823529411764653</v>
      </c>
      <c r="D833" s="1">
        <f t="shared" si="100"/>
        <v>0</v>
      </c>
      <c r="E833" s="1">
        <f t="shared" si="103"/>
        <v>1</v>
      </c>
      <c r="F833" s="31">
        <f t="shared" si="101"/>
        <v>6.4</v>
      </c>
      <c r="G833" s="31">
        <f t="shared" ca="1" si="97"/>
        <v>0</v>
      </c>
      <c r="H833" s="30">
        <f t="shared" ca="1" si="98"/>
        <v>6.4</v>
      </c>
      <c r="I833" s="31">
        <f t="shared" ca="1" si="99"/>
        <v>6.4</v>
      </c>
      <c r="Q833" s="80"/>
      <c r="R833" s="42"/>
      <c r="S833" s="90">
        <f t="shared" si="104"/>
        <v>77.499999999999872</v>
      </c>
      <c r="T833" s="42"/>
      <c r="U833" s="42"/>
      <c r="V833" s="42"/>
      <c r="W833" s="42"/>
      <c r="X833" s="81"/>
    </row>
    <row r="834" spans="2:24" x14ac:dyDescent="0.25">
      <c r="B834" s="2">
        <v>1</v>
      </c>
      <c r="C834" s="1">
        <f t="shared" si="102"/>
        <v>34.823529411764653</v>
      </c>
      <c r="D834" s="1">
        <f t="shared" si="100"/>
        <v>0</v>
      </c>
      <c r="E834" s="1">
        <f t="shared" si="103"/>
        <v>1</v>
      </c>
      <c r="F834" s="31">
        <f t="shared" si="101"/>
        <v>6.4</v>
      </c>
      <c r="G834" s="31">
        <f t="shared" ca="1" si="97"/>
        <v>0</v>
      </c>
      <c r="H834" s="30">
        <f t="shared" ca="1" si="98"/>
        <v>6.4</v>
      </c>
      <c r="I834" s="31">
        <f t="shared" ca="1" si="99"/>
        <v>6.4</v>
      </c>
      <c r="Q834" s="80"/>
      <c r="R834" s="42"/>
      <c r="S834" s="90">
        <f t="shared" si="104"/>
        <v>77.599999999999866</v>
      </c>
      <c r="T834" s="42"/>
      <c r="U834" s="42"/>
      <c r="V834" s="42"/>
      <c r="W834" s="42"/>
      <c r="X834" s="81"/>
    </row>
    <row r="835" spans="2:24" x14ac:dyDescent="0.25">
      <c r="B835" s="2">
        <v>1</v>
      </c>
      <c r="C835" s="1">
        <f t="shared" si="102"/>
        <v>0.52941176470582718</v>
      </c>
      <c r="D835" s="1">
        <f t="shared" si="100"/>
        <v>1</v>
      </c>
      <c r="E835" s="1">
        <f t="shared" si="103"/>
        <v>0</v>
      </c>
      <c r="F835" s="31">
        <f t="shared" si="101"/>
        <v>14.6</v>
      </c>
      <c r="G835" s="31">
        <f t="shared" ca="1" si="97"/>
        <v>6.4</v>
      </c>
      <c r="H835" s="30">
        <f t="shared" ca="1" si="98"/>
        <v>0</v>
      </c>
      <c r="I835" s="31">
        <f t="shared" ca="1" si="99"/>
        <v>6.4</v>
      </c>
      <c r="Q835" s="80"/>
      <c r="R835" s="42"/>
      <c r="S835" s="90">
        <f t="shared" si="104"/>
        <v>77.699999999999861</v>
      </c>
      <c r="T835" s="42"/>
      <c r="U835" s="42"/>
      <c r="V835" s="42"/>
      <c r="W835" s="42"/>
      <c r="X835" s="81"/>
    </row>
    <row r="836" spans="2:24" x14ac:dyDescent="0.25">
      <c r="B836" s="2">
        <v>1</v>
      </c>
      <c r="C836" s="1">
        <f t="shared" si="102"/>
        <v>1.5294117647058272</v>
      </c>
      <c r="D836" s="1">
        <f t="shared" si="100"/>
        <v>1</v>
      </c>
      <c r="E836" s="1">
        <f t="shared" si="103"/>
        <v>0</v>
      </c>
      <c r="F836" s="31">
        <f t="shared" si="101"/>
        <v>14.6</v>
      </c>
      <c r="G836" s="31">
        <f t="shared" ca="1" si="97"/>
        <v>8.4500000000000011</v>
      </c>
      <c r="H836" s="30">
        <f t="shared" ca="1" si="98"/>
        <v>0</v>
      </c>
      <c r="I836" s="31">
        <f t="shared" ca="1" si="99"/>
        <v>8.4500000000000011</v>
      </c>
      <c r="Q836" s="80"/>
      <c r="R836" s="42"/>
      <c r="S836" s="90">
        <f t="shared" si="104"/>
        <v>77.799999999999855</v>
      </c>
      <c r="T836" s="42"/>
      <c r="U836" s="42"/>
      <c r="V836" s="42"/>
      <c r="W836" s="42"/>
      <c r="X836" s="81"/>
    </row>
    <row r="837" spans="2:24" x14ac:dyDescent="0.25">
      <c r="B837" s="2">
        <v>1</v>
      </c>
      <c r="C837" s="1">
        <f t="shared" si="102"/>
        <v>2.5294117647058272</v>
      </c>
      <c r="D837" s="1">
        <f t="shared" si="100"/>
        <v>1</v>
      </c>
      <c r="E837" s="1">
        <f t="shared" si="103"/>
        <v>0</v>
      </c>
      <c r="F837" s="31">
        <f t="shared" si="101"/>
        <v>14.6</v>
      </c>
      <c r="G837" s="31">
        <f t="shared" ca="1" si="97"/>
        <v>10.5</v>
      </c>
      <c r="H837" s="30">
        <f t="shared" ca="1" si="98"/>
        <v>0</v>
      </c>
      <c r="I837" s="31">
        <f t="shared" ca="1" si="99"/>
        <v>10.5</v>
      </c>
      <c r="Q837" s="80"/>
      <c r="R837" s="42"/>
      <c r="S837" s="90">
        <f t="shared" si="104"/>
        <v>77.899999999999849</v>
      </c>
      <c r="T837" s="42"/>
      <c r="U837" s="42"/>
      <c r="V837" s="42"/>
      <c r="W837" s="42"/>
      <c r="X837" s="81"/>
    </row>
    <row r="838" spans="2:24" x14ac:dyDescent="0.25">
      <c r="B838" s="2">
        <v>1</v>
      </c>
      <c r="C838" s="1">
        <f t="shared" si="102"/>
        <v>3.5294117647058272</v>
      </c>
      <c r="D838" s="1">
        <f t="shared" si="100"/>
        <v>1</v>
      </c>
      <c r="E838" s="1">
        <f t="shared" si="103"/>
        <v>0</v>
      </c>
      <c r="F838" s="31">
        <f t="shared" si="101"/>
        <v>14.6</v>
      </c>
      <c r="G838" s="31">
        <f t="shared" ca="1" si="97"/>
        <v>12.55</v>
      </c>
      <c r="H838" s="30">
        <f t="shared" ca="1" si="98"/>
        <v>0</v>
      </c>
      <c r="I838" s="31">
        <f t="shared" ca="1" si="99"/>
        <v>12.55</v>
      </c>
      <c r="Q838" s="80"/>
      <c r="R838" s="42"/>
      <c r="S838" s="90">
        <f t="shared" si="104"/>
        <v>77.999999999999844</v>
      </c>
      <c r="T838" s="42"/>
      <c r="U838" s="42"/>
      <c r="V838" s="42"/>
      <c r="W838" s="42"/>
      <c r="X838" s="81"/>
    </row>
    <row r="839" spans="2:24" x14ac:dyDescent="0.25">
      <c r="B839" s="2">
        <v>1</v>
      </c>
      <c r="C839" s="1">
        <f t="shared" si="102"/>
        <v>4.5294117647058272</v>
      </c>
      <c r="D839" s="1">
        <f t="shared" si="100"/>
        <v>1</v>
      </c>
      <c r="E839" s="1">
        <f t="shared" si="103"/>
        <v>0</v>
      </c>
      <c r="F839" s="31">
        <f t="shared" si="101"/>
        <v>14.6</v>
      </c>
      <c r="G839" s="31">
        <f t="shared" ca="1" si="97"/>
        <v>14.6</v>
      </c>
      <c r="H839" s="30">
        <f t="shared" ca="1" si="98"/>
        <v>0</v>
      </c>
      <c r="I839" s="31">
        <f t="shared" ca="1" si="99"/>
        <v>14.6</v>
      </c>
      <c r="Q839" s="80"/>
      <c r="R839" s="42"/>
      <c r="S839" s="90">
        <f t="shared" si="104"/>
        <v>78.099999999999838</v>
      </c>
      <c r="T839" s="42"/>
      <c r="U839" s="42"/>
      <c r="V839" s="42"/>
      <c r="W839" s="42"/>
      <c r="X839" s="81"/>
    </row>
    <row r="840" spans="2:24" x14ac:dyDescent="0.25">
      <c r="B840" s="2">
        <v>1</v>
      </c>
      <c r="C840" s="1">
        <f t="shared" si="102"/>
        <v>5.5294117647058272</v>
      </c>
      <c r="D840" s="1">
        <f t="shared" si="100"/>
        <v>1</v>
      </c>
      <c r="E840" s="1">
        <f t="shared" si="103"/>
        <v>0</v>
      </c>
      <c r="F840" s="31">
        <f t="shared" si="101"/>
        <v>14.6</v>
      </c>
      <c r="G840" s="31">
        <f t="shared" ca="1" si="97"/>
        <v>14.6</v>
      </c>
      <c r="H840" s="30">
        <f t="shared" ca="1" si="98"/>
        <v>0</v>
      </c>
      <c r="I840" s="31">
        <f t="shared" ca="1" si="99"/>
        <v>14.6</v>
      </c>
      <c r="Q840" s="80"/>
      <c r="R840" s="42"/>
      <c r="S840" s="90">
        <f t="shared" si="104"/>
        <v>78.199999999999832</v>
      </c>
      <c r="T840" s="42"/>
      <c r="U840" s="42"/>
      <c r="V840" s="42"/>
      <c r="W840" s="42"/>
      <c r="X840" s="81"/>
    </row>
    <row r="841" spans="2:24" x14ac:dyDescent="0.25">
      <c r="B841" s="2">
        <v>1</v>
      </c>
      <c r="C841" s="1">
        <f t="shared" si="102"/>
        <v>6.5294117647058272</v>
      </c>
      <c r="D841" s="1">
        <f t="shared" si="100"/>
        <v>1</v>
      </c>
      <c r="E841" s="1">
        <f t="shared" si="103"/>
        <v>0</v>
      </c>
      <c r="F841" s="31">
        <f t="shared" si="101"/>
        <v>14.6</v>
      </c>
      <c r="G841" s="31">
        <f t="shared" ca="1" si="97"/>
        <v>14.6</v>
      </c>
      <c r="H841" s="30">
        <f t="shared" ca="1" si="98"/>
        <v>0</v>
      </c>
      <c r="I841" s="31">
        <f t="shared" ca="1" si="99"/>
        <v>14.6</v>
      </c>
      <c r="Q841" s="80"/>
      <c r="R841" s="42"/>
      <c r="S841" s="90">
        <f t="shared" si="104"/>
        <v>78.299999999999827</v>
      </c>
      <c r="T841" s="42"/>
      <c r="U841" s="42"/>
      <c r="V841" s="42"/>
      <c r="W841" s="42"/>
      <c r="X841" s="81"/>
    </row>
    <row r="842" spans="2:24" x14ac:dyDescent="0.25">
      <c r="B842" s="2">
        <v>1</v>
      </c>
      <c r="C842" s="1">
        <f t="shared" si="102"/>
        <v>7.5294117647058272</v>
      </c>
      <c r="D842" s="1">
        <f t="shared" si="100"/>
        <v>1</v>
      </c>
      <c r="E842" s="1">
        <f t="shared" si="103"/>
        <v>0</v>
      </c>
      <c r="F842" s="31">
        <f t="shared" si="101"/>
        <v>14.6</v>
      </c>
      <c r="G842" s="31">
        <f t="shared" ca="1" si="97"/>
        <v>14.6</v>
      </c>
      <c r="H842" s="30">
        <f t="shared" ca="1" si="98"/>
        <v>0</v>
      </c>
      <c r="I842" s="31">
        <f t="shared" ca="1" si="99"/>
        <v>14.6</v>
      </c>
      <c r="Q842" s="80"/>
      <c r="R842" s="42"/>
      <c r="S842" s="90">
        <f t="shared" si="104"/>
        <v>78.399999999999821</v>
      </c>
      <c r="T842" s="42"/>
      <c r="U842" s="42"/>
      <c r="V842" s="42"/>
      <c r="W842" s="42"/>
      <c r="X842" s="81"/>
    </row>
    <row r="843" spans="2:24" x14ac:dyDescent="0.25">
      <c r="B843" s="2">
        <v>1</v>
      </c>
      <c r="C843" s="1">
        <f t="shared" si="102"/>
        <v>8.5294117647058272</v>
      </c>
      <c r="D843" s="1">
        <f t="shared" si="100"/>
        <v>1</v>
      </c>
      <c r="E843" s="1">
        <f t="shared" si="103"/>
        <v>0</v>
      </c>
      <c r="F843" s="31">
        <f t="shared" si="101"/>
        <v>14.6</v>
      </c>
      <c r="G843" s="31">
        <f t="shared" ref="G843:G906" ca="1" si="105">IF(D843=1, AVERAGE(OFFSET(F843,-$L$27,0,$L$27,1)),0)</f>
        <v>14.6</v>
      </c>
      <c r="H843" s="30">
        <f t="shared" ref="H843:H906" ca="1" si="106">IF(D843=0, AVERAGE(OFFSET(F843,-$L$28,0,$L$28,1)),0)</f>
        <v>0</v>
      </c>
      <c r="I843" s="31">
        <f t="shared" ref="I843:I906" ca="1" si="107">G843+H843</f>
        <v>14.6</v>
      </c>
      <c r="Q843" s="80"/>
      <c r="R843" s="42"/>
      <c r="S843" s="90">
        <f t="shared" si="104"/>
        <v>78.499999999999815</v>
      </c>
      <c r="T843" s="42"/>
      <c r="U843" s="42"/>
      <c r="V843" s="42"/>
      <c r="W843" s="42"/>
      <c r="X843" s="81"/>
    </row>
    <row r="844" spans="2:24" x14ac:dyDescent="0.25">
      <c r="B844" s="2">
        <v>1</v>
      </c>
      <c r="C844" s="1">
        <f t="shared" si="102"/>
        <v>9.5294117647058272</v>
      </c>
      <c r="D844" s="1">
        <f t="shared" si="100"/>
        <v>1</v>
      </c>
      <c r="E844" s="1">
        <f t="shared" si="103"/>
        <v>0</v>
      </c>
      <c r="F844" s="31">
        <f t="shared" si="101"/>
        <v>14.6</v>
      </c>
      <c r="G844" s="31">
        <f t="shared" ca="1" si="105"/>
        <v>14.6</v>
      </c>
      <c r="H844" s="30">
        <f t="shared" ca="1" si="106"/>
        <v>0</v>
      </c>
      <c r="I844" s="31">
        <f t="shared" ca="1" si="107"/>
        <v>14.6</v>
      </c>
      <c r="Q844" s="80"/>
      <c r="R844" s="42"/>
      <c r="S844" s="90">
        <f t="shared" si="104"/>
        <v>78.59999999999981</v>
      </c>
      <c r="T844" s="42"/>
      <c r="U844" s="42"/>
      <c r="V844" s="42"/>
      <c r="W844" s="42"/>
      <c r="X844" s="81"/>
    </row>
    <row r="845" spans="2:24" x14ac:dyDescent="0.25">
      <c r="B845" s="2">
        <v>1</v>
      </c>
      <c r="C845" s="1">
        <f t="shared" si="102"/>
        <v>10.529411764705827</v>
      </c>
      <c r="D845" s="1">
        <f t="shared" si="100"/>
        <v>1</v>
      </c>
      <c r="E845" s="1">
        <f t="shared" si="103"/>
        <v>0</v>
      </c>
      <c r="F845" s="31">
        <f t="shared" si="101"/>
        <v>14.6</v>
      </c>
      <c r="G845" s="31">
        <f t="shared" ca="1" si="105"/>
        <v>14.6</v>
      </c>
      <c r="H845" s="30">
        <f t="shared" ca="1" si="106"/>
        <v>0</v>
      </c>
      <c r="I845" s="31">
        <f t="shared" ca="1" si="107"/>
        <v>14.6</v>
      </c>
      <c r="Q845" s="80"/>
      <c r="R845" s="42"/>
      <c r="S845" s="90">
        <f t="shared" si="104"/>
        <v>78.699999999999804</v>
      </c>
      <c r="T845" s="42"/>
      <c r="U845" s="42"/>
      <c r="V845" s="42"/>
      <c r="W845" s="42"/>
      <c r="X845" s="81"/>
    </row>
    <row r="846" spans="2:24" x14ac:dyDescent="0.25">
      <c r="B846" s="2">
        <v>1</v>
      </c>
      <c r="C846" s="1">
        <f t="shared" si="102"/>
        <v>11.529411764705827</v>
      </c>
      <c r="D846" s="1">
        <f t="shared" si="100"/>
        <v>1</v>
      </c>
      <c r="E846" s="1">
        <f t="shared" si="103"/>
        <v>0</v>
      </c>
      <c r="F846" s="31">
        <f t="shared" si="101"/>
        <v>14.6</v>
      </c>
      <c r="G846" s="31">
        <f t="shared" ca="1" si="105"/>
        <v>14.6</v>
      </c>
      <c r="H846" s="30">
        <f t="shared" ca="1" si="106"/>
        <v>0</v>
      </c>
      <c r="I846" s="31">
        <f t="shared" ca="1" si="107"/>
        <v>14.6</v>
      </c>
      <c r="Q846" s="80"/>
      <c r="R846" s="42"/>
      <c r="S846" s="90">
        <f t="shared" si="104"/>
        <v>78.799999999999798</v>
      </c>
      <c r="T846" s="42"/>
      <c r="U846" s="42"/>
      <c r="V846" s="42"/>
      <c r="W846" s="42"/>
      <c r="X846" s="81"/>
    </row>
    <row r="847" spans="2:24" x14ac:dyDescent="0.25">
      <c r="B847" s="2">
        <v>1</v>
      </c>
      <c r="C847" s="1">
        <f t="shared" si="102"/>
        <v>12.529411764705827</v>
      </c>
      <c r="D847" s="1">
        <f t="shared" si="100"/>
        <v>1</v>
      </c>
      <c r="E847" s="1">
        <f t="shared" si="103"/>
        <v>0</v>
      </c>
      <c r="F847" s="31">
        <f t="shared" si="101"/>
        <v>14.6</v>
      </c>
      <c r="G847" s="31">
        <f t="shared" ca="1" si="105"/>
        <v>14.6</v>
      </c>
      <c r="H847" s="30">
        <f t="shared" ca="1" si="106"/>
        <v>0</v>
      </c>
      <c r="I847" s="31">
        <f t="shared" ca="1" si="107"/>
        <v>14.6</v>
      </c>
      <c r="Q847" s="80"/>
      <c r="R847" s="42"/>
      <c r="S847" s="90">
        <f t="shared" si="104"/>
        <v>78.899999999999793</v>
      </c>
      <c r="T847" s="42"/>
      <c r="U847" s="42"/>
      <c r="V847" s="42"/>
      <c r="W847" s="42"/>
      <c r="X847" s="81"/>
    </row>
    <row r="848" spans="2:24" x14ac:dyDescent="0.25">
      <c r="B848" s="2">
        <v>1</v>
      </c>
      <c r="C848" s="1">
        <f t="shared" si="102"/>
        <v>13.529411764705827</v>
      </c>
      <c r="D848" s="1">
        <f t="shared" si="100"/>
        <v>1</v>
      </c>
      <c r="E848" s="1">
        <f t="shared" si="103"/>
        <v>0</v>
      </c>
      <c r="F848" s="31">
        <f t="shared" si="101"/>
        <v>14.6</v>
      </c>
      <c r="G848" s="31">
        <f t="shared" ca="1" si="105"/>
        <v>14.6</v>
      </c>
      <c r="H848" s="30">
        <f t="shared" ca="1" si="106"/>
        <v>0</v>
      </c>
      <c r="I848" s="31">
        <f t="shared" ca="1" si="107"/>
        <v>14.6</v>
      </c>
      <c r="Q848" s="80"/>
      <c r="R848" s="42"/>
      <c r="S848" s="90">
        <f t="shared" si="104"/>
        <v>78.999999999999787</v>
      </c>
      <c r="T848" s="42"/>
      <c r="U848" s="42"/>
      <c r="V848" s="42"/>
      <c r="W848" s="42"/>
      <c r="X848" s="81"/>
    </row>
    <row r="849" spans="2:24" x14ac:dyDescent="0.25">
      <c r="B849" s="2">
        <v>1</v>
      </c>
      <c r="C849" s="1">
        <f t="shared" si="102"/>
        <v>14.529411764705827</v>
      </c>
      <c r="D849" s="1">
        <f t="shared" si="100"/>
        <v>1</v>
      </c>
      <c r="E849" s="1">
        <f t="shared" si="103"/>
        <v>0</v>
      </c>
      <c r="F849" s="31">
        <f t="shared" si="101"/>
        <v>14.6</v>
      </c>
      <c r="G849" s="31">
        <f t="shared" ca="1" si="105"/>
        <v>14.6</v>
      </c>
      <c r="H849" s="30">
        <f t="shared" ca="1" si="106"/>
        <v>0</v>
      </c>
      <c r="I849" s="31">
        <f t="shared" ca="1" si="107"/>
        <v>14.6</v>
      </c>
      <c r="Q849" s="80"/>
      <c r="R849" s="42"/>
      <c r="S849" s="90">
        <f t="shared" si="104"/>
        <v>79.099999999999781</v>
      </c>
      <c r="T849" s="42"/>
      <c r="U849" s="42"/>
      <c r="V849" s="42"/>
      <c r="W849" s="42"/>
      <c r="X849" s="81"/>
    </row>
    <row r="850" spans="2:24" x14ac:dyDescent="0.25">
      <c r="B850" s="2">
        <v>1</v>
      </c>
      <c r="C850" s="1">
        <f t="shared" si="102"/>
        <v>15.529411764705827</v>
      </c>
      <c r="D850" s="1">
        <f t="shared" si="100"/>
        <v>1</v>
      </c>
      <c r="E850" s="1">
        <f t="shared" si="103"/>
        <v>0</v>
      </c>
      <c r="F850" s="31">
        <f t="shared" si="101"/>
        <v>14.6</v>
      </c>
      <c r="G850" s="31">
        <f t="shared" ca="1" si="105"/>
        <v>14.6</v>
      </c>
      <c r="H850" s="30">
        <f t="shared" ca="1" si="106"/>
        <v>0</v>
      </c>
      <c r="I850" s="31">
        <f t="shared" ca="1" si="107"/>
        <v>14.6</v>
      </c>
      <c r="Q850" s="80"/>
      <c r="R850" s="42"/>
      <c r="S850" s="90">
        <f t="shared" si="104"/>
        <v>79.199999999999775</v>
      </c>
      <c r="T850" s="42"/>
      <c r="U850" s="42"/>
      <c r="V850" s="42"/>
      <c r="W850" s="42"/>
      <c r="X850" s="81"/>
    </row>
    <row r="851" spans="2:24" x14ac:dyDescent="0.25">
      <c r="B851" s="2">
        <v>1</v>
      </c>
      <c r="C851" s="1">
        <f t="shared" si="102"/>
        <v>16.529411764705827</v>
      </c>
      <c r="D851" s="1">
        <f t="shared" si="100"/>
        <v>1</v>
      </c>
      <c r="E851" s="1">
        <f t="shared" si="103"/>
        <v>0</v>
      </c>
      <c r="F851" s="31">
        <f t="shared" si="101"/>
        <v>14.6</v>
      </c>
      <c r="G851" s="31">
        <f t="shared" ca="1" si="105"/>
        <v>14.6</v>
      </c>
      <c r="H851" s="30">
        <f t="shared" ca="1" si="106"/>
        <v>0</v>
      </c>
      <c r="I851" s="31">
        <f t="shared" ca="1" si="107"/>
        <v>14.6</v>
      </c>
      <c r="Q851" s="80"/>
      <c r="R851" s="42"/>
      <c r="S851" s="90">
        <f t="shared" si="104"/>
        <v>79.29999999999977</v>
      </c>
      <c r="T851" s="42"/>
      <c r="U851" s="42"/>
      <c r="V851" s="42"/>
      <c r="W851" s="42"/>
      <c r="X851" s="81"/>
    </row>
    <row r="852" spans="2:24" x14ac:dyDescent="0.25">
      <c r="B852" s="2">
        <v>1</v>
      </c>
      <c r="C852" s="1">
        <f t="shared" si="102"/>
        <v>17.529411764705827</v>
      </c>
      <c r="D852" s="1">
        <f t="shared" si="100"/>
        <v>1</v>
      </c>
      <c r="E852" s="1">
        <f t="shared" si="103"/>
        <v>0</v>
      </c>
      <c r="F852" s="31">
        <f t="shared" si="101"/>
        <v>14.6</v>
      </c>
      <c r="G852" s="31">
        <f t="shared" ca="1" si="105"/>
        <v>14.6</v>
      </c>
      <c r="H852" s="30">
        <f t="shared" ca="1" si="106"/>
        <v>0</v>
      </c>
      <c r="I852" s="31">
        <f t="shared" ca="1" si="107"/>
        <v>14.6</v>
      </c>
      <c r="Q852" s="80"/>
      <c r="R852" s="42"/>
      <c r="S852" s="90">
        <f t="shared" si="104"/>
        <v>79.399999999999764</v>
      </c>
      <c r="T852" s="42"/>
      <c r="U852" s="42"/>
      <c r="V852" s="42"/>
      <c r="W852" s="42"/>
      <c r="X852" s="81"/>
    </row>
    <row r="853" spans="2:24" x14ac:dyDescent="0.25">
      <c r="B853" s="2">
        <v>1</v>
      </c>
      <c r="C853" s="1">
        <f t="shared" si="102"/>
        <v>18.529411764705827</v>
      </c>
      <c r="D853" s="1">
        <f t="shared" si="100"/>
        <v>1</v>
      </c>
      <c r="E853" s="1">
        <f t="shared" si="103"/>
        <v>0</v>
      </c>
      <c r="F853" s="31">
        <f t="shared" si="101"/>
        <v>14.6</v>
      </c>
      <c r="G853" s="31">
        <f t="shared" ca="1" si="105"/>
        <v>14.6</v>
      </c>
      <c r="H853" s="30">
        <f t="shared" ca="1" si="106"/>
        <v>0</v>
      </c>
      <c r="I853" s="31">
        <f t="shared" ca="1" si="107"/>
        <v>14.6</v>
      </c>
      <c r="Q853" s="80"/>
      <c r="R853" s="42"/>
      <c r="S853" s="90">
        <f t="shared" si="104"/>
        <v>79.499999999999758</v>
      </c>
      <c r="T853" s="42"/>
      <c r="U853" s="42"/>
      <c r="V853" s="42"/>
      <c r="W853" s="42"/>
      <c r="X853" s="81"/>
    </row>
    <row r="854" spans="2:24" x14ac:dyDescent="0.25">
      <c r="B854" s="2">
        <v>1</v>
      </c>
      <c r="C854" s="1">
        <f t="shared" si="102"/>
        <v>19.529411764705827</v>
      </c>
      <c r="D854" s="1">
        <f t="shared" si="100"/>
        <v>1</v>
      </c>
      <c r="E854" s="1">
        <f t="shared" si="103"/>
        <v>0</v>
      </c>
      <c r="F854" s="31">
        <f t="shared" si="101"/>
        <v>14.6</v>
      </c>
      <c r="G854" s="31">
        <f t="shared" ca="1" si="105"/>
        <v>14.6</v>
      </c>
      <c r="H854" s="30">
        <f t="shared" ca="1" si="106"/>
        <v>0</v>
      </c>
      <c r="I854" s="31">
        <f t="shared" ca="1" si="107"/>
        <v>14.6</v>
      </c>
      <c r="Q854" s="80"/>
      <c r="R854" s="42"/>
      <c r="S854" s="90">
        <f t="shared" si="104"/>
        <v>79.599999999999753</v>
      </c>
      <c r="T854" s="42"/>
      <c r="U854" s="42"/>
      <c r="V854" s="42"/>
      <c r="W854" s="42"/>
      <c r="X854" s="81"/>
    </row>
    <row r="855" spans="2:24" x14ac:dyDescent="0.25">
      <c r="B855" s="2">
        <v>1</v>
      </c>
      <c r="C855" s="1">
        <f t="shared" si="102"/>
        <v>20.529411764705827</v>
      </c>
      <c r="D855" s="1">
        <f t="shared" si="100"/>
        <v>1</v>
      </c>
      <c r="E855" s="1">
        <f t="shared" si="103"/>
        <v>0</v>
      </c>
      <c r="F855" s="31">
        <f t="shared" si="101"/>
        <v>14.6</v>
      </c>
      <c r="G855" s="31">
        <f t="shared" ca="1" si="105"/>
        <v>14.6</v>
      </c>
      <c r="H855" s="30">
        <f t="shared" ca="1" si="106"/>
        <v>0</v>
      </c>
      <c r="I855" s="31">
        <f t="shared" ca="1" si="107"/>
        <v>14.6</v>
      </c>
      <c r="Q855" s="80"/>
      <c r="R855" s="42"/>
      <c r="S855" s="90">
        <f t="shared" si="104"/>
        <v>79.699999999999747</v>
      </c>
      <c r="T855" s="42"/>
      <c r="U855" s="42"/>
      <c r="V855" s="42"/>
      <c r="W855" s="42"/>
      <c r="X855" s="81"/>
    </row>
    <row r="856" spans="2:24" x14ac:dyDescent="0.25">
      <c r="B856" s="2">
        <v>1</v>
      </c>
      <c r="C856" s="1">
        <f t="shared" si="102"/>
        <v>21.529411764705827</v>
      </c>
      <c r="D856" s="1">
        <f t="shared" si="100"/>
        <v>1</v>
      </c>
      <c r="E856" s="1">
        <f t="shared" si="103"/>
        <v>0</v>
      </c>
      <c r="F856" s="31">
        <f t="shared" si="101"/>
        <v>14.6</v>
      </c>
      <c r="G856" s="31">
        <f t="shared" ca="1" si="105"/>
        <v>14.6</v>
      </c>
      <c r="H856" s="30">
        <f t="shared" ca="1" si="106"/>
        <v>0</v>
      </c>
      <c r="I856" s="31">
        <f t="shared" ca="1" si="107"/>
        <v>14.6</v>
      </c>
      <c r="Q856" s="80"/>
      <c r="R856" s="42"/>
      <c r="S856" s="90">
        <f t="shared" si="104"/>
        <v>79.799999999999741</v>
      </c>
      <c r="T856" s="42"/>
      <c r="U856" s="42"/>
      <c r="V856" s="42"/>
      <c r="W856" s="42"/>
      <c r="X856" s="81"/>
    </row>
    <row r="857" spans="2:24" x14ac:dyDescent="0.25">
      <c r="B857" s="2">
        <v>1</v>
      </c>
      <c r="C857" s="1">
        <f t="shared" si="102"/>
        <v>22.529411764705827</v>
      </c>
      <c r="D857" s="1">
        <f t="shared" si="100"/>
        <v>1</v>
      </c>
      <c r="E857" s="1">
        <f t="shared" si="103"/>
        <v>0</v>
      </c>
      <c r="F857" s="31">
        <f t="shared" si="101"/>
        <v>14.6</v>
      </c>
      <c r="G857" s="31">
        <f t="shared" ca="1" si="105"/>
        <v>14.6</v>
      </c>
      <c r="H857" s="30">
        <f t="shared" ca="1" si="106"/>
        <v>0</v>
      </c>
      <c r="I857" s="31">
        <f t="shared" ca="1" si="107"/>
        <v>14.6</v>
      </c>
      <c r="Q857" s="80"/>
      <c r="R857" s="42"/>
      <c r="S857" s="90">
        <f t="shared" si="104"/>
        <v>79.899999999999736</v>
      </c>
      <c r="T857" s="42"/>
      <c r="U857" s="42"/>
      <c r="V857" s="42"/>
      <c r="W857" s="42"/>
      <c r="X857" s="81"/>
    </row>
    <row r="858" spans="2:24" x14ac:dyDescent="0.25">
      <c r="B858" s="2">
        <v>1</v>
      </c>
      <c r="C858" s="1">
        <f t="shared" si="102"/>
        <v>23.529411764705827</v>
      </c>
      <c r="D858" s="1">
        <f t="shared" si="100"/>
        <v>0</v>
      </c>
      <c r="E858" s="1">
        <f t="shared" si="103"/>
        <v>1</v>
      </c>
      <c r="F858" s="31">
        <f t="shared" si="101"/>
        <v>6.4</v>
      </c>
      <c r="G858" s="31">
        <f t="shared" ca="1" si="105"/>
        <v>0</v>
      </c>
      <c r="H858" s="30">
        <f t="shared" ca="1" si="106"/>
        <v>14.6</v>
      </c>
      <c r="I858" s="31">
        <f t="shared" ca="1" si="107"/>
        <v>14.6</v>
      </c>
      <c r="Q858" s="80"/>
      <c r="R858" s="42"/>
      <c r="S858" s="90">
        <f t="shared" si="104"/>
        <v>79.99999999999973</v>
      </c>
      <c r="T858" s="42"/>
      <c r="U858" s="42"/>
      <c r="V858" s="42"/>
      <c r="W858" s="42"/>
      <c r="X858" s="81"/>
    </row>
    <row r="859" spans="2:24" x14ac:dyDescent="0.25">
      <c r="B859" s="2">
        <v>1</v>
      </c>
      <c r="C859" s="1">
        <f t="shared" si="102"/>
        <v>24.529411764705827</v>
      </c>
      <c r="D859" s="1">
        <f t="shared" si="100"/>
        <v>0</v>
      </c>
      <c r="E859" s="1">
        <f t="shared" si="103"/>
        <v>1</v>
      </c>
      <c r="F859" s="31">
        <f t="shared" si="101"/>
        <v>6.4</v>
      </c>
      <c r="G859" s="31">
        <f t="shared" ca="1" si="105"/>
        <v>0</v>
      </c>
      <c r="H859" s="30">
        <f t="shared" ca="1" si="106"/>
        <v>6.4</v>
      </c>
      <c r="I859" s="31">
        <f t="shared" ca="1" si="107"/>
        <v>6.4</v>
      </c>
      <c r="Q859" s="80"/>
      <c r="R859" s="42"/>
      <c r="S859" s="90">
        <f t="shared" si="104"/>
        <v>80.099999999999724</v>
      </c>
      <c r="T859" s="42"/>
      <c r="U859" s="42"/>
      <c r="V859" s="42"/>
      <c r="W859" s="42"/>
      <c r="X859" s="81"/>
    </row>
    <row r="860" spans="2:24" x14ac:dyDescent="0.25">
      <c r="B860" s="2">
        <v>1</v>
      </c>
      <c r="C860" s="1">
        <f t="shared" si="102"/>
        <v>25.529411764705827</v>
      </c>
      <c r="D860" s="1">
        <f t="shared" si="100"/>
        <v>0</v>
      </c>
      <c r="E860" s="1">
        <f t="shared" si="103"/>
        <v>1</v>
      </c>
      <c r="F860" s="31">
        <f t="shared" si="101"/>
        <v>6.4</v>
      </c>
      <c r="G860" s="31">
        <f t="shared" ca="1" si="105"/>
        <v>0</v>
      </c>
      <c r="H860" s="30">
        <f t="shared" ca="1" si="106"/>
        <v>6.4</v>
      </c>
      <c r="I860" s="31">
        <f t="shared" ca="1" si="107"/>
        <v>6.4</v>
      </c>
      <c r="Q860" s="80"/>
      <c r="R860" s="42"/>
      <c r="S860" s="90">
        <f t="shared" si="104"/>
        <v>80.199999999999719</v>
      </c>
      <c r="T860" s="42"/>
      <c r="U860" s="42"/>
      <c r="V860" s="42"/>
      <c r="W860" s="42"/>
      <c r="X860" s="81"/>
    </row>
    <row r="861" spans="2:24" x14ac:dyDescent="0.25">
      <c r="B861" s="2">
        <v>1</v>
      </c>
      <c r="C861" s="1">
        <f t="shared" si="102"/>
        <v>26.529411764705827</v>
      </c>
      <c r="D861" s="1">
        <f t="shared" si="100"/>
        <v>0</v>
      </c>
      <c r="E861" s="1">
        <f t="shared" si="103"/>
        <v>1</v>
      </c>
      <c r="F861" s="31">
        <f t="shared" si="101"/>
        <v>6.4</v>
      </c>
      <c r="G861" s="31">
        <f t="shared" ca="1" si="105"/>
        <v>0</v>
      </c>
      <c r="H861" s="30">
        <f t="shared" ca="1" si="106"/>
        <v>6.4</v>
      </c>
      <c r="I861" s="31">
        <f t="shared" ca="1" si="107"/>
        <v>6.4</v>
      </c>
      <c r="Q861" s="80"/>
      <c r="R861" s="42"/>
      <c r="S861" s="90">
        <f t="shared" si="104"/>
        <v>80.299999999999713</v>
      </c>
      <c r="T861" s="42"/>
      <c r="U861" s="42"/>
      <c r="V861" s="42"/>
      <c r="W861" s="42"/>
      <c r="X861" s="81"/>
    </row>
    <row r="862" spans="2:24" x14ac:dyDescent="0.25">
      <c r="B862" s="2">
        <v>1</v>
      </c>
      <c r="C862" s="1">
        <f t="shared" si="102"/>
        <v>27.529411764705827</v>
      </c>
      <c r="D862" s="1">
        <f t="shared" si="100"/>
        <v>0</v>
      </c>
      <c r="E862" s="1">
        <f t="shared" si="103"/>
        <v>1</v>
      </c>
      <c r="F862" s="31">
        <f t="shared" si="101"/>
        <v>6.4</v>
      </c>
      <c r="G862" s="31">
        <f t="shared" ca="1" si="105"/>
        <v>0</v>
      </c>
      <c r="H862" s="30">
        <f t="shared" ca="1" si="106"/>
        <v>6.4</v>
      </c>
      <c r="I862" s="31">
        <f t="shared" ca="1" si="107"/>
        <v>6.4</v>
      </c>
      <c r="Q862" s="80"/>
      <c r="R862" s="42"/>
      <c r="S862" s="90">
        <f t="shared" si="104"/>
        <v>80.399999999999707</v>
      </c>
      <c r="T862" s="42"/>
      <c r="U862" s="42"/>
      <c r="V862" s="42"/>
      <c r="W862" s="42"/>
      <c r="X862" s="81"/>
    </row>
    <row r="863" spans="2:24" x14ac:dyDescent="0.25">
      <c r="B863" s="2">
        <v>1</v>
      </c>
      <c r="C863" s="1">
        <f t="shared" si="102"/>
        <v>28.529411764705827</v>
      </c>
      <c r="D863" s="1">
        <f t="shared" si="100"/>
        <v>0</v>
      </c>
      <c r="E863" s="1">
        <f t="shared" si="103"/>
        <v>1</v>
      </c>
      <c r="F863" s="31">
        <f t="shared" si="101"/>
        <v>6.4</v>
      </c>
      <c r="G863" s="31">
        <f t="shared" ca="1" si="105"/>
        <v>0</v>
      </c>
      <c r="H863" s="30">
        <f t="shared" ca="1" si="106"/>
        <v>6.4</v>
      </c>
      <c r="I863" s="31">
        <f t="shared" ca="1" si="107"/>
        <v>6.4</v>
      </c>
      <c r="Q863" s="80"/>
      <c r="R863" s="42"/>
      <c r="S863" s="90">
        <f t="shared" si="104"/>
        <v>80.499999999999702</v>
      </c>
      <c r="T863" s="42"/>
      <c r="U863" s="42"/>
      <c r="V863" s="42"/>
      <c r="W863" s="42"/>
      <c r="X863" s="81"/>
    </row>
    <row r="864" spans="2:24" x14ac:dyDescent="0.25">
      <c r="B864" s="2">
        <v>1</v>
      </c>
      <c r="C864" s="1">
        <f t="shared" si="102"/>
        <v>29.529411764705827</v>
      </c>
      <c r="D864" s="1">
        <f t="shared" si="100"/>
        <v>0</v>
      </c>
      <c r="E864" s="1">
        <f t="shared" si="103"/>
        <v>1</v>
      </c>
      <c r="F864" s="31">
        <f t="shared" si="101"/>
        <v>6.4</v>
      </c>
      <c r="G864" s="31">
        <f t="shared" ca="1" si="105"/>
        <v>0</v>
      </c>
      <c r="H864" s="30">
        <f t="shared" ca="1" si="106"/>
        <v>6.4</v>
      </c>
      <c r="I864" s="31">
        <f t="shared" ca="1" si="107"/>
        <v>6.4</v>
      </c>
      <c r="Q864" s="80"/>
      <c r="R864" s="42"/>
      <c r="S864" s="90">
        <f t="shared" si="104"/>
        <v>80.599999999999696</v>
      </c>
      <c r="T864" s="42"/>
      <c r="U864" s="42"/>
      <c r="V864" s="42"/>
      <c r="W864" s="42"/>
      <c r="X864" s="81"/>
    </row>
    <row r="865" spans="2:24" x14ac:dyDescent="0.25">
      <c r="B865" s="2">
        <v>1</v>
      </c>
      <c r="C865" s="1">
        <f t="shared" si="102"/>
        <v>30.529411764705827</v>
      </c>
      <c r="D865" s="1">
        <f t="shared" si="100"/>
        <v>0</v>
      </c>
      <c r="E865" s="1">
        <f t="shared" si="103"/>
        <v>1</v>
      </c>
      <c r="F865" s="31">
        <f t="shared" si="101"/>
        <v>6.4</v>
      </c>
      <c r="G865" s="31">
        <f t="shared" ca="1" si="105"/>
        <v>0</v>
      </c>
      <c r="H865" s="30">
        <f t="shared" ca="1" si="106"/>
        <v>6.4</v>
      </c>
      <c r="I865" s="31">
        <f t="shared" ca="1" si="107"/>
        <v>6.4</v>
      </c>
      <c r="Q865" s="80"/>
      <c r="R865" s="42"/>
      <c r="S865" s="90">
        <f t="shared" si="104"/>
        <v>80.69999999999969</v>
      </c>
      <c r="T865" s="42"/>
      <c r="U865" s="42"/>
      <c r="V865" s="42"/>
      <c r="W865" s="42"/>
      <c r="X865" s="81"/>
    </row>
    <row r="866" spans="2:24" x14ac:dyDescent="0.25">
      <c r="B866" s="2">
        <v>1</v>
      </c>
      <c r="C866" s="1">
        <f t="shared" si="102"/>
        <v>31.529411764705827</v>
      </c>
      <c r="D866" s="1">
        <f t="shared" si="100"/>
        <v>0</v>
      </c>
      <c r="E866" s="1">
        <f t="shared" si="103"/>
        <v>1</v>
      </c>
      <c r="F866" s="31">
        <f t="shared" si="101"/>
        <v>6.4</v>
      </c>
      <c r="G866" s="31">
        <f t="shared" ca="1" si="105"/>
        <v>0</v>
      </c>
      <c r="H866" s="30">
        <f t="shared" ca="1" si="106"/>
        <v>6.4</v>
      </c>
      <c r="I866" s="31">
        <f t="shared" ca="1" si="107"/>
        <v>6.4</v>
      </c>
      <c r="Q866" s="80"/>
      <c r="R866" s="42"/>
      <c r="S866" s="90">
        <f t="shared" si="104"/>
        <v>80.799999999999685</v>
      </c>
      <c r="T866" s="42"/>
      <c r="U866" s="42"/>
      <c r="V866" s="42"/>
      <c r="W866" s="42"/>
      <c r="X866" s="81"/>
    </row>
    <row r="867" spans="2:24" x14ac:dyDescent="0.25">
      <c r="B867" s="2">
        <v>1</v>
      </c>
      <c r="C867" s="1">
        <f t="shared" si="102"/>
        <v>32.529411764705827</v>
      </c>
      <c r="D867" s="1">
        <f t="shared" si="100"/>
        <v>0</v>
      </c>
      <c r="E867" s="1">
        <f t="shared" si="103"/>
        <v>1</v>
      </c>
      <c r="F867" s="31">
        <f t="shared" si="101"/>
        <v>6.4</v>
      </c>
      <c r="G867" s="31">
        <f t="shared" ca="1" si="105"/>
        <v>0</v>
      </c>
      <c r="H867" s="30">
        <f t="shared" ca="1" si="106"/>
        <v>6.4</v>
      </c>
      <c r="I867" s="31">
        <f t="shared" ca="1" si="107"/>
        <v>6.4</v>
      </c>
      <c r="Q867" s="80"/>
      <c r="R867" s="42"/>
      <c r="S867" s="90">
        <f t="shared" si="104"/>
        <v>80.899999999999679</v>
      </c>
      <c r="T867" s="42"/>
      <c r="U867" s="42"/>
      <c r="V867" s="42"/>
      <c r="W867" s="42"/>
      <c r="X867" s="81"/>
    </row>
    <row r="868" spans="2:24" x14ac:dyDescent="0.25">
      <c r="B868" s="2">
        <v>1</v>
      </c>
      <c r="C868" s="1">
        <f t="shared" si="102"/>
        <v>33.529411764705827</v>
      </c>
      <c r="D868" s="1">
        <f t="shared" si="100"/>
        <v>0</v>
      </c>
      <c r="E868" s="1">
        <f t="shared" si="103"/>
        <v>1</v>
      </c>
      <c r="F868" s="31">
        <f t="shared" si="101"/>
        <v>6.4</v>
      </c>
      <c r="G868" s="31">
        <f t="shared" ca="1" si="105"/>
        <v>0</v>
      </c>
      <c r="H868" s="30">
        <f t="shared" ca="1" si="106"/>
        <v>6.4</v>
      </c>
      <c r="I868" s="31">
        <f t="shared" ca="1" si="107"/>
        <v>6.4</v>
      </c>
      <c r="Q868" s="80"/>
      <c r="R868" s="42"/>
      <c r="S868" s="90">
        <f t="shared" si="104"/>
        <v>80.999999999999673</v>
      </c>
      <c r="T868" s="42"/>
      <c r="U868" s="42"/>
      <c r="V868" s="42"/>
      <c r="W868" s="42"/>
      <c r="X868" s="81"/>
    </row>
    <row r="869" spans="2:24" x14ac:dyDescent="0.25">
      <c r="B869" s="2">
        <v>1</v>
      </c>
      <c r="C869" s="1">
        <f t="shared" si="102"/>
        <v>34.529411764705827</v>
      </c>
      <c r="D869" s="1">
        <f t="shared" si="100"/>
        <v>0</v>
      </c>
      <c r="E869" s="1">
        <f t="shared" si="103"/>
        <v>1</v>
      </c>
      <c r="F869" s="31">
        <f t="shared" si="101"/>
        <v>6.4</v>
      </c>
      <c r="G869" s="31">
        <f t="shared" ca="1" si="105"/>
        <v>0</v>
      </c>
      <c r="H869" s="30">
        <f t="shared" ca="1" si="106"/>
        <v>6.4</v>
      </c>
      <c r="I869" s="31">
        <f t="shared" ca="1" si="107"/>
        <v>6.4</v>
      </c>
      <c r="Q869" s="80"/>
      <c r="R869" s="42"/>
      <c r="S869" s="90">
        <f t="shared" si="104"/>
        <v>81.099999999999667</v>
      </c>
      <c r="T869" s="42"/>
      <c r="U869" s="42"/>
      <c r="V869" s="42"/>
      <c r="W869" s="42"/>
      <c r="X869" s="81"/>
    </row>
    <row r="870" spans="2:24" x14ac:dyDescent="0.25">
      <c r="B870" s="2">
        <v>1</v>
      </c>
      <c r="C870" s="1">
        <f t="shared" si="102"/>
        <v>0.23529411764700114</v>
      </c>
      <c r="D870" s="1">
        <f t="shared" si="100"/>
        <v>1</v>
      </c>
      <c r="E870" s="1">
        <f t="shared" si="103"/>
        <v>0</v>
      </c>
      <c r="F870" s="31">
        <f t="shared" si="101"/>
        <v>14.6</v>
      </c>
      <c r="G870" s="31">
        <f t="shared" ca="1" si="105"/>
        <v>6.4</v>
      </c>
      <c r="H870" s="30">
        <f t="shared" ca="1" si="106"/>
        <v>0</v>
      </c>
      <c r="I870" s="31">
        <f t="shared" ca="1" si="107"/>
        <v>6.4</v>
      </c>
      <c r="Q870" s="80"/>
      <c r="R870" s="42"/>
      <c r="S870" s="90">
        <f t="shared" si="104"/>
        <v>81.199999999999662</v>
      </c>
      <c r="T870" s="42"/>
      <c r="U870" s="42"/>
      <c r="V870" s="42"/>
      <c r="W870" s="42"/>
      <c r="X870" s="81"/>
    </row>
    <row r="871" spans="2:24" x14ac:dyDescent="0.25">
      <c r="B871" s="2">
        <v>1</v>
      </c>
      <c r="C871" s="1">
        <f t="shared" si="102"/>
        <v>1.2352941176470011</v>
      </c>
      <c r="D871" s="1">
        <f t="shared" si="100"/>
        <v>1</v>
      </c>
      <c r="E871" s="1">
        <f t="shared" si="103"/>
        <v>0</v>
      </c>
      <c r="F871" s="31">
        <f t="shared" si="101"/>
        <v>14.6</v>
      </c>
      <c r="G871" s="31">
        <f t="shared" ca="1" si="105"/>
        <v>8.4500000000000011</v>
      </c>
      <c r="H871" s="30">
        <f t="shared" ca="1" si="106"/>
        <v>0</v>
      </c>
      <c r="I871" s="31">
        <f t="shared" ca="1" si="107"/>
        <v>8.4500000000000011</v>
      </c>
      <c r="Q871" s="80"/>
      <c r="R871" s="42"/>
      <c r="S871" s="90">
        <f t="shared" si="104"/>
        <v>81.299999999999656</v>
      </c>
      <c r="T871" s="42"/>
      <c r="U871" s="42"/>
      <c r="V871" s="42"/>
      <c r="W871" s="42"/>
      <c r="X871" s="81"/>
    </row>
    <row r="872" spans="2:24" x14ac:dyDescent="0.25">
      <c r="B872" s="2">
        <v>1</v>
      </c>
      <c r="C872" s="1">
        <f t="shared" si="102"/>
        <v>2.2352941176470011</v>
      </c>
      <c r="D872" s="1">
        <f t="shared" si="100"/>
        <v>1</v>
      </c>
      <c r="E872" s="1">
        <f t="shared" si="103"/>
        <v>0</v>
      </c>
      <c r="F872" s="31">
        <f t="shared" si="101"/>
        <v>14.6</v>
      </c>
      <c r="G872" s="31">
        <f t="shared" ca="1" si="105"/>
        <v>10.5</v>
      </c>
      <c r="H872" s="30">
        <f t="shared" ca="1" si="106"/>
        <v>0</v>
      </c>
      <c r="I872" s="31">
        <f t="shared" ca="1" si="107"/>
        <v>10.5</v>
      </c>
      <c r="Q872" s="80"/>
      <c r="R872" s="42"/>
      <c r="S872" s="90">
        <f t="shared" si="104"/>
        <v>81.39999999999965</v>
      </c>
      <c r="T872" s="42"/>
      <c r="U872" s="42"/>
      <c r="V872" s="42"/>
      <c r="W872" s="42"/>
      <c r="X872" s="81"/>
    </row>
    <row r="873" spans="2:24" x14ac:dyDescent="0.25">
      <c r="B873" s="2">
        <v>1</v>
      </c>
      <c r="C873" s="1">
        <f t="shared" si="102"/>
        <v>3.2352941176470011</v>
      </c>
      <c r="D873" s="1">
        <f t="shared" si="100"/>
        <v>1</v>
      </c>
      <c r="E873" s="1">
        <f t="shared" si="103"/>
        <v>0</v>
      </c>
      <c r="F873" s="31">
        <f t="shared" si="101"/>
        <v>14.6</v>
      </c>
      <c r="G873" s="31">
        <f t="shared" ca="1" si="105"/>
        <v>12.55</v>
      </c>
      <c r="H873" s="30">
        <f t="shared" ca="1" si="106"/>
        <v>0</v>
      </c>
      <c r="I873" s="31">
        <f t="shared" ca="1" si="107"/>
        <v>12.55</v>
      </c>
      <c r="Q873" s="80"/>
      <c r="R873" s="42"/>
      <c r="S873" s="90">
        <f t="shared" si="104"/>
        <v>81.499999999999645</v>
      </c>
      <c r="T873" s="42"/>
      <c r="U873" s="42"/>
      <c r="V873" s="42"/>
      <c r="W873" s="42"/>
      <c r="X873" s="81"/>
    </row>
    <row r="874" spans="2:24" x14ac:dyDescent="0.25">
      <c r="B874" s="2">
        <v>1</v>
      </c>
      <c r="C874" s="1">
        <f t="shared" si="102"/>
        <v>4.2352941176470011</v>
      </c>
      <c r="D874" s="1">
        <f t="shared" si="100"/>
        <v>1</v>
      </c>
      <c r="E874" s="1">
        <f t="shared" si="103"/>
        <v>0</v>
      </c>
      <c r="F874" s="31">
        <f t="shared" si="101"/>
        <v>14.6</v>
      </c>
      <c r="G874" s="31">
        <f t="shared" ca="1" si="105"/>
        <v>14.6</v>
      </c>
      <c r="H874" s="30">
        <f t="shared" ca="1" si="106"/>
        <v>0</v>
      </c>
      <c r="I874" s="31">
        <f t="shared" ca="1" si="107"/>
        <v>14.6</v>
      </c>
      <c r="Q874" s="80"/>
      <c r="R874" s="42"/>
      <c r="S874" s="90">
        <f t="shared" si="104"/>
        <v>81.599999999999639</v>
      </c>
      <c r="T874" s="42"/>
      <c r="U874" s="42"/>
      <c r="V874" s="42"/>
      <c r="W874" s="42"/>
      <c r="X874" s="81"/>
    </row>
    <row r="875" spans="2:24" x14ac:dyDescent="0.25">
      <c r="B875" s="2">
        <v>1</v>
      </c>
      <c r="C875" s="1">
        <f t="shared" si="102"/>
        <v>5.2352941176470011</v>
      </c>
      <c r="D875" s="1">
        <f t="shared" si="100"/>
        <v>1</v>
      </c>
      <c r="E875" s="1">
        <f t="shared" si="103"/>
        <v>0</v>
      </c>
      <c r="F875" s="31">
        <f t="shared" si="101"/>
        <v>14.6</v>
      </c>
      <c r="G875" s="31">
        <f t="shared" ca="1" si="105"/>
        <v>14.6</v>
      </c>
      <c r="H875" s="30">
        <f t="shared" ca="1" si="106"/>
        <v>0</v>
      </c>
      <c r="I875" s="31">
        <f t="shared" ca="1" si="107"/>
        <v>14.6</v>
      </c>
      <c r="Q875" s="80"/>
      <c r="R875" s="42"/>
      <c r="S875" s="90">
        <f t="shared" si="104"/>
        <v>81.699999999999633</v>
      </c>
      <c r="T875" s="42"/>
      <c r="U875" s="42"/>
      <c r="V875" s="42"/>
      <c r="W875" s="42"/>
      <c r="X875" s="81"/>
    </row>
    <row r="876" spans="2:24" x14ac:dyDescent="0.25">
      <c r="B876" s="2">
        <v>1</v>
      </c>
      <c r="C876" s="1">
        <f t="shared" si="102"/>
        <v>6.2352941176470011</v>
      </c>
      <c r="D876" s="1">
        <f t="shared" si="100"/>
        <v>1</v>
      </c>
      <c r="E876" s="1">
        <f t="shared" si="103"/>
        <v>0</v>
      </c>
      <c r="F876" s="31">
        <f t="shared" si="101"/>
        <v>14.6</v>
      </c>
      <c r="G876" s="31">
        <f t="shared" ca="1" si="105"/>
        <v>14.6</v>
      </c>
      <c r="H876" s="30">
        <f t="shared" ca="1" si="106"/>
        <v>0</v>
      </c>
      <c r="I876" s="31">
        <f t="shared" ca="1" si="107"/>
        <v>14.6</v>
      </c>
      <c r="Q876" s="80"/>
      <c r="R876" s="42"/>
      <c r="S876" s="90">
        <f t="shared" si="104"/>
        <v>81.799999999999628</v>
      </c>
      <c r="T876" s="42"/>
      <c r="U876" s="42"/>
      <c r="V876" s="42"/>
      <c r="W876" s="42"/>
      <c r="X876" s="81"/>
    </row>
    <row r="877" spans="2:24" x14ac:dyDescent="0.25">
      <c r="B877" s="2">
        <v>1</v>
      </c>
      <c r="C877" s="1">
        <f t="shared" si="102"/>
        <v>7.2352941176470011</v>
      </c>
      <c r="D877" s="1">
        <f t="shared" si="100"/>
        <v>1</v>
      </c>
      <c r="E877" s="1">
        <f t="shared" si="103"/>
        <v>0</v>
      </c>
      <c r="F877" s="31">
        <f t="shared" si="101"/>
        <v>14.6</v>
      </c>
      <c r="G877" s="31">
        <f t="shared" ca="1" si="105"/>
        <v>14.6</v>
      </c>
      <c r="H877" s="30">
        <f t="shared" ca="1" si="106"/>
        <v>0</v>
      </c>
      <c r="I877" s="31">
        <f t="shared" ca="1" si="107"/>
        <v>14.6</v>
      </c>
      <c r="Q877" s="80"/>
      <c r="R877" s="42"/>
      <c r="S877" s="90">
        <f t="shared" si="104"/>
        <v>81.899999999999622</v>
      </c>
      <c r="T877" s="42"/>
      <c r="U877" s="42"/>
      <c r="V877" s="42"/>
      <c r="W877" s="42"/>
      <c r="X877" s="81"/>
    </row>
    <row r="878" spans="2:24" x14ac:dyDescent="0.25">
      <c r="B878" s="2">
        <v>1</v>
      </c>
      <c r="C878" s="1">
        <f t="shared" si="102"/>
        <v>8.2352941176470011</v>
      </c>
      <c r="D878" s="1">
        <f t="shared" si="100"/>
        <v>1</v>
      </c>
      <c r="E878" s="1">
        <f t="shared" si="103"/>
        <v>0</v>
      </c>
      <c r="F878" s="31">
        <f t="shared" si="101"/>
        <v>14.6</v>
      </c>
      <c r="G878" s="31">
        <f t="shared" ca="1" si="105"/>
        <v>14.6</v>
      </c>
      <c r="H878" s="30">
        <f t="shared" ca="1" si="106"/>
        <v>0</v>
      </c>
      <c r="I878" s="31">
        <f t="shared" ca="1" si="107"/>
        <v>14.6</v>
      </c>
      <c r="Q878" s="80"/>
      <c r="R878" s="42"/>
      <c r="S878" s="90">
        <f t="shared" si="104"/>
        <v>81.999999999999616</v>
      </c>
      <c r="T878" s="42"/>
      <c r="U878" s="42"/>
      <c r="V878" s="42"/>
      <c r="W878" s="42"/>
      <c r="X878" s="81"/>
    </row>
    <row r="879" spans="2:24" x14ac:dyDescent="0.25">
      <c r="B879" s="2">
        <v>1</v>
      </c>
      <c r="C879" s="1">
        <f t="shared" si="102"/>
        <v>9.2352941176470011</v>
      </c>
      <c r="D879" s="1">
        <f t="shared" si="100"/>
        <v>1</v>
      </c>
      <c r="E879" s="1">
        <f t="shared" si="103"/>
        <v>0</v>
      </c>
      <c r="F879" s="31">
        <f t="shared" si="101"/>
        <v>14.6</v>
      </c>
      <c r="G879" s="31">
        <f t="shared" ca="1" si="105"/>
        <v>14.6</v>
      </c>
      <c r="H879" s="30">
        <f t="shared" ca="1" si="106"/>
        <v>0</v>
      </c>
      <c r="I879" s="31">
        <f t="shared" ca="1" si="107"/>
        <v>14.6</v>
      </c>
      <c r="Q879" s="80"/>
      <c r="R879" s="42"/>
      <c r="S879" s="90">
        <f t="shared" si="104"/>
        <v>82.099999999999611</v>
      </c>
      <c r="T879" s="42"/>
      <c r="U879" s="42"/>
      <c r="V879" s="42"/>
      <c r="W879" s="42"/>
      <c r="X879" s="81"/>
    </row>
    <row r="880" spans="2:24" x14ac:dyDescent="0.25">
      <c r="B880" s="2">
        <v>1</v>
      </c>
      <c r="C880" s="1">
        <f t="shared" si="102"/>
        <v>10.235294117647001</v>
      </c>
      <c r="D880" s="1">
        <f t="shared" si="100"/>
        <v>1</v>
      </c>
      <c r="E880" s="1">
        <f t="shared" si="103"/>
        <v>0</v>
      </c>
      <c r="F880" s="31">
        <f t="shared" si="101"/>
        <v>14.6</v>
      </c>
      <c r="G880" s="31">
        <f t="shared" ca="1" si="105"/>
        <v>14.6</v>
      </c>
      <c r="H880" s="30">
        <f t="shared" ca="1" si="106"/>
        <v>0</v>
      </c>
      <c r="I880" s="31">
        <f t="shared" ca="1" si="107"/>
        <v>14.6</v>
      </c>
      <c r="Q880" s="80"/>
      <c r="R880" s="42"/>
      <c r="S880" s="90">
        <f t="shared" si="104"/>
        <v>82.199999999999605</v>
      </c>
      <c r="T880" s="42"/>
      <c r="U880" s="42"/>
      <c r="V880" s="42"/>
      <c r="W880" s="42"/>
      <c r="X880" s="81"/>
    </row>
    <row r="881" spans="2:24" x14ac:dyDescent="0.25">
      <c r="B881" s="2">
        <v>1</v>
      </c>
      <c r="C881" s="1">
        <f t="shared" si="102"/>
        <v>11.235294117647001</v>
      </c>
      <c r="D881" s="1">
        <f t="shared" si="100"/>
        <v>1</v>
      </c>
      <c r="E881" s="1">
        <f t="shared" si="103"/>
        <v>0</v>
      </c>
      <c r="F881" s="31">
        <f t="shared" si="101"/>
        <v>14.6</v>
      </c>
      <c r="G881" s="31">
        <f t="shared" ca="1" si="105"/>
        <v>14.6</v>
      </c>
      <c r="H881" s="30">
        <f t="shared" ca="1" si="106"/>
        <v>0</v>
      </c>
      <c r="I881" s="31">
        <f t="shared" ca="1" si="107"/>
        <v>14.6</v>
      </c>
      <c r="Q881" s="80"/>
      <c r="R881" s="42"/>
      <c r="S881" s="90">
        <f t="shared" si="104"/>
        <v>82.299999999999599</v>
      </c>
      <c r="T881" s="42"/>
      <c r="U881" s="42"/>
      <c r="V881" s="42"/>
      <c r="W881" s="42"/>
      <c r="X881" s="81"/>
    </row>
    <row r="882" spans="2:24" x14ac:dyDescent="0.25">
      <c r="B882" s="2">
        <v>1</v>
      </c>
      <c r="C882" s="1">
        <f t="shared" si="102"/>
        <v>12.235294117647001</v>
      </c>
      <c r="D882" s="1">
        <f t="shared" si="100"/>
        <v>1</v>
      </c>
      <c r="E882" s="1">
        <f t="shared" si="103"/>
        <v>0</v>
      </c>
      <c r="F882" s="31">
        <f t="shared" si="101"/>
        <v>14.6</v>
      </c>
      <c r="G882" s="31">
        <f t="shared" ca="1" si="105"/>
        <v>14.6</v>
      </c>
      <c r="H882" s="30">
        <f t="shared" ca="1" si="106"/>
        <v>0</v>
      </c>
      <c r="I882" s="31">
        <f t="shared" ca="1" si="107"/>
        <v>14.6</v>
      </c>
      <c r="Q882" s="80"/>
      <c r="R882" s="42"/>
      <c r="S882" s="90">
        <f t="shared" si="104"/>
        <v>82.399999999999594</v>
      </c>
      <c r="T882" s="42"/>
      <c r="U882" s="42"/>
      <c r="V882" s="42"/>
      <c r="W882" s="42"/>
      <c r="X882" s="81"/>
    </row>
    <row r="883" spans="2:24" x14ac:dyDescent="0.25">
      <c r="B883" s="2">
        <v>1</v>
      </c>
      <c r="C883" s="1">
        <f t="shared" si="102"/>
        <v>13.235294117647001</v>
      </c>
      <c r="D883" s="1">
        <f t="shared" si="100"/>
        <v>1</v>
      </c>
      <c r="E883" s="1">
        <f t="shared" si="103"/>
        <v>0</v>
      </c>
      <c r="F883" s="31">
        <f t="shared" si="101"/>
        <v>14.6</v>
      </c>
      <c r="G883" s="31">
        <f t="shared" ca="1" si="105"/>
        <v>14.6</v>
      </c>
      <c r="H883" s="30">
        <f t="shared" ca="1" si="106"/>
        <v>0</v>
      </c>
      <c r="I883" s="31">
        <f t="shared" ca="1" si="107"/>
        <v>14.6</v>
      </c>
      <c r="Q883" s="80"/>
      <c r="R883" s="42"/>
      <c r="S883" s="90">
        <f t="shared" si="104"/>
        <v>82.499999999999588</v>
      </c>
      <c r="T883" s="42"/>
      <c r="U883" s="42"/>
      <c r="V883" s="42"/>
      <c r="W883" s="42"/>
      <c r="X883" s="81"/>
    </row>
    <row r="884" spans="2:24" x14ac:dyDescent="0.25">
      <c r="B884" s="2">
        <v>1</v>
      </c>
      <c r="C884" s="1">
        <f t="shared" si="102"/>
        <v>14.235294117647001</v>
      </c>
      <c r="D884" s="1">
        <f t="shared" si="100"/>
        <v>1</v>
      </c>
      <c r="E884" s="1">
        <f t="shared" si="103"/>
        <v>0</v>
      </c>
      <c r="F884" s="31">
        <f t="shared" si="101"/>
        <v>14.6</v>
      </c>
      <c r="G884" s="31">
        <f t="shared" ca="1" si="105"/>
        <v>14.6</v>
      </c>
      <c r="H884" s="30">
        <f t="shared" ca="1" si="106"/>
        <v>0</v>
      </c>
      <c r="I884" s="31">
        <f t="shared" ca="1" si="107"/>
        <v>14.6</v>
      </c>
      <c r="Q884" s="80"/>
      <c r="R884" s="42"/>
      <c r="S884" s="90">
        <f t="shared" si="104"/>
        <v>82.599999999999582</v>
      </c>
      <c r="T884" s="42"/>
      <c r="U884" s="42"/>
      <c r="V884" s="42"/>
      <c r="W884" s="42"/>
      <c r="X884" s="81"/>
    </row>
    <row r="885" spans="2:24" x14ac:dyDescent="0.25">
      <c r="B885" s="2">
        <v>1</v>
      </c>
      <c r="C885" s="1">
        <f t="shared" si="102"/>
        <v>15.235294117647001</v>
      </c>
      <c r="D885" s="1">
        <f t="shared" si="100"/>
        <v>1</v>
      </c>
      <c r="E885" s="1">
        <f t="shared" si="103"/>
        <v>0</v>
      </c>
      <c r="F885" s="31">
        <f t="shared" si="101"/>
        <v>14.6</v>
      </c>
      <c r="G885" s="31">
        <f t="shared" ca="1" si="105"/>
        <v>14.6</v>
      </c>
      <c r="H885" s="30">
        <f t="shared" ca="1" si="106"/>
        <v>0</v>
      </c>
      <c r="I885" s="31">
        <f t="shared" ca="1" si="107"/>
        <v>14.6</v>
      </c>
      <c r="Q885" s="80"/>
      <c r="R885" s="42"/>
      <c r="S885" s="90">
        <f t="shared" si="104"/>
        <v>82.699999999999577</v>
      </c>
      <c r="T885" s="42"/>
      <c r="U885" s="42"/>
      <c r="V885" s="42"/>
      <c r="W885" s="42"/>
      <c r="X885" s="81"/>
    </row>
    <row r="886" spans="2:24" x14ac:dyDescent="0.25">
      <c r="B886" s="2">
        <v>1</v>
      </c>
      <c r="C886" s="1">
        <f t="shared" si="102"/>
        <v>16.235294117647001</v>
      </c>
      <c r="D886" s="1">
        <f t="shared" si="100"/>
        <v>1</v>
      </c>
      <c r="E886" s="1">
        <f t="shared" si="103"/>
        <v>0</v>
      </c>
      <c r="F886" s="31">
        <f t="shared" si="101"/>
        <v>14.6</v>
      </c>
      <c r="G886" s="31">
        <f t="shared" ca="1" si="105"/>
        <v>14.6</v>
      </c>
      <c r="H886" s="30">
        <f t="shared" ca="1" si="106"/>
        <v>0</v>
      </c>
      <c r="I886" s="31">
        <f t="shared" ca="1" si="107"/>
        <v>14.6</v>
      </c>
      <c r="Q886" s="80"/>
      <c r="R886" s="42"/>
      <c r="S886" s="90">
        <f t="shared" si="104"/>
        <v>82.799999999999571</v>
      </c>
      <c r="T886" s="42"/>
      <c r="U886" s="42"/>
      <c r="V886" s="42"/>
      <c r="W886" s="42"/>
      <c r="X886" s="81"/>
    </row>
    <row r="887" spans="2:24" x14ac:dyDescent="0.25">
      <c r="B887" s="2">
        <v>1</v>
      </c>
      <c r="C887" s="1">
        <f t="shared" si="102"/>
        <v>17.235294117647001</v>
      </c>
      <c r="D887" s="1">
        <f t="shared" si="100"/>
        <v>1</v>
      </c>
      <c r="E887" s="1">
        <f t="shared" si="103"/>
        <v>0</v>
      </c>
      <c r="F887" s="31">
        <f t="shared" si="101"/>
        <v>14.6</v>
      </c>
      <c r="G887" s="31">
        <f t="shared" ca="1" si="105"/>
        <v>14.6</v>
      </c>
      <c r="H887" s="30">
        <f t="shared" ca="1" si="106"/>
        <v>0</v>
      </c>
      <c r="I887" s="31">
        <f t="shared" ca="1" si="107"/>
        <v>14.6</v>
      </c>
      <c r="Q887" s="80"/>
      <c r="R887" s="42"/>
      <c r="S887" s="90">
        <f t="shared" si="104"/>
        <v>82.899999999999565</v>
      </c>
      <c r="T887" s="42"/>
      <c r="U887" s="42"/>
      <c r="V887" s="42"/>
      <c r="W887" s="42"/>
      <c r="X887" s="81"/>
    </row>
    <row r="888" spans="2:24" x14ac:dyDescent="0.25">
      <c r="B888" s="2">
        <v>1</v>
      </c>
      <c r="C888" s="1">
        <f t="shared" si="102"/>
        <v>18.235294117647001</v>
      </c>
      <c r="D888" s="1">
        <f t="shared" si="100"/>
        <v>1</v>
      </c>
      <c r="E888" s="1">
        <f t="shared" si="103"/>
        <v>0</v>
      </c>
      <c r="F888" s="31">
        <f t="shared" si="101"/>
        <v>14.6</v>
      </c>
      <c r="G888" s="31">
        <f t="shared" ca="1" si="105"/>
        <v>14.6</v>
      </c>
      <c r="H888" s="30">
        <f t="shared" ca="1" si="106"/>
        <v>0</v>
      </c>
      <c r="I888" s="31">
        <f t="shared" ca="1" si="107"/>
        <v>14.6</v>
      </c>
      <c r="Q888" s="80"/>
      <c r="R888" s="42"/>
      <c r="S888" s="90">
        <f t="shared" si="104"/>
        <v>82.999999999999559</v>
      </c>
      <c r="T888" s="42"/>
      <c r="U888" s="42"/>
      <c r="V888" s="42"/>
      <c r="W888" s="42"/>
      <c r="X888" s="81"/>
    </row>
    <row r="889" spans="2:24" x14ac:dyDescent="0.25">
      <c r="B889" s="2">
        <v>1</v>
      </c>
      <c r="C889" s="1">
        <f t="shared" si="102"/>
        <v>19.235294117647001</v>
      </c>
      <c r="D889" s="1">
        <f t="shared" si="100"/>
        <v>1</v>
      </c>
      <c r="E889" s="1">
        <f t="shared" si="103"/>
        <v>0</v>
      </c>
      <c r="F889" s="31">
        <f t="shared" si="101"/>
        <v>14.6</v>
      </c>
      <c r="G889" s="31">
        <f t="shared" ca="1" si="105"/>
        <v>14.6</v>
      </c>
      <c r="H889" s="30">
        <f t="shared" ca="1" si="106"/>
        <v>0</v>
      </c>
      <c r="I889" s="31">
        <f t="shared" ca="1" si="107"/>
        <v>14.6</v>
      </c>
      <c r="Q889" s="80"/>
      <c r="R889" s="42"/>
      <c r="S889" s="90">
        <f t="shared" si="104"/>
        <v>83.099999999999554</v>
      </c>
      <c r="T889" s="42"/>
      <c r="U889" s="42"/>
      <c r="V889" s="42"/>
      <c r="W889" s="42"/>
      <c r="X889" s="81"/>
    </row>
    <row r="890" spans="2:24" x14ac:dyDescent="0.25">
      <c r="B890" s="2">
        <v>1</v>
      </c>
      <c r="C890" s="1">
        <f t="shared" si="102"/>
        <v>20.235294117647001</v>
      </c>
      <c r="D890" s="1">
        <f t="shared" ref="D890:D953" si="108">IF(C890&lt;=Inhelation_Time_RT,1,0)</f>
        <v>1</v>
      </c>
      <c r="E890" s="1">
        <f t="shared" si="103"/>
        <v>0</v>
      </c>
      <c r="F890" s="31">
        <f t="shared" ref="F890:F953" si="109">(D890*Inspiratory_pressure_level) + (E890*PEEP)</f>
        <v>14.6</v>
      </c>
      <c r="G890" s="31">
        <f t="shared" ca="1" si="105"/>
        <v>14.6</v>
      </c>
      <c r="H890" s="30">
        <f t="shared" ca="1" si="106"/>
        <v>0</v>
      </c>
      <c r="I890" s="31">
        <f t="shared" ca="1" si="107"/>
        <v>14.6</v>
      </c>
      <c r="Q890" s="80"/>
      <c r="R890" s="42"/>
      <c r="S890" s="90">
        <f t="shared" si="104"/>
        <v>83.199999999999548</v>
      </c>
      <c r="T890" s="42"/>
      <c r="U890" s="42"/>
      <c r="V890" s="42"/>
      <c r="W890" s="42"/>
      <c r="X890" s="81"/>
    </row>
    <row r="891" spans="2:24" x14ac:dyDescent="0.25">
      <c r="B891" s="2">
        <v>1</v>
      </c>
      <c r="C891" s="1">
        <f t="shared" ref="C891:C954" si="110">MOD(C890+B891,time_for_breath_RT)</f>
        <v>21.235294117647001</v>
      </c>
      <c r="D891" s="1">
        <f t="shared" si="108"/>
        <v>1</v>
      </c>
      <c r="E891" s="1">
        <f t="shared" ref="E891:E954" si="111">IF(D891=1,0,1)</f>
        <v>0</v>
      </c>
      <c r="F891" s="31">
        <f t="shared" si="109"/>
        <v>14.6</v>
      </c>
      <c r="G891" s="31">
        <f t="shared" ca="1" si="105"/>
        <v>14.6</v>
      </c>
      <c r="H891" s="30">
        <f t="shared" ca="1" si="106"/>
        <v>0</v>
      </c>
      <c r="I891" s="31">
        <f t="shared" ca="1" si="107"/>
        <v>14.6</v>
      </c>
      <c r="Q891" s="80"/>
      <c r="R891" s="42"/>
      <c r="S891" s="90">
        <f t="shared" ref="S891:S954" si="112">S890+(B890 / RTC_to_seconds)</f>
        <v>83.299999999999542</v>
      </c>
      <c r="T891" s="42"/>
      <c r="U891" s="42"/>
      <c r="V891" s="42"/>
      <c r="W891" s="42"/>
      <c r="X891" s="81"/>
    </row>
    <row r="892" spans="2:24" x14ac:dyDescent="0.25">
      <c r="B892" s="2">
        <v>1</v>
      </c>
      <c r="C892" s="1">
        <f t="shared" si="110"/>
        <v>22.235294117647001</v>
      </c>
      <c r="D892" s="1">
        <f t="shared" si="108"/>
        <v>1</v>
      </c>
      <c r="E892" s="1">
        <f t="shared" si="111"/>
        <v>0</v>
      </c>
      <c r="F892" s="31">
        <f t="shared" si="109"/>
        <v>14.6</v>
      </c>
      <c r="G892" s="31">
        <f t="shared" ca="1" si="105"/>
        <v>14.6</v>
      </c>
      <c r="H892" s="30">
        <f t="shared" ca="1" si="106"/>
        <v>0</v>
      </c>
      <c r="I892" s="31">
        <f t="shared" ca="1" si="107"/>
        <v>14.6</v>
      </c>
      <c r="Q892" s="80"/>
      <c r="R892" s="42"/>
      <c r="S892" s="90">
        <f t="shared" si="112"/>
        <v>83.399999999999537</v>
      </c>
      <c r="T892" s="42"/>
      <c r="U892" s="42"/>
      <c r="V892" s="42"/>
      <c r="W892" s="42"/>
      <c r="X892" s="81"/>
    </row>
    <row r="893" spans="2:24" x14ac:dyDescent="0.25">
      <c r="B893" s="2">
        <v>1</v>
      </c>
      <c r="C893" s="1">
        <f t="shared" si="110"/>
        <v>23.235294117647001</v>
      </c>
      <c r="D893" s="1">
        <f t="shared" si="108"/>
        <v>0</v>
      </c>
      <c r="E893" s="1">
        <f t="shared" si="111"/>
        <v>1</v>
      </c>
      <c r="F893" s="31">
        <f t="shared" si="109"/>
        <v>6.4</v>
      </c>
      <c r="G893" s="31">
        <f t="shared" ca="1" si="105"/>
        <v>0</v>
      </c>
      <c r="H893" s="30">
        <f t="shared" ca="1" si="106"/>
        <v>14.6</v>
      </c>
      <c r="I893" s="31">
        <f t="shared" ca="1" si="107"/>
        <v>14.6</v>
      </c>
      <c r="Q893" s="80"/>
      <c r="R893" s="42"/>
      <c r="S893" s="90">
        <f t="shared" si="112"/>
        <v>83.499999999999531</v>
      </c>
      <c r="T893" s="42"/>
      <c r="U893" s="42"/>
      <c r="V893" s="42"/>
      <c r="W893" s="42"/>
      <c r="X893" s="81"/>
    </row>
    <row r="894" spans="2:24" x14ac:dyDescent="0.25">
      <c r="B894" s="2">
        <v>1</v>
      </c>
      <c r="C894" s="1">
        <f t="shared" si="110"/>
        <v>24.235294117647001</v>
      </c>
      <c r="D894" s="1">
        <f t="shared" si="108"/>
        <v>0</v>
      </c>
      <c r="E894" s="1">
        <f t="shared" si="111"/>
        <v>1</v>
      </c>
      <c r="F894" s="31">
        <f t="shared" si="109"/>
        <v>6.4</v>
      </c>
      <c r="G894" s="31">
        <f t="shared" ca="1" si="105"/>
        <v>0</v>
      </c>
      <c r="H894" s="30">
        <f t="shared" ca="1" si="106"/>
        <v>6.4</v>
      </c>
      <c r="I894" s="31">
        <f t="shared" ca="1" si="107"/>
        <v>6.4</v>
      </c>
      <c r="Q894" s="80"/>
      <c r="R894" s="42"/>
      <c r="S894" s="90">
        <f t="shared" si="112"/>
        <v>83.599999999999525</v>
      </c>
      <c r="T894" s="42"/>
      <c r="U894" s="42"/>
      <c r="V894" s="42"/>
      <c r="W894" s="42"/>
      <c r="X894" s="81"/>
    </row>
    <row r="895" spans="2:24" x14ac:dyDescent="0.25">
      <c r="B895" s="2">
        <v>1</v>
      </c>
      <c r="C895" s="1">
        <f t="shared" si="110"/>
        <v>25.235294117647001</v>
      </c>
      <c r="D895" s="1">
        <f t="shared" si="108"/>
        <v>0</v>
      </c>
      <c r="E895" s="1">
        <f t="shared" si="111"/>
        <v>1</v>
      </c>
      <c r="F895" s="31">
        <f t="shared" si="109"/>
        <v>6.4</v>
      </c>
      <c r="G895" s="31">
        <f t="shared" ca="1" si="105"/>
        <v>0</v>
      </c>
      <c r="H895" s="30">
        <f t="shared" ca="1" si="106"/>
        <v>6.4</v>
      </c>
      <c r="I895" s="31">
        <f t="shared" ca="1" si="107"/>
        <v>6.4</v>
      </c>
      <c r="Q895" s="80"/>
      <c r="R895" s="42"/>
      <c r="S895" s="90">
        <f t="shared" si="112"/>
        <v>83.69999999999952</v>
      </c>
      <c r="T895" s="42"/>
      <c r="U895" s="42"/>
      <c r="V895" s="42"/>
      <c r="W895" s="42"/>
      <c r="X895" s="81"/>
    </row>
    <row r="896" spans="2:24" x14ac:dyDescent="0.25">
      <c r="B896" s="2">
        <v>1</v>
      </c>
      <c r="C896" s="1">
        <f t="shared" si="110"/>
        <v>26.235294117647001</v>
      </c>
      <c r="D896" s="1">
        <f t="shared" si="108"/>
        <v>0</v>
      </c>
      <c r="E896" s="1">
        <f t="shared" si="111"/>
        <v>1</v>
      </c>
      <c r="F896" s="31">
        <f t="shared" si="109"/>
        <v>6.4</v>
      </c>
      <c r="G896" s="31">
        <f t="shared" ca="1" si="105"/>
        <v>0</v>
      </c>
      <c r="H896" s="30">
        <f t="shared" ca="1" si="106"/>
        <v>6.4</v>
      </c>
      <c r="I896" s="31">
        <f t="shared" ca="1" si="107"/>
        <v>6.4</v>
      </c>
      <c r="Q896" s="80"/>
      <c r="R896" s="42"/>
      <c r="S896" s="90">
        <f t="shared" si="112"/>
        <v>83.799999999999514</v>
      </c>
      <c r="T896" s="42"/>
      <c r="U896" s="42"/>
      <c r="V896" s="42"/>
      <c r="W896" s="42"/>
      <c r="X896" s="81"/>
    </row>
    <row r="897" spans="2:24" x14ac:dyDescent="0.25">
      <c r="B897" s="2">
        <v>1</v>
      </c>
      <c r="C897" s="1">
        <f t="shared" si="110"/>
        <v>27.235294117647001</v>
      </c>
      <c r="D897" s="1">
        <f t="shared" si="108"/>
        <v>0</v>
      </c>
      <c r="E897" s="1">
        <f t="shared" si="111"/>
        <v>1</v>
      </c>
      <c r="F897" s="31">
        <f t="shared" si="109"/>
        <v>6.4</v>
      </c>
      <c r="G897" s="31">
        <f t="shared" ca="1" si="105"/>
        <v>0</v>
      </c>
      <c r="H897" s="30">
        <f t="shared" ca="1" si="106"/>
        <v>6.4</v>
      </c>
      <c r="I897" s="31">
        <f t="shared" ca="1" si="107"/>
        <v>6.4</v>
      </c>
      <c r="Q897" s="80"/>
      <c r="R897" s="42"/>
      <c r="S897" s="90">
        <f t="shared" si="112"/>
        <v>83.899999999999508</v>
      </c>
      <c r="T897" s="42"/>
      <c r="U897" s="42"/>
      <c r="V897" s="42"/>
      <c r="W897" s="42"/>
      <c r="X897" s="81"/>
    </row>
    <row r="898" spans="2:24" x14ac:dyDescent="0.25">
      <c r="B898" s="2">
        <v>1</v>
      </c>
      <c r="C898" s="1">
        <f t="shared" si="110"/>
        <v>28.235294117647001</v>
      </c>
      <c r="D898" s="1">
        <f t="shared" si="108"/>
        <v>0</v>
      </c>
      <c r="E898" s="1">
        <f t="shared" si="111"/>
        <v>1</v>
      </c>
      <c r="F898" s="31">
        <f t="shared" si="109"/>
        <v>6.4</v>
      </c>
      <c r="G898" s="31">
        <f t="shared" ca="1" si="105"/>
        <v>0</v>
      </c>
      <c r="H898" s="30">
        <f t="shared" ca="1" si="106"/>
        <v>6.4</v>
      </c>
      <c r="I898" s="31">
        <f t="shared" ca="1" si="107"/>
        <v>6.4</v>
      </c>
      <c r="Q898" s="80"/>
      <c r="R898" s="42"/>
      <c r="S898" s="90">
        <f t="shared" si="112"/>
        <v>83.999999999999503</v>
      </c>
      <c r="T898" s="42"/>
      <c r="U898" s="42"/>
      <c r="V898" s="42"/>
      <c r="W898" s="42"/>
      <c r="X898" s="81"/>
    </row>
    <row r="899" spans="2:24" x14ac:dyDescent="0.25">
      <c r="B899" s="2">
        <v>1</v>
      </c>
      <c r="C899" s="1">
        <f t="shared" si="110"/>
        <v>29.235294117647001</v>
      </c>
      <c r="D899" s="1">
        <f t="shared" si="108"/>
        <v>0</v>
      </c>
      <c r="E899" s="1">
        <f t="shared" si="111"/>
        <v>1</v>
      </c>
      <c r="F899" s="31">
        <f t="shared" si="109"/>
        <v>6.4</v>
      </c>
      <c r="G899" s="31">
        <f t="shared" ca="1" si="105"/>
        <v>0</v>
      </c>
      <c r="H899" s="30">
        <f t="shared" ca="1" si="106"/>
        <v>6.4</v>
      </c>
      <c r="I899" s="31">
        <f t="shared" ca="1" si="107"/>
        <v>6.4</v>
      </c>
      <c r="Q899" s="80"/>
      <c r="R899" s="42"/>
      <c r="S899" s="90">
        <f t="shared" si="112"/>
        <v>84.099999999999497</v>
      </c>
      <c r="T899" s="42"/>
      <c r="U899" s="42"/>
      <c r="V899" s="42"/>
      <c r="W899" s="42"/>
      <c r="X899" s="81"/>
    </row>
    <row r="900" spans="2:24" x14ac:dyDescent="0.25">
      <c r="B900" s="2">
        <v>1</v>
      </c>
      <c r="C900" s="1">
        <f t="shared" si="110"/>
        <v>30.235294117647001</v>
      </c>
      <c r="D900" s="1">
        <f t="shared" si="108"/>
        <v>0</v>
      </c>
      <c r="E900" s="1">
        <f t="shared" si="111"/>
        <v>1</v>
      </c>
      <c r="F900" s="31">
        <f t="shared" si="109"/>
        <v>6.4</v>
      </c>
      <c r="G900" s="31">
        <f t="shared" ca="1" si="105"/>
        <v>0</v>
      </c>
      <c r="H900" s="30">
        <f t="shared" ca="1" si="106"/>
        <v>6.4</v>
      </c>
      <c r="I900" s="31">
        <f t="shared" ca="1" si="107"/>
        <v>6.4</v>
      </c>
      <c r="Q900" s="80"/>
      <c r="R900" s="42"/>
      <c r="S900" s="90">
        <f t="shared" si="112"/>
        <v>84.199999999999491</v>
      </c>
      <c r="T900" s="42"/>
      <c r="U900" s="42"/>
      <c r="V900" s="42"/>
      <c r="W900" s="42"/>
      <c r="X900" s="81"/>
    </row>
    <row r="901" spans="2:24" x14ac:dyDescent="0.25">
      <c r="B901" s="2">
        <v>1</v>
      </c>
      <c r="C901" s="1">
        <f t="shared" si="110"/>
        <v>31.235294117647001</v>
      </c>
      <c r="D901" s="1">
        <f t="shared" si="108"/>
        <v>0</v>
      </c>
      <c r="E901" s="1">
        <f t="shared" si="111"/>
        <v>1</v>
      </c>
      <c r="F901" s="31">
        <f t="shared" si="109"/>
        <v>6.4</v>
      </c>
      <c r="G901" s="31">
        <f t="shared" ca="1" si="105"/>
        <v>0</v>
      </c>
      <c r="H901" s="30">
        <f t="shared" ca="1" si="106"/>
        <v>6.4</v>
      </c>
      <c r="I901" s="31">
        <f t="shared" ca="1" si="107"/>
        <v>6.4</v>
      </c>
      <c r="Q901" s="80"/>
      <c r="R901" s="42"/>
      <c r="S901" s="90">
        <f t="shared" si="112"/>
        <v>84.299999999999486</v>
      </c>
      <c r="T901" s="42"/>
      <c r="U901" s="42"/>
      <c r="V901" s="42"/>
      <c r="W901" s="42"/>
      <c r="X901" s="81"/>
    </row>
    <row r="902" spans="2:24" x14ac:dyDescent="0.25">
      <c r="B902" s="2">
        <v>1</v>
      </c>
      <c r="C902" s="1">
        <f t="shared" si="110"/>
        <v>32.235294117647001</v>
      </c>
      <c r="D902" s="1">
        <f t="shared" si="108"/>
        <v>0</v>
      </c>
      <c r="E902" s="1">
        <f t="shared" si="111"/>
        <v>1</v>
      </c>
      <c r="F902" s="31">
        <f t="shared" si="109"/>
        <v>6.4</v>
      </c>
      <c r="G902" s="31">
        <f t="shared" ca="1" si="105"/>
        <v>0</v>
      </c>
      <c r="H902" s="30">
        <f t="shared" ca="1" si="106"/>
        <v>6.4</v>
      </c>
      <c r="I902" s="31">
        <f t="shared" ca="1" si="107"/>
        <v>6.4</v>
      </c>
      <c r="Q902" s="80"/>
      <c r="R902" s="42"/>
      <c r="S902" s="90">
        <f t="shared" si="112"/>
        <v>84.39999999999948</v>
      </c>
      <c r="T902" s="42"/>
      <c r="U902" s="42"/>
      <c r="V902" s="42"/>
      <c r="W902" s="42"/>
      <c r="X902" s="81"/>
    </row>
    <row r="903" spans="2:24" x14ac:dyDescent="0.25">
      <c r="B903" s="2">
        <v>1</v>
      </c>
      <c r="C903" s="1">
        <f t="shared" si="110"/>
        <v>33.235294117647001</v>
      </c>
      <c r="D903" s="1">
        <f t="shared" si="108"/>
        <v>0</v>
      </c>
      <c r="E903" s="1">
        <f t="shared" si="111"/>
        <v>1</v>
      </c>
      <c r="F903" s="31">
        <f t="shared" si="109"/>
        <v>6.4</v>
      </c>
      <c r="G903" s="31">
        <f t="shared" ca="1" si="105"/>
        <v>0</v>
      </c>
      <c r="H903" s="30">
        <f t="shared" ca="1" si="106"/>
        <v>6.4</v>
      </c>
      <c r="I903" s="31">
        <f t="shared" ca="1" si="107"/>
        <v>6.4</v>
      </c>
      <c r="Q903" s="80"/>
      <c r="R903" s="42"/>
      <c r="S903" s="90">
        <f t="shared" si="112"/>
        <v>84.499999999999474</v>
      </c>
      <c r="T903" s="42"/>
      <c r="U903" s="42"/>
      <c r="V903" s="42"/>
      <c r="W903" s="42"/>
      <c r="X903" s="81"/>
    </row>
    <row r="904" spans="2:24" x14ac:dyDescent="0.25">
      <c r="B904" s="2">
        <v>1</v>
      </c>
      <c r="C904" s="1">
        <f t="shared" si="110"/>
        <v>34.235294117647001</v>
      </c>
      <c r="D904" s="1">
        <f t="shared" si="108"/>
        <v>0</v>
      </c>
      <c r="E904" s="1">
        <f t="shared" si="111"/>
        <v>1</v>
      </c>
      <c r="F904" s="31">
        <f t="shared" si="109"/>
        <v>6.4</v>
      </c>
      <c r="G904" s="31">
        <f t="shared" ca="1" si="105"/>
        <v>0</v>
      </c>
      <c r="H904" s="30">
        <f t="shared" ca="1" si="106"/>
        <v>6.4</v>
      </c>
      <c r="I904" s="31">
        <f t="shared" ca="1" si="107"/>
        <v>6.4</v>
      </c>
      <c r="Q904" s="80"/>
      <c r="R904" s="42"/>
      <c r="S904" s="90">
        <f t="shared" si="112"/>
        <v>84.599999999999469</v>
      </c>
      <c r="T904" s="42"/>
      <c r="U904" s="42"/>
      <c r="V904" s="42"/>
      <c r="W904" s="42"/>
      <c r="X904" s="81"/>
    </row>
    <row r="905" spans="2:24" x14ac:dyDescent="0.25">
      <c r="B905" s="2">
        <v>1</v>
      </c>
      <c r="C905" s="1">
        <f t="shared" si="110"/>
        <v>35.235294117647001</v>
      </c>
      <c r="D905" s="1">
        <f t="shared" si="108"/>
        <v>0</v>
      </c>
      <c r="E905" s="1">
        <f t="shared" si="111"/>
        <v>1</v>
      </c>
      <c r="F905" s="31">
        <f t="shared" si="109"/>
        <v>6.4</v>
      </c>
      <c r="G905" s="31">
        <f t="shared" ca="1" si="105"/>
        <v>0</v>
      </c>
      <c r="H905" s="30">
        <f t="shared" ca="1" si="106"/>
        <v>6.4</v>
      </c>
      <c r="I905" s="31">
        <f t="shared" ca="1" si="107"/>
        <v>6.4</v>
      </c>
      <c r="Q905" s="80"/>
      <c r="R905" s="42"/>
      <c r="S905" s="90">
        <f t="shared" si="112"/>
        <v>84.699999999999463</v>
      </c>
      <c r="T905" s="42"/>
      <c r="U905" s="42"/>
      <c r="V905" s="42"/>
      <c r="W905" s="42"/>
      <c r="X905" s="81"/>
    </row>
    <row r="906" spans="2:24" x14ac:dyDescent="0.25">
      <c r="B906" s="2">
        <v>1</v>
      </c>
      <c r="C906" s="1">
        <f t="shared" si="110"/>
        <v>0.94117647058817511</v>
      </c>
      <c r="D906" s="1">
        <f t="shared" si="108"/>
        <v>1</v>
      </c>
      <c r="E906" s="1">
        <f t="shared" si="111"/>
        <v>0</v>
      </c>
      <c r="F906" s="31">
        <f t="shared" si="109"/>
        <v>14.6</v>
      </c>
      <c r="G906" s="31">
        <f t="shared" ca="1" si="105"/>
        <v>6.4</v>
      </c>
      <c r="H906" s="30">
        <f t="shared" ca="1" si="106"/>
        <v>0</v>
      </c>
      <c r="I906" s="31">
        <f t="shared" ca="1" si="107"/>
        <v>6.4</v>
      </c>
      <c r="Q906" s="80"/>
      <c r="R906" s="42"/>
      <c r="S906" s="90">
        <f t="shared" si="112"/>
        <v>84.799999999999457</v>
      </c>
      <c r="T906" s="42"/>
      <c r="U906" s="42"/>
      <c r="V906" s="42"/>
      <c r="W906" s="42"/>
      <c r="X906" s="81"/>
    </row>
    <row r="907" spans="2:24" x14ac:dyDescent="0.25">
      <c r="B907" s="2">
        <v>1</v>
      </c>
      <c r="C907" s="1">
        <f t="shared" si="110"/>
        <v>1.9411764705881751</v>
      </c>
      <c r="D907" s="1">
        <f t="shared" si="108"/>
        <v>1</v>
      </c>
      <c r="E907" s="1">
        <f t="shared" si="111"/>
        <v>0</v>
      </c>
      <c r="F907" s="31">
        <f t="shared" si="109"/>
        <v>14.6</v>
      </c>
      <c r="G907" s="31">
        <f t="shared" ref="G907:G970" ca="1" si="113">IF(D907=1, AVERAGE(OFFSET(F907,-$L$27,0,$L$27,1)),0)</f>
        <v>8.4500000000000011</v>
      </c>
      <c r="H907" s="30">
        <f t="shared" ref="H907:H970" ca="1" si="114">IF(D907=0, AVERAGE(OFFSET(F907,-$L$28,0,$L$28,1)),0)</f>
        <v>0</v>
      </c>
      <c r="I907" s="31">
        <f t="shared" ref="I907:I970" ca="1" si="115">G907+H907</f>
        <v>8.4500000000000011</v>
      </c>
      <c r="Q907" s="80"/>
      <c r="R907" s="42"/>
      <c r="S907" s="90">
        <f t="shared" si="112"/>
        <v>84.899999999999451</v>
      </c>
      <c r="T907" s="42"/>
      <c r="U907" s="42"/>
      <c r="V907" s="42"/>
      <c r="W907" s="42"/>
      <c r="X907" s="81"/>
    </row>
    <row r="908" spans="2:24" x14ac:dyDescent="0.25">
      <c r="B908" s="2">
        <v>1</v>
      </c>
      <c r="C908" s="1">
        <f t="shared" si="110"/>
        <v>2.9411764705881751</v>
      </c>
      <c r="D908" s="1">
        <f t="shared" si="108"/>
        <v>1</v>
      </c>
      <c r="E908" s="1">
        <f t="shared" si="111"/>
        <v>0</v>
      </c>
      <c r="F908" s="31">
        <f t="shared" si="109"/>
        <v>14.6</v>
      </c>
      <c r="G908" s="31">
        <f t="shared" ca="1" si="113"/>
        <v>10.5</v>
      </c>
      <c r="H908" s="30">
        <f t="shared" ca="1" si="114"/>
        <v>0</v>
      </c>
      <c r="I908" s="31">
        <f t="shared" ca="1" si="115"/>
        <v>10.5</v>
      </c>
      <c r="Q908" s="80"/>
      <c r="R908" s="42"/>
      <c r="S908" s="90">
        <f t="shared" si="112"/>
        <v>84.999999999999446</v>
      </c>
      <c r="T908" s="42"/>
      <c r="U908" s="42"/>
      <c r="V908" s="42"/>
      <c r="W908" s="42"/>
      <c r="X908" s="81"/>
    </row>
    <row r="909" spans="2:24" x14ac:dyDescent="0.25">
      <c r="B909" s="2">
        <v>1</v>
      </c>
      <c r="C909" s="1">
        <f t="shared" si="110"/>
        <v>3.9411764705881751</v>
      </c>
      <c r="D909" s="1">
        <f t="shared" si="108"/>
        <v>1</v>
      </c>
      <c r="E909" s="1">
        <f t="shared" si="111"/>
        <v>0</v>
      </c>
      <c r="F909" s="31">
        <f t="shared" si="109"/>
        <v>14.6</v>
      </c>
      <c r="G909" s="31">
        <f t="shared" ca="1" si="113"/>
        <v>12.55</v>
      </c>
      <c r="H909" s="30">
        <f t="shared" ca="1" si="114"/>
        <v>0</v>
      </c>
      <c r="I909" s="31">
        <f t="shared" ca="1" si="115"/>
        <v>12.55</v>
      </c>
      <c r="Q909" s="80"/>
      <c r="R909" s="42"/>
      <c r="S909" s="90">
        <f t="shared" si="112"/>
        <v>85.09999999999944</v>
      </c>
      <c r="T909" s="42"/>
      <c r="U909" s="42"/>
      <c r="V909" s="42"/>
      <c r="W909" s="42"/>
      <c r="X909" s="81"/>
    </row>
    <row r="910" spans="2:24" x14ac:dyDescent="0.25">
      <c r="B910" s="2">
        <v>1</v>
      </c>
      <c r="C910" s="1">
        <f t="shared" si="110"/>
        <v>4.9411764705881751</v>
      </c>
      <c r="D910" s="1">
        <f t="shared" si="108"/>
        <v>1</v>
      </c>
      <c r="E910" s="1">
        <f t="shared" si="111"/>
        <v>0</v>
      </c>
      <c r="F910" s="31">
        <f t="shared" si="109"/>
        <v>14.6</v>
      </c>
      <c r="G910" s="31">
        <f t="shared" ca="1" si="113"/>
        <v>14.6</v>
      </c>
      <c r="H910" s="30">
        <f t="shared" ca="1" si="114"/>
        <v>0</v>
      </c>
      <c r="I910" s="31">
        <f t="shared" ca="1" si="115"/>
        <v>14.6</v>
      </c>
      <c r="Q910" s="80"/>
      <c r="R910" s="42"/>
      <c r="S910" s="90">
        <f t="shared" si="112"/>
        <v>85.199999999999434</v>
      </c>
      <c r="T910" s="42"/>
      <c r="U910" s="42"/>
      <c r="V910" s="42"/>
      <c r="W910" s="42"/>
      <c r="X910" s="81"/>
    </row>
    <row r="911" spans="2:24" x14ac:dyDescent="0.25">
      <c r="B911" s="2">
        <v>1</v>
      </c>
      <c r="C911" s="1">
        <f t="shared" si="110"/>
        <v>5.9411764705881751</v>
      </c>
      <c r="D911" s="1">
        <f t="shared" si="108"/>
        <v>1</v>
      </c>
      <c r="E911" s="1">
        <f t="shared" si="111"/>
        <v>0</v>
      </c>
      <c r="F911" s="31">
        <f t="shared" si="109"/>
        <v>14.6</v>
      </c>
      <c r="G911" s="31">
        <f t="shared" ca="1" si="113"/>
        <v>14.6</v>
      </c>
      <c r="H911" s="30">
        <f t="shared" ca="1" si="114"/>
        <v>0</v>
      </c>
      <c r="I911" s="31">
        <f t="shared" ca="1" si="115"/>
        <v>14.6</v>
      </c>
      <c r="Q911" s="80"/>
      <c r="R911" s="42"/>
      <c r="S911" s="90">
        <f t="shared" si="112"/>
        <v>85.299999999999429</v>
      </c>
      <c r="T911" s="42"/>
      <c r="U911" s="42"/>
      <c r="V911" s="42"/>
      <c r="W911" s="42"/>
      <c r="X911" s="81"/>
    </row>
    <row r="912" spans="2:24" x14ac:dyDescent="0.25">
      <c r="B912" s="2">
        <v>1</v>
      </c>
      <c r="C912" s="1">
        <f t="shared" si="110"/>
        <v>6.9411764705881751</v>
      </c>
      <c r="D912" s="1">
        <f t="shared" si="108"/>
        <v>1</v>
      </c>
      <c r="E912" s="1">
        <f t="shared" si="111"/>
        <v>0</v>
      </c>
      <c r="F912" s="31">
        <f t="shared" si="109"/>
        <v>14.6</v>
      </c>
      <c r="G912" s="31">
        <f t="shared" ca="1" si="113"/>
        <v>14.6</v>
      </c>
      <c r="H912" s="30">
        <f t="shared" ca="1" si="114"/>
        <v>0</v>
      </c>
      <c r="I912" s="31">
        <f t="shared" ca="1" si="115"/>
        <v>14.6</v>
      </c>
      <c r="Q912" s="80"/>
      <c r="R912" s="42"/>
      <c r="S912" s="90">
        <f t="shared" si="112"/>
        <v>85.399999999999423</v>
      </c>
      <c r="T912" s="42"/>
      <c r="U912" s="42"/>
      <c r="V912" s="42"/>
      <c r="W912" s="42"/>
      <c r="X912" s="81"/>
    </row>
    <row r="913" spans="2:24" x14ac:dyDescent="0.25">
      <c r="B913" s="2">
        <v>1</v>
      </c>
      <c r="C913" s="1">
        <f t="shared" si="110"/>
        <v>7.9411764705881751</v>
      </c>
      <c r="D913" s="1">
        <f t="shared" si="108"/>
        <v>1</v>
      </c>
      <c r="E913" s="1">
        <f t="shared" si="111"/>
        <v>0</v>
      </c>
      <c r="F913" s="31">
        <f t="shared" si="109"/>
        <v>14.6</v>
      </c>
      <c r="G913" s="31">
        <f t="shared" ca="1" si="113"/>
        <v>14.6</v>
      </c>
      <c r="H913" s="30">
        <f t="shared" ca="1" si="114"/>
        <v>0</v>
      </c>
      <c r="I913" s="31">
        <f t="shared" ca="1" si="115"/>
        <v>14.6</v>
      </c>
      <c r="Q913" s="80"/>
      <c r="R913" s="42"/>
      <c r="S913" s="90">
        <f t="shared" si="112"/>
        <v>85.499999999999417</v>
      </c>
      <c r="T913" s="42"/>
      <c r="U913" s="42"/>
      <c r="V913" s="42"/>
      <c r="W913" s="42"/>
      <c r="X913" s="81"/>
    </row>
    <row r="914" spans="2:24" x14ac:dyDescent="0.25">
      <c r="B914" s="2">
        <v>1</v>
      </c>
      <c r="C914" s="1">
        <f t="shared" si="110"/>
        <v>8.9411764705881751</v>
      </c>
      <c r="D914" s="1">
        <f t="shared" si="108"/>
        <v>1</v>
      </c>
      <c r="E914" s="1">
        <f t="shared" si="111"/>
        <v>0</v>
      </c>
      <c r="F914" s="31">
        <f t="shared" si="109"/>
        <v>14.6</v>
      </c>
      <c r="G914" s="31">
        <f t="shared" ca="1" si="113"/>
        <v>14.6</v>
      </c>
      <c r="H914" s="30">
        <f t="shared" ca="1" si="114"/>
        <v>0</v>
      </c>
      <c r="I914" s="31">
        <f t="shared" ca="1" si="115"/>
        <v>14.6</v>
      </c>
      <c r="Q914" s="80"/>
      <c r="R914" s="42"/>
      <c r="S914" s="90">
        <f t="shared" si="112"/>
        <v>85.599999999999412</v>
      </c>
      <c r="T914" s="42"/>
      <c r="U914" s="42"/>
      <c r="V914" s="42"/>
      <c r="W914" s="42"/>
      <c r="X914" s="81"/>
    </row>
    <row r="915" spans="2:24" x14ac:dyDescent="0.25">
      <c r="B915" s="2">
        <v>1</v>
      </c>
      <c r="C915" s="1">
        <f t="shared" si="110"/>
        <v>9.9411764705881751</v>
      </c>
      <c r="D915" s="1">
        <f t="shared" si="108"/>
        <v>1</v>
      </c>
      <c r="E915" s="1">
        <f t="shared" si="111"/>
        <v>0</v>
      </c>
      <c r="F915" s="31">
        <f t="shared" si="109"/>
        <v>14.6</v>
      </c>
      <c r="G915" s="31">
        <f t="shared" ca="1" si="113"/>
        <v>14.6</v>
      </c>
      <c r="H915" s="30">
        <f t="shared" ca="1" si="114"/>
        <v>0</v>
      </c>
      <c r="I915" s="31">
        <f t="shared" ca="1" si="115"/>
        <v>14.6</v>
      </c>
      <c r="Q915" s="80"/>
      <c r="R915" s="42"/>
      <c r="S915" s="90">
        <f t="shared" si="112"/>
        <v>85.699999999999406</v>
      </c>
      <c r="T915" s="42"/>
      <c r="U915" s="42"/>
      <c r="V915" s="42"/>
      <c r="W915" s="42"/>
      <c r="X915" s="81"/>
    </row>
    <row r="916" spans="2:24" x14ac:dyDescent="0.25">
      <c r="B916" s="2">
        <v>1</v>
      </c>
      <c r="C916" s="1">
        <f t="shared" si="110"/>
        <v>10.941176470588175</v>
      </c>
      <c r="D916" s="1">
        <f t="shared" si="108"/>
        <v>1</v>
      </c>
      <c r="E916" s="1">
        <f t="shared" si="111"/>
        <v>0</v>
      </c>
      <c r="F916" s="31">
        <f t="shared" si="109"/>
        <v>14.6</v>
      </c>
      <c r="G916" s="31">
        <f t="shared" ca="1" si="113"/>
        <v>14.6</v>
      </c>
      <c r="H916" s="30">
        <f t="shared" ca="1" si="114"/>
        <v>0</v>
      </c>
      <c r="I916" s="31">
        <f t="shared" ca="1" si="115"/>
        <v>14.6</v>
      </c>
      <c r="Q916" s="80"/>
      <c r="R916" s="42"/>
      <c r="S916" s="90">
        <f t="shared" si="112"/>
        <v>85.7999999999994</v>
      </c>
      <c r="T916" s="42"/>
      <c r="U916" s="42"/>
      <c r="V916" s="42"/>
      <c r="W916" s="42"/>
      <c r="X916" s="81"/>
    </row>
    <row r="917" spans="2:24" x14ac:dyDescent="0.25">
      <c r="B917" s="2">
        <v>1</v>
      </c>
      <c r="C917" s="1">
        <f t="shared" si="110"/>
        <v>11.941176470588175</v>
      </c>
      <c r="D917" s="1">
        <f t="shared" si="108"/>
        <v>1</v>
      </c>
      <c r="E917" s="1">
        <f t="shared" si="111"/>
        <v>0</v>
      </c>
      <c r="F917" s="31">
        <f t="shared" si="109"/>
        <v>14.6</v>
      </c>
      <c r="G917" s="31">
        <f t="shared" ca="1" si="113"/>
        <v>14.6</v>
      </c>
      <c r="H917" s="30">
        <f t="shared" ca="1" si="114"/>
        <v>0</v>
      </c>
      <c r="I917" s="31">
        <f t="shared" ca="1" si="115"/>
        <v>14.6</v>
      </c>
      <c r="Q917" s="80"/>
      <c r="R917" s="42"/>
      <c r="S917" s="90">
        <f t="shared" si="112"/>
        <v>85.899999999999395</v>
      </c>
      <c r="T917" s="42"/>
      <c r="U917" s="42"/>
      <c r="V917" s="42"/>
      <c r="W917" s="42"/>
      <c r="X917" s="81"/>
    </row>
    <row r="918" spans="2:24" x14ac:dyDescent="0.25">
      <c r="B918" s="2">
        <v>1</v>
      </c>
      <c r="C918" s="1">
        <f t="shared" si="110"/>
        <v>12.941176470588175</v>
      </c>
      <c r="D918" s="1">
        <f t="shared" si="108"/>
        <v>1</v>
      </c>
      <c r="E918" s="1">
        <f t="shared" si="111"/>
        <v>0</v>
      </c>
      <c r="F918" s="31">
        <f t="shared" si="109"/>
        <v>14.6</v>
      </c>
      <c r="G918" s="31">
        <f t="shared" ca="1" si="113"/>
        <v>14.6</v>
      </c>
      <c r="H918" s="30">
        <f t="shared" ca="1" si="114"/>
        <v>0</v>
      </c>
      <c r="I918" s="31">
        <f t="shared" ca="1" si="115"/>
        <v>14.6</v>
      </c>
      <c r="Q918" s="80"/>
      <c r="R918" s="42"/>
      <c r="S918" s="90">
        <f t="shared" si="112"/>
        <v>85.999999999999389</v>
      </c>
      <c r="T918" s="42"/>
      <c r="U918" s="42"/>
      <c r="V918" s="42"/>
      <c r="W918" s="42"/>
      <c r="X918" s="81"/>
    </row>
    <row r="919" spans="2:24" x14ac:dyDescent="0.25">
      <c r="B919" s="2">
        <v>1</v>
      </c>
      <c r="C919" s="1">
        <f t="shared" si="110"/>
        <v>13.941176470588175</v>
      </c>
      <c r="D919" s="1">
        <f t="shared" si="108"/>
        <v>1</v>
      </c>
      <c r="E919" s="1">
        <f t="shared" si="111"/>
        <v>0</v>
      </c>
      <c r="F919" s="31">
        <f t="shared" si="109"/>
        <v>14.6</v>
      </c>
      <c r="G919" s="31">
        <f t="shared" ca="1" si="113"/>
        <v>14.6</v>
      </c>
      <c r="H919" s="30">
        <f t="shared" ca="1" si="114"/>
        <v>0</v>
      </c>
      <c r="I919" s="31">
        <f t="shared" ca="1" si="115"/>
        <v>14.6</v>
      </c>
      <c r="Q919" s="80"/>
      <c r="R919" s="42"/>
      <c r="S919" s="90">
        <f t="shared" si="112"/>
        <v>86.099999999999383</v>
      </c>
      <c r="T919" s="42"/>
      <c r="U919" s="42"/>
      <c r="V919" s="42"/>
      <c r="W919" s="42"/>
      <c r="X919" s="81"/>
    </row>
    <row r="920" spans="2:24" x14ac:dyDescent="0.25">
      <c r="B920" s="2">
        <v>1</v>
      </c>
      <c r="C920" s="1">
        <f t="shared" si="110"/>
        <v>14.941176470588175</v>
      </c>
      <c r="D920" s="1">
        <f t="shared" si="108"/>
        <v>1</v>
      </c>
      <c r="E920" s="1">
        <f t="shared" si="111"/>
        <v>0</v>
      </c>
      <c r="F920" s="31">
        <f t="shared" si="109"/>
        <v>14.6</v>
      </c>
      <c r="G920" s="31">
        <f t="shared" ca="1" si="113"/>
        <v>14.6</v>
      </c>
      <c r="H920" s="30">
        <f t="shared" ca="1" si="114"/>
        <v>0</v>
      </c>
      <c r="I920" s="31">
        <f t="shared" ca="1" si="115"/>
        <v>14.6</v>
      </c>
      <c r="Q920" s="80"/>
      <c r="R920" s="42"/>
      <c r="S920" s="90">
        <f t="shared" si="112"/>
        <v>86.199999999999378</v>
      </c>
      <c r="T920" s="42"/>
      <c r="U920" s="42"/>
      <c r="V920" s="42"/>
      <c r="W920" s="42"/>
      <c r="X920" s="81"/>
    </row>
    <row r="921" spans="2:24" x14ac:dyDescent="0.25">
      <c r="B921" s="2">
        <v>1</v>
      </c>
      <c r="C921" s="1">
        <f t="shared" si="110"/>
        <v>15.941176470588175</v>
      </c>
      <c r="D921" s="1">
        <f t="shared" si="108"/>
        <v>1</v>
      </c>
      <c r="E921" s="1">
        <f t="shared" si="111"/>
        <v>0</v>
      </c>
      <c r="F921" s="31">
        <f t="shared" si="109"/>
        <v>14.6</v>
      </c>
      <c r="G921" s="31">
        <f t="shared" ca="1" si="113"/>
        <v>14.6</v>
      </c>
      <c r="H921" s="30">
        <f t="shared" ca="1" si="114"/>
        <v>0</v>
      </c>
      <c r="I921" s="31">
        <f t="shared" ca="1" si="115"/>
        <v>14.6</v>
      </c>
      <c r="Q921" s="80"/>
      <c r="R921" s="42"/>
      <c r="S921" s="90">
        <f t="shared" si="112"/>
        <v>86.299999999999372</v>
      </c>
      <c r="T921" s="42"/>
      <c r="U921" s="42"/>
      <c r="V921" s="42"/>
      <c r="W921" s="42"/>
      <c r="X921" s="81"/>
    </row>
    <row r="922" spans="2:24" x14ac:dyDescent="0.25">
      <c r="B922" s="2">
        <v>1</v>
      </c>
      <c r="C922" s="1">
        <f t="shared" si="110"/>
        <v>16.941176470588175</v>
      </c>
      <c r="D922" s="1">
        <f t="shared" si="108"/>
        <v>1</v>
      </c>
      <c r="E922" s="1">
        <f t="shared" si="111"/>
        <v>0</v>
      </c>
      <c r="F922" s="31">
        <f t="shared" si="109"/>
        <v>14.6</v>
      </c>
      <c r="G922" s="31">
        <f t="shared" ca="1" si="113"/>
        <v>14.6</v>
      </c>
      <c r="H922" s="30">
        <f t="shared" ca="1" si="114"/>
        <v>0</v>
      </c>
      <c r="I922" s="31">
        <f t="shared" ca="1" si="115"/>
        <v>14.6</v>
      </c>
      <c r="Q922" s="80"/>
      <c r="R922" s="42"/>
      <c r="S922" s="90">
        <f t="shared" si="112"/>
        <v>86.399999999999366</v>
      </c>
      <c r="T922" s="42"/>
      <c r="U922" s="42"/>
      <c r="V922" s="42"/>
      <c r="W922" s="42"/>
      <c r="X922" s="81"/>
    </row>
    <row r="923" spans="2:24" x14ac:dyDescent="0.25">
      <c r="B923" s="2">
        <v>1</v>
      </c>
      <c r="C923" s="1">
        <f t="shared" si="110"/>
        <v>17.941176470588175</v>
      </c>
      <c r="D923" s="1">
        <f t="shared" si="108"/>
        <v>1</v>
      </c>
      <c r="E923" s="1">
        <f t="shared" si="111"/>
        <v>0</v>
      </c>
      <c r="F923" s="31">
        <f t="shared" si="109"/>
        <v>14.6</v>
      </c>
      <c r="G923" s="31">
        <f t="shared" ca="1" si="113"/>
        <v>14.6</v>
      </c>
      <c r="H923" s="30">
        <f t="shared" ca="1" si="114"/>
        <v>0</v>
      </c>
      <c r="I923" s="31">
        <f t="shared" ca="1" si="115"/>
        <v>14.6</v>
      </c>
      <c r="Q923" s="80"/>
      <c r="R923" s="42"/>
      <c r="S923" s="90">
        <f t="shared" si="112"/>
        <v>86.499999999999361</v>
      </c>
      <c r="T923" s="42"/>
      <c r="U923" s="42"/>
      <c r="V923" s="42"/>
      <c r="W923" s="42"/>
      <c r="X923" s="81"/>
    </row>
    <row r="924" spans="2:24" x14ac:dyDescent="0.25">
      <c r="B924" s="2">
        <v>1</v>
      </c>
      <c r="C924" s="1">
        <f t="shared" si="110"/>
        <v>18.941176470588175</v>
      </c>
      <c r="D924" s="1">
        <f t="shared" si="108"/>
        <v>1</v>
      </c>
      <c r="E924" s="1">
        <f t="shared" si="111"/>
        <v>0</v>
      </c>
      <c r="F924" s="31">
        <f t="shared" si="109"/>
        <v>14.6</v>
      </c>
      <c r="G924" s="31">
        <f t="shared" ca="1" si="113"/>
        <v>14.6</v>
      </c>
      <c r="H924" s="30">
        <f t="shared" ca="1" si="114"/>
        <v>0</v>
      </c>
      <c r="I924" s="31">
        <f t="shared" ca="1" si="115"/>
        <v>14.6</v>
      </c>
      <c r="Q924" s="80"/>
      <c r="R924" s="42"/>
      <c r="S924" s="90">
        <f t="shared" si="112"/>
        <v>86.599999999999355</v>
      </c>
      <c r="T924" s="42"/>
      <c r="U924" s="42"/>
      <c r="V924" s="42"/>
      <c r="W924" s="42"/>
      <c r="X924" s="81"/>
    </row>
    <row r="925" spans="2:24" x14ac:dyDescent="0.25">
      <c r="B925" s="2">
        <v>1</v>
      </c>
      <c r="C925" s="1">
        <f t="shared" si="110"/>
        <v>19.941176470588175</v>
      </c>
      <c r="D925" s="1">
        <f t="shared" si="108"/>
        <v>1</v>
      </c>
      <c r="E925" s="1">
        <f t="shared" si="111"/>
        <v>0</v>
      </c>
      <c r="F925" s="31">
        <f t="shared" si="109"/>
        <v>14.6</v>
      </c>
      <c r="G925" s="31">
        <f t="shared" ca="1" si="113"/>
        <v>14.6</v>
      </c>
      <c r="H925" s="30">
        <f t="shared" ca="1" si="114"/>
        <v>0</v>
      </c>
      <c r="I925" s="31">
        <f t="shared" ca="1" si="115"/>
        <v>14.6</v>
      </c>
      <c r="Q925" s="80"/>
      <c r="R925" s="42"/>
      <c r="S925" s="90">
        <f t="shared" si="112"/>
        <v>86.699999999999349</v>
      </c>
      <c r="T925" s="42"/>
      <c r="U925" s="42"/>
      <c r="V925" s="42"/>
      <c r="W925" s="42"/>
      <c r="X925" s="81"/>
    </row>
    <row r="926" spans="2:24" x14ac:dyDescent="0.25">
      <c r="B926" s="2">
        <v>1</v>
      </c>
      <c r="C926" s="1">
        <f t="shared" si="110"/>
        <v>20.941176470588175</v>
      </c>
      <c r="D926" s="1">
        <f t="shared" si="108"/>
        <v>1</v>
      </c>
      <c r="E926" s="1">
        <f t="shared" si="111"/>
        <v>0</v>
      </c>
      <c r="F926" s="31">
        <f t="shared" si="109"/>
        <v>14.6</v>
      </c>
      <c r="G926" s="31">
        <f t="shared" ca="1" si="113"/>
        <v>14.6</v>
      </c>
      <c r="H926" s="30">
        <f t="shared" ca="1" si="114"/>
        <v>0</v>
      </c>
      <c r="I926" s="31">
        <f t="shared" ca="1" si="115"/>
        <v>14.6</v>
      </c>
      <c r="Q926" s="80"/>
      <c r="R926" s="42"/>
      <c r="S926" s="90">
        <f t="shared" si="112"/>
        <v>86.799999999999343</v>
      </c>
      <c r="T926" s="42"/>
      <c r="U926" s="42"/>
      <c r="V926" s="42"/>
      <c r="W926" s="42"/>
      <c r="X926" s="81"/>
    </row>
    <row r="927" spans="2:24" x14ac:dyDescent="0.25">
      <c r="B927" s="2">
        <v>1</v>
      </c>
      <c r="C927" s="1">
        <f t="shared" si="110"/>
        <v>21.941176470588175</v>
      </c>
      <c r="D927" s="1">
        <f t="shared" si="108"/>
        <v>1</v>
      </c>
      <c r="E927" s="1">
        <f t="shared" si="111"/>
        <v>0</v>
      </c>
      <c r="F927" s="31">
        <f t="shared" si="109"/>
        <v>14.6</v>
      </c>
      <c r="G927" s="31">
        <f t="shared" ca="1" si="113"/>
        <v>14.6</v>
      </c>
      <c r="H927" s="30">
        <f t="shared" ca="1" si="114"/>
        <v>0</v>
      </c>
      <c r="I927" s="31">
        <f t="shared" ca="1" si="115"/>
        <v>14.6</v>
      </c>
      <c r="Q927" s="80"/>
      <c r="R927" s="42"/>
      <c r="S927" s="90">
        <f t="shared" si="112"/>
        <v>86.899999999999338</v>
      </c>
      <c r="T927" s="42"/>
      <c r="U927" s="42"/>
      <c r="V927" s="42"/>
      <c r="W927" s="42"/>
      <c r="X927" s="81"/>
    </row>
    <row r="928" spans="2:24" x14ac:dyDescent="0.25">
      <c r="B928" s="2">
        <v>1</v>
      </c>
      <c r="C928" s="1">
        <f t="shared" si="110"/>
        <v>22.941176470588175</v>
      </c>
      <c r="D928" s="1">
        <f t="shared" si="108"/>
        <v>0</v>
      </c>
      <c r="E928" s="1">
        <f t="shared" si="111"/>
        <v>1</v>
      </c>
      <c r="F928" s="31">
        <f t="shared" si="109"/>
        <v>6.4</v>
      </c>
      <c r="G928" s="31">
        <f t="shared" ca="1" si="113"/>
        <v>0</v>
      </c>
      <c r="H928" s="30">
        <f t="shared" ca="1" si="114"/>
        <v>14.6</v>
      </c>
      <c r="I928" s="31">
        <f t="shared" ca="1" si="115"/>
        <v>14.6</v>
      </c>
      <c r="Q928" s="80"/>
      <c r="R928" s="42"/>
      <c r="S928" s="90">
        <f t="shared" si="112"/>
        <v>86.999999999999332</v>
      </c>
      <c r="T928" s="42"/>
      <c r="U928" s="42"/>
      <c r="V928" s="42"/>
      <c r="W928" s="42"/>
      <c r="X928" s="81"/>
    </row>
    <row r="929" spans="2:24" x14ac:dyDescent="0.25">
      <c r="B929" s="2">
        <v>1</v>
      </c>
      <c r="C929" s="1">
        <f t="shared" si="110"/>
        <v>23.941176470588175</v>
      </c>
      <c r="D929" s="1">
        <f t="shared" si="108"/>
        <v>0</v>
      </c>
      <c r="E929" s="1">
        <f t="shared" si="111"/>
        <v>1</v>
      </c>
      <c r="F929" s="31">
        <f t="shared" si="109"/>
        <v>6.4</v>
      </c>
      <c r="G929" s="31">
        <f t="shared" ca="1" si="113"/>
        <v>0</v>
      </c>
      <c r="H929" s="30">
        <f t="shared" ca="1" si="114"/>
        <v>6.4</v>
      </c>
      <c r="I929" s="31">
        <f t="shared" ca="1" si="115"/>
        <v>6.4</v>
      </c>
      <c r="Q929" s="80"/>
      <c r="R929" s="42"/>
      <c r="S929" s="90">
        <f t="shared" si="112"/>
        <v>87.099999999999326</v>
      </c>
      <c r="T929" s="42"/>
      <c r="U929" s="42"/>
      <c r="V929" s="42"/>
      <c r="W929" s="42"/>
      <c r="X929" s="81"/>
    </row>
    <row r="930" spans="2:24" x14ac:dyDescent="0.25">
      <c r="B930" s="2">
        <v>1</v>
      </c>
      <c r="C930" s="1">
        <f t="shared" si="110"/>
        <v>24.941176470588175</v>
      </c>
      <c r="D930" s="1">
        <f t="shared" si="108"/>
        <v>0</v>
      </c>
      <c r="E930" s="1">
        <f t="shared" si="111"/>
        <v>1</v>
      </c>
      <c r="F930" s="31">
        <f t="shared" si="109"/>
        <v>6.4</v>
      </c>
      <c r="G930" s="31">
        <f t="shared" ca="1" si="113"/>
        <v>0</v>
      </c>
      <c r="H930" s="30">
        <f t="shared" ca="1" si="114"/>
        <v>6.4</v>
      </c>
      <c r="I930" s="31">
        <f t="shared" ca="1" si="115"/>
        <v>6.4</v>
      </c>
      <c r="Q930" s="80"/>
      <c r="R930" s="42"/>
      <c r="S930" s="90">
        <f t="shared" si="112"/>
        <v>87.199999999999321</v>
      </c>
      <c r="T930" s="42"/>
      <c r="U930" s="42"/>
      <c r="V930" s="42"/>
      <c r="W930" s="42"/>
      <c r="X930" s="81"/>
    </row>
    <row r="931" spans="2:24" x14ac:dyDescent="0.25">
      <c r="B931" s="2">
        <v>1</v>
      </c>
      <c r="C931" s="1">
        <f t="shared" si="110"/>
        <v>25.941176470588175</v>
      </c>
      <c r="D931" s="1">
        <f t="shared" si="108"/>
        <v>0</v>
      </c>
      <c r="E931" s="1">
        <f t="shared" si="111"/>
        <v>1</v>
      </c>
      <c r="F931" s="31">
        <f t="shared" si="109"/>
        <v>6.4</v>
      </c>
      <c r="G931" s="31">
        <f t="shared" ca="1" si="113"/>
        <v>0</v>
      </c>
      <c r="H931" s="30">
        <f t="shared" ca="1" si="114"/>
        <v>6.4</v>
      </c>
      <c r="I931" s="31">
        <f t="shared" ca="1" si="115"/>
        <v>6.4</v>
      </c>
      <c r="Q931" s="80"/>
      <c r="R931" s="42"/>
      <c r="S931" s="90">
        <f t="shared" si="112"/>
        <v>87.299999999999315</v>
      </c>
      <c r="T931" s="42"/>
      <c r="U931" s="42"/>
      <c r="V931" s="42"/>
      <c r="W931" s="42"/>
      <c r="X931" s="81"/>
    </row>
    <row r="932" spans="2:24" x14ac:dyDescent="0.25">
      <c r="B932" s="2">
        <v>1</v>
      </c>
      <c r="C932" s="1">
        <f t="shared" si="110"/>
        <v>26.941176470588175</v>
      </c>
      <c r="D932" s="1">
        <f t="shared" si="108"/>
        <v>0</v>
      </c>
      <c r="E932" s="1">
        <f t="shared" si="111"/>
        <v>1</v>
      </c>
      <c r="F932" s="31">
        <f t="shared" si="109"/>
        <v>6.4</v>
      </c>
      <c r="G932" s="31">
        <f t="shared" ca="1" si="113"/>
        <v>0</v>
      </c>
      <c r="H932" s="30">
        <f t="shared" ca="1" si="114"/>
        <v>6.4</v>
      </c>
      <c r="I932" s="31">
        <f t="shared" ca="1" si="115"/>
        <v>6.4</v>
      </c>
      <c r="Q932" s="80"/>
      <c r="R932" s="42"/>
      <c r="S932" s="90">
        <f t="shared" si="112"/>
        <v>87.399999999999309</v>
      </c>
      <c r="T932" s="42"/>
      <c r="U932" s="42"/>
      <c r="V932" s="42"/>
      <c r="W932" s="42"/>
      <c r="X932" s="81"/>
    </row>
    <row r="933" spans="2:24" x14ac:dyDescent="0.25">
      <c r="B933" s="2">
        <v>1</v>
      </c>
      <c r="C933" s="1">
        <f t="shared" si="110"/>
        <v>27.941176470588175</v>
      </c>
      <c r="D933" s="1">
        <f t="shared" si="108"/>
        <v>0</v>
      </c>
      <c r="E933" s="1">
        <f t="shared" si="111"/>
        <v>1</v>
      </c>
      <c r="F933" s="31">
        <f t="shared" si="109"/>
        <v>6.4</v>
      </c>
      <c r="G933" s="31">
        <f t="shared" ca="1" si="113"/>
        <v>0</v>
      </c>
      <c r="H933" s="30">
        <f t="shared" ca="1" si="114"/>
        <v>6.4</v>
      </c>
      <c r="I933" s="31">
        <f t="shared" ca="1" si="115"/>
        <v>6.4</v>
      </c>
      <c r="Q933" s="80"/>
      <c r="R933" s="42"/>
      <c r="S933" s="90">
        <f t="shared" si="112"/>
        <v>87.499999999999304</v>
      </c>
      <c r="T933" s="42"/>
      <c r="U933" s="42"/>
      <c r="V933" s="42"/>
      <c r="W933" s="42"/>
      <c r="X933" s="81"/>
    </row>
    <row r="934" spans="2:24" x14ac:dyDescent="0.25">
      <c r="B934" s="2">
        <v>1</v>
      </c>
      <c r="C934" s="1">
        <f t="shared" si="110"/>
        <v>28.941176470588175</v>
      </c>
      <c r="D934" s="1">
        <f t="shared" si="108"/>
        <v>0</v>
      </c>
      <c r="E934" s="1">
        <f t="shared" si="111"/>
        <v>1</v>
      </c>
      <c r="F934" s="31">
        <f t="shared" si="109"/>
        <v>6.4</v>
      </c>
      <c r="G934" s="31">
        <f t="shared" ca="1" si="113"/>
        <v>0</v>
      </c>
      <c r="H934" s="30">
        <f t="shared" ca="1" si="114"/>
        <v>6.4</v>
      </c>
      <c r="I934" s="31">
        <f t="shared" ca="1" si="115"/>
        <v>6.4</v>
      </c>
      <c r="Q934" s="80"/>
      <c r="R934" s="42"/>
      <c r="S934" s="90">
        <f t="shared" si="112"/>
        <v>87.599999999999298</v>
      </c>
      <c r="T934" s="42"/>
      <c r="U934" s="42"/>
      <c r="V934" s="42"/>
      <c r="W934" s="42"/>
      <c r="X934" s="81"/>
    </row>
    <row r="935" spans="2:24" x14ac:dyDescent="0.25">
      <c r="B935" s="2">
        <v>1</v>
      </c>
      <c r="C935" s="1">
        <f t="shared" si="110"/>
        <v>29.941176470588175</v>
      </c>
      <c r="D935" s="1">
        <f t="shared" si="108"/>
        <v>0</v>
      </c>
      <c r="E935" s="1">
        <f t="shared" si="111"/>
        <v>1</v>
      </c>
      <c r="F935" s="31">
        <f t="shared" si="109"/>
        <v>6.4</v>
      </c>
      <c r="G935" s="31">
        <f t="shared" ca="1" si="113"/>
        <v>0</v>
      </c>
      <c r="H935" s="30">
        <f t="shared" ca="1" si="114"/>
        <v>6.4</v>
      </c>
      <c r="I935" s="31">
        <f t="shared" ca="1" si="115"/>
        <v>6.4</v>
      </c>
      <c r="Q935" s="80"/>
      <c r="R935" s="42"/>
      <c r="S935" s="90">
        <f t="shared" si="112"/>
        <v>87.699999999999292</v>
      </c>
      <c r="T935" s="42"/>
      <c r="U935" s="42"/>
      <c r="V935" s="42"/>
      <c r="W935" s="42"/>
      <c r="X935" s="81"/>
    </row>
    <row r="936" spans="2:24" x14ac:dyDescent="0.25">
      <c r="B936" s="2">
        <v>1</v>
      </c>
      <c r="C936" s="1">
        <f t="shared" si="110"/>
        <v>30.941176470588175</v>
      </c>
      <c r="D936" s="1">
        <f t="shared" si="108"/>
        <v>0</v>
      </c>
      <c r="E936" s="1">
        <f t="shared" si="111"/>
        <v>1</v>
      </c>
      <c r="F936" s="31">
        <f t="shared" si="109"/>
        <v>6.4</v>
      </c>
      <c r="G936" s="31">
        <f t="shared" ca="1" si="113"/>
        <v>0</v>
      </c>
      <c r="H936" s="30">
        <f t="shared" ca="1" si="114"/>
        <v>6.4</v>
      </c>
      <c r="I936" s="31">
        <f t="shared" ca="1" si="115"/>
        <v>6.4</v>
      </c>
      <c r="Q936" s="80"/>
      <c r="R936" s="42"/>
      <c r="S936" s="90">
        <f t="shared" si="112"/>
        <v>87.799999999999287</v>
      </c>
      <c r="T936" s="42"/>
      <c r="U936" s="42"/>
      <c r="V936" s="42"/>
      <c r="W936" s="42"/>
      <c r="X936" s="81"/>
    </row>
    <row r="937" spans="2:24" x14ac:dyDescent="0.25">
      <c r="B937" s="2">
        <v>1</v>
      </c>
      <c r="C937" s="1">
        <f t="shared" si="110"/>
        <v>31.941176470588175</v>
      </c>
      <c r="D937" s="1">
        <f t="shared" si="108"/>
        <v>0</v>
      </c>
      <c r="E937" s="1">
        <f t="shared" si="111"/>
        <v>1</v>
      </c>
      <c r="F937" s="31">
        <f t="shared" si="109"/>
        <v>6.4</v>
      </c>
      <c r="G937" s="31">
        <f t="shared" ca="1" si="113"/>
        <v>0</v>
      </c>
      <c r="H937" s="30">
        <f t="shared" ca="1" si="114"/>
        <v>6.4</v>
      </c>
      <c r="I937" s="31">
        <f t="shared" ca="1" si="115"/>
        <v>6.4</v>
      </c>
      <c r="Q937" s="80"/>
      <c r="R937" s="42"/>
      <c r="S937" s="90">
        <f t="shared" si="112"/>
        <v>87.899999999999281</v>
      </c>
      <c r="T937" s="42"/>
      <c r="U937" s="42"/>
      <c r="V937" s="42"/>
      <c r="W937" s="42"/>
      <c r="X937" s="81"/>
    </row>
    <row r="938" spans="2:24" x14ac:dyDescent="0.25">
      <c r="B938" s="2">
        <v>1</v>
      </c>
      <c r="C938" s="1">
        <f t="shared" si="110"/>
        <v>32.941176470588175</v>
      </c>
      <c r="D938" s="1">
        <f t="shared" si="108"/>
        <v>0</v>
      </c>
      <c r="E938" s="1">
        <f t="shared" si="111"/>
        <v>1</v>
      </c>
      <c r="F938" s="31">
        <f t="shared" si="109"/>
        <v>6.4</v>
      </c>
      <c r="G938" s="31">
        <f t="shared" ca="1" si="113"/>
        <v>0</v>
      </c>
      <c r="H938" s="30">
        <f t="shared" ca="1" si="114"/>
        <v>6.4</v>
      </c>
      <c r="I938" s="31">
        <f t="shared" ca="1" si="115"/>
        <v>6.4</v>
      </c>
      <c r="Q938" s="80"/>
      <c r="R938" s="42"/>
      <c r="S938" s="90">
        <f t="shared" si="112"/>
        <v>87.999999999999275</v>
      </c>
      <c r="T938" s="42"/>
      <c r="U938" s="42"/>
      <c r="V938" s="42"/>
      <c r="W938" s="42"/>
      <c r="X938" s="81"/>
    </row>
    <row r="939" spans="2:24" x14ac:dyDescent="0.25">
      <c r="B939" s="2">
        <v>1</v>
      </c>
      <c r="C939" s="1">
        <f t="shared" si="110"/>
        <v>33.941176470588175</v>
      </c>
      <c r="D939" s="1">
        <f t="shared" si="108"/>
        <v>0</v>
      </c>
      <c r="E939" s="1">
        <f t="shared" si="111"/>
        <v>1</v>
      </c>
      <c r="F939" s="31">
        <f t="shared" si="109"/>
        <v>6.4</v>
      </c>
      <c r="G939" s="31">
        <f t="shared" ca="1" si="113"/>
        <v>0</v>
      </c>
      <c r="H939" s="30">
        <f t="shared" ca="1" si="114"/>
        <v>6.4</v>
      </c>
      <c r="I939" s="31">
        <f t="shared" ca="1" si="115"/>
        <v>6.4</v>
      </c>
      <c r="Q939" s="80"/>
      <c r="R939" s="42"/>
      <c r="S939" s="90">
        <f t="shared" si="112"/>
        <v>88.09999999999927</v>
      </c>
      <c r="T939" s="42"/>
      <c r="U939" s="42"/>
      <c r="V939" s="42"/>
      <c r="W939" s="42"/>
      <c r="X939" s="81"/>
    </row>
    <row r="940" spans="2:24" x14ac:dyDescent="0.25">
      <c r="B940" s="2">
        <v>1</v>
      </c>
      <c r="C940" s="1">
        <f t="shared" si="110"/>
        <v>34.941176470588175</v>
      </c>
      <c r="D940" s="1">
        <f t="shared" si="108"/>
        <v>0</v>
      </c>
      <c r="E940" s="1">
        <f t="shared" si="111"/>
        <v>1</v>
      </c>
      <c r="F940" s="31">
        <f t="shared" si="109"/>
        <v>6.4</v>
      </c>
      <c r="G940" s="31">
        <f t="shared" ca="1" si="113"/>
        <v>0</v>
      </c>
      <c r="H940" s="30">
        <f t="shared" ca="1" si="114"/>
        <v>6.4</v>
      </c>
      <c r="I940" s="31">
        <f t="shared" ca="1" si="115"/>
        <v>6.4</v>
      </c>
      <c r="Q940" s="80"/>
      <c r="R940" s="42"/>
      <c r="S940" s="90">
        <f t="shared" si="112"/>
        <v>88.199999999999264</v>
      </c>
      <c r="T940" s="42"/>
      <c r="U940" s="42"/>
      <c r="V940" s="42"/>
      <c r="W940" s="42"/>
      <c r="X940" s="81"/>
    </row>
    <row r="941" spans="2:24" x14ac:dyDescent="0.25">
      <c r="B941" s="2">
        <v>1</v>
      </c>
      <c r="C941" s="1">
        <f t="shared" si="110"/>
        <v>0.64705882352934907</v>
      </c>
      <c r="D941" s="1">
        <f t="shared" si="108"/>
        <v>1</v>
      </c>
      <c r="E941" s="1">
        <f t="shared" si="111"/>
        <v>0</v>
      </c>
      <c r="F941" s="31">
        <f t="shared" si="109"/>
        <v>14.6</v>
      </c>
      <c r="G941" s="31">
        <f t="shared" ca="1" si="113"/>
        <v>6.4</v>
      </c>
      <c r="H941" s="30">
        <f t="shared" ca="1" si="114"/>
        <v>0</v>
      </c>
      <c r="I941" s="31">
        <f t="shared" ca="1" si="115"/>
        <v>6.4</v>
      </c>
      <c r="Q941" s="80"/>
      <c r="R941" s="42"/>
      <c r="S941" s="90">
        <f t="shared" si="112"/>
        <v>88.299999999999258</v>
      </c>
      <c r="T941" s="42"/>
      <c r="U941" s="42"/>
      <c r="V941" s="42"/>
      <c r="W941" s="42"/>
      <c r="X941" s="81"/>
    </row>
    <row r="942" spans="2:24" x14ac:dyDescent="0.25">
      <c r="B942" s="2">
        <v>1</v>
      </c>
      <c r="C942" s="1">
        <f t="shared" si="110"/>
        <v>1.6470588235293491</v>
      </c>
      <c r="D942" s="1">
        <f t="shared" si="108"/>
        <v>1</v>
      </c>
      <c r="E942" s="1">
        <f t="shared" si="111"/>
        <v>0</v>
      </c>
      <c r="F942" s="31">
        <f t="shared" si="109"/>
        <v>14.6</v>
      </c>
      <c r="G942" s="31">
        <f t="shared" ca="1" si="113"/>
        <v>8.4500000000000011</v>
      </c>
      <c r="H942" s="30">
        <f t="shared" ca="1" si="114"/>
        <v>0</v>
      </c>
      <c r="I942" s="31">
        <f t="shared" ca="1" si="115"/>
        <v>8.4500000000000011</v>
      </c>
      <c r="Q942" s="80"/>
      <c r="R942" s="42"/>
      <c r="S942" s="90">
        <f t="shared" si="112"/>
        <v>88.399999999999253</v>
      </c>
      <c r="T942" s="42"/>
      <c r="U942" s="42"/>
      <c r="V942" s="42"/>
      <c r="W942" s="42"/>
      <c r="X942" s="81"/>
    </row>
    <row r="943" spans="2:24" x14ac:dyDescent="0.25">
      <c r="B943" s="2">
        <v>1</v>
      </c>
      <c r="C943" s="1">
        <f t="shared" si="110"/>
        <v>2.6470588235293491</v>
      </c>
      <c r="D943" s="1">
        <f t="shared" si="108"/>
        <v>1</v>
      </c>
      <c r="E943" s="1">
        <f t="shared" si="111"/>
        <v>0</v>
      </c>
      <c r="F943" s="31">
        <f t="shared" si="109"/>
        <v>14.6</v>
      </c>
      <c r="G943" s="31">
        <f t="shared" ca="1" si="113"/>
        <v>10.5</v>
      </c>
      <c r="H943" s="30">
        <f t="shared" ca="1" si="114"/>
        <v>0</v>
      </c>
      <c r="I943" s="31">
        <f t="shared" ca="1" si="115"/>
        <v>10.5</v>
      </c>
      <c r="Q943" s="80"/>
      <c r="R943" s="42"/>
      <c r="S943" s="90">
        <f t="shared" si="112"/>
        <v>88.499999999999247</v>
      </c>
      <c r="T943" s="42"/>
      <c r="U943" s="42"/>
      <c r="V943" s="42"/>
      <c r="W943" s="42"/>
      <c r="X943" s="81"/>
    </row>
    <row r="944" spans="2:24" x14ac:dyDescent="0.25">
      <c r="B944" s="2">
        <v>1</v>
      </c>
      <c r="C944" s="1">
        <f t="shared" si="110"/>
        <v>3.6470588235293491</v>
      </c>
      <c r="D944" s="1">
        <f t="shared" si="108"/>
        <v>1</v>
      </c>
      <c r="E944" s="1">
        <f t="shared" si="111"/>
        <v>0</v>
      </c>
      <c r="F944" s="31">
        <f t="shared" si="109"/>
        <v>14.6</v>
      </c>
      <c r="G944" s="31">
        <f t="shared" ca="1" si="113"/>
        <v>12.55</v>
      </c>
      <c r="H944" s="30">
        <f t="shared" ca="1" si="114"/>
        <v>0</v>
      </c>
      <c r="I944" s="31">
        <f t="shared" ca="1" si="115"/>
        <v>12.55</v>
      </c>
      <c r="Q944" s="80"/>
      <c r="R944" s="42"/>
      <c r="S944" s="90">
        <f t="shared" si="112"/>
        <v>88.599999999999241</v>
      </c>
      <c r="T944" s="42"/>
      <c r="U944" s="42"/>
      <c r="V944" s="42"/>
      <c r="W944" s="42"/>
      <c r="X944" s="81"/>
    </row>
    <row r="945" spans="2:24" x14ac:dyDescent="0.25">
      <c r="B945" s="2">
        <v>1</v>
      </c>
      <c r="C945" s="1">
        <f t="shared" si="110"/>
        <v>4.6470588235293491</v>
      </c>
      <c r="D945" s="1">
        <f t="shared" si="108"/>
        <v>1</v>
      </c>
      <c r="E945" s="1">
        <f t="shared" si="111"/>
        <v>0</v>
      </c>
      <c r="F945" s="31">
        <f t="shared" si="109"/>
        <v>14.6</v>
      </c>
      <c r="G945" s="31">
        <f t="shared" ca="1" si="113"/>
        <v>14.6</v>
      </c>
      <c r="H945" s="30">
        <f t="shared" ca="1" si="114"/>
        <v>0</v>
      </c>
      <c r="I945" s="31">
        <f t="shared" ca="1" si="115"/>
        <v>14.6</v>
      </c>
      <c r="Q945" s="80"/>
      <c r="R945" s="42"/>
      <c r="S945" s="90">
        <f t="shared" si="112"/>
        <v>88.699999999999235</v>
      </c>
      <c r="T945" s="42"/>
      <c r="U945" s="42"/>
      <c r="V945" s="42"/>
      <c r="W945" s="42"/>
      <c r="X945" s="81"/>
    </row>
    <row r="946" spans="2:24" x14ac:dyDescent="0.25">
      <c r="B946" s="2">
        <v>1</v>
      </c>
      <c r="C946" s="1">
        <f t="shared" si="110"/>
        <v>5.6470588235293491</v>
      </c>
      <c r="D946" s="1">
        <f t="shared" si="108"/>
        <v>1</v>
      </c>
      <c r="E946" s="1">
        <f t="shared" si="111"/>
        <v>0</v>
      </c>
      <c r="F946" s="31">
        <f t="shared" si="109"/>
        <v>14.6</v>
      </c>
      <c r="G946" s="31">
        <f t="shared" ca="1" si="113"/>
        <v>14.6</v>
      </c>
      <c r="H946" s="30">
        <f t="shared" ca="1" si="114"/>
        <v>0</v>
      </c>
      <c r="I946" s="31">
        <f t="shared" ca="1" si="115"/>
        <v>14.6</v>
      </c>
      <c r="Q946" s="80"/>
      <c r="R946" s="42"/>
      <c r="S946" s="90">
        <f t="shared" si="112"/>
        <v>88.79999999999923</v>
      </c>
      <c r="T946" s="42"/>
      <c r="U946" s="42"/>
      <c r="V946" s="42"/>
      <c r="W946" s="42"/>
      <c r="X946" s="81"/>
    </row>
    <row r="947" spans="2:24" x14ac:dyDescent="0.25">
      <c r="B947" s="2">
        <v>1</v>
      </c>
      <c r="C947" s="1">
        <f t="shared" si="110"/>
        <v>6.6470588235293491</v>
      </c>
      <c r="D947" s="1">
        <f t="shared" si="108"/>
        <v>1</v>
      </c>
      <c r="E947" s="1">
        <f t="shared" si="111"/>
        <v>0</v>
      </c>
      <c r="F947" s="31">
        <f t="shared" si="109"/>
        <v>14.6</v>
      </c>
      <c r="G947" s="31">
        <f t="shared" ca="1" si="113"/>
        <v>14.6</v>
      </c>
      <c r="H947" s="30">
        <f t="shared" ca="1" si="114"/>
        <v>0</v>
      </c>
      <c r="I947" s="31">
        <f t="shared" ca="1" si="115"/>
        <v>14.6</v>
      </c>
      <c r="Q947" s="80"/>
      <c r="R947" s="42"/>
      <c r="S947" s="90">
        <f t="shared" si="112"/>
        <v>88.899999999999224</v>
      </c>
      <c r="T947" s="42"/>
      <c r="U947" s="42"/>
      <c r="V947" s="42"/>
      <c r="W947" s="42"/>
      <c r="X947" s="81"/>
    </row>
    <row r="948" spans="2:24" x14ac:dyDescent="0.25">
      <c r="B948" s="2">
        <v>1</v>
      </c>
      <c r="C948" s="1">
        <f t="shared" si="110"/>
        <v>7.6470588235293491</v>
      </c>
      <c r="D948" s="1">
        <f t="shared" si="108"/>
        <v>1</v>
      </c>
      <c r="E948" s="1">
        <f t="shared" si="111"/>
        <v>0</v>
      </c>
      <c r="F948" s="31">
        <f t="shared" si="109"/>
        <v>14.6</v>
      </c>
      <c r="G948" s="31">
        <f t="shared" ca="1" si="113"/>
        <v>14.6</v>
      </c>
      <c r="H948" s="30">
        <f t="shared" ca="1" si="114"/>
        <v>0</v>
      </c>
      <c r="I948" s="31">
        <f t="shared" ca="1" si="115"/>
        <v>14.6</v>
      </c>
      <c r="Q948" s="80"/>
      <c r="R948" s="42"/>
      <c r="S948" s="90">
        <f t="shared" si="112"/>
        <v>88.999999999999218</v>
      </c>
      <c r="T948" s="42"/>
      <c r="U948" s="42"/>
      <c r="V948" s="42"/>
      <c r="W948" s="42"/>
      <c r="X948" s="81"/>
    </row>
    <row r="949" spans="2:24" x14ac:dyDescent="0.25">
      <c r="B949" s="2">
        <v>1</v>
      </c>
      <c r="C949" s="1">
        <f t="shared" si="110"/>
        <v>8.6470588235293491</v>
      </c>
      <c r="D949" s="1">
        <f t="shared" si="108"/>
        <v>1</v>
      </c>
      <c r="E949" s="1">
        <f t="shared" si="111"/>
        <v>0</v>
      </c>
      <c r="F949" s="31">
        <f t="shared" si="109"/>
        <v>14.6</v>
      </c>
      <c r="G949" s="31">
        <f t="shared" ca="1" si="113"/>
        <v>14.6</v>
      </c>
      <c r="H949" s="30">
        <f t="shared" ca="1" si="114"/>
        <v>0</v>
      </c>
      <c r="I949" s="31">
        <f t="shared" ca="1" si="115"/>
        <v>14.6</v>
      </c>
      <c r="Q949" s="80"/>
      <c r="R949" s="42"/>
      <c r="S949" s="90">
        <f t="shared" si="112"/>
        <v>89.099999999999213</v>
      </c>
      <c r="T949" s="42"/>
      <c r="U949" s="42"/>
      <c r="V949" s="42"/>
      <c r="W949" s="42"/>
      <c r="X949" s="81"/>
    </row>
    <row r="950" spans="2:24" x14ac:dyDescent="0.25">
      <c r="B950" s="2">
        <v>1</v>
      </c>
      <c r="C950" s="1">
        <f t="shared" si="110"/>
        <v>9.6470588235293491</v>
      </c>
      <c r="D950" s="1">
        <f t="shared" si="108"/>
        <v>1</v>
      </c>
      <c r="E950" s="1">
        <f t="shared" si="111"/>
        <v>0</v>
      </c>
      <c r="F950" s="31">
        <f t="shared" si="109"/>
        <v>14.6</v>
      </c>
      <c r="G950" s="31">
        <f t="shared" ca="1" si="113"/>
        <v>14.6</v>
      </c>
      <c r="H950" s="30">
        <f t="shared" ca="1" si="114"/>
        <v>0</v>
      </c>
      <c r="I950" s="31">
        <f t="shared" ca="1" si="115"/>
        <v>14.6</v>
      </c>
      <c r="Q950" s="80"/>
      <c r="R950" s="42"/>
      <c r="S950" s="90">
        <f t="shared" si="112"/>
        <v>89.199999999999207</v>
      </c>
      <c r="T950" s="42"/>
      <c r="U950" s="42"/>
      <c r="V950" s="42"/>
      <c r="W950" s="42"/>
      <c r="X950" s="81"/>
    </row>
    <row r="951" spans="2:24" x14ac:dyDescent="0.25">
      <c r="B951" s="2">
        <v>1</v>
      </c>
      <c r="C951" s="1">
        <f t="shared" si="110"/>
        <v>10.647058823529349</v>
      </c>
      <c r="D951" s="1">
        <f t="shared" si="108"/>
        <v>1</v>
      </c>
      <c r="E951" s="1">
        <f t="shared" si="111"/>
        <v>0</v>
      </c>
      <c r="F951" s="31">
        <f t="shared" si="109"/>
        <v>14.6</v>
      </c>
      <c r="G951" s="31">
        <f t="shared" ca="1" si="113"/>
        <v>14.6</v>
      </c>
      <c r="H951" s="30">
        <f t="shared" ca="1" si="114"/>
        <v>0</v>
      </c>
      <c r="I951" s="31">
        <f t="shared" ca="1" si="115"/>
        <v>14.6</v>
      </c>
      <c r="Q951" s="80"/>
      <c r="R951" s="42"/>
      <c r="S951" s="90">
        <f t="shared" si="112"/>
        <v>89.299999999999201</v>
      </c>
      <c r="T951" s="42"/>
      <c r="U951" s="42"/>
      <c r="V951" s="42"/>
      <c r="W951" s="42"/>
      <c r="X951" s="81"/>
    </row>
    <row r="952" spans="2:24" x14ac:dyDescent="0.25">
      <c r="B952" s="2">
        <v>1</v>
      </c>
      <c r="C952" s="1">
        <f t="shared" si="110"/>
        <v>11.647058823529349</v>
      </c>
      <c r="D952" s="1">
        <f t="shared" si="108"/>
        <v>1</v>
      </c>
      <c r="E952" s="1">
        <f t="shared" si="111"/>
        <v>0</v>
      </c>
      <c r="F952" s="31">
        <f t="shared" si="109"/>
        <v>14.6</v>
      </c>
      <c r="G952" s="31">
        <f t="shared" ca="1" si="113"/>
        <v>14.6</v>
      </c>
      <c r="H952" s="30">
        <f t="shared" ca="1" si="114"/>
        <v>0</v>
      </c>
      <c r="I952" s="31">
        <f t="shared" ca="1" si="115"/>
        <v>14.6</v>
      </c>
      <c r="Q952" s="80"/>
      <c r="R952" s="42"/>
      <c r="S952" s="90">
        <f t="shared" si="112"/>
        <v>89.399999999999196</v>
      </c>
      <c r="T952" s="42"/>
      <c r="U952" s="42"/>
      <c r="V952" s="42"/>
      <c r="W952" s="42"/>
      <c r="X952" s="81"/>
    </row>
    <row r="953" spans="2:24" x14ac:dyDescent="0.25">
      <c r="B953" s="2">
        <v>1</v>
      </c>
      <c r="C953" s="1">
        <f t="shared" si="110"/>
        <v>12.647058823529349</v>
      </c>
      <c r="D953" s="1">
        <f t="shared" si="108"/>
        <v>1</v>
      </c>
      <c r="E953" s="1">
        <f t="shared" si="111"/>
        <v>0</v>
      </c>
      <c r="F953" s="31">
        <f t="shared" si="109"/>
        <v>14.6</v>
      </c>
      <c r="G953" s="31">
        <f t="shared" ca="1" si="113"/>
        <v>14.6</v>
      </c>
      <c r="H953" s="30">
        <f t="shared" ca="1" si="114"/>
        <v>0</v>
      </c>
      <c r="I953" s="31">
        <f t="shared" ca="1" si="115"/>
        <v>14.6</v>
      </c>
      <c r="Q953" s="80"/>
      <c r="R953" s="42"/>
      <c r="S953" s="90">
        <f t="shared" si="112"/>
        <v>89.49999999999919</v>
      </c>
      <c r="T953" s="42"/>
      <c r="U953" s="42"/>
      <c r="V953" s="42"/>
      <c r="W953" s="42"/>
      <c r="X953" s="81"/>
    </row>
    <row r="954" spans="2:24" x14ac:dyDescent="0.25">
      <c r="B954" s="2">
        <v>1</v>
      </c>
      <c r="C954" s="1">
        <f t="shared" si="110"/>
        <v>13.647058823529349</v>
      </c>
      <c r="D954" s="1">
        <f t="shared" ref="D954:D1017" si="116">IF(C954&lt;=Inhelation_Time_RT,1,0)</f>
        <v>1</v>
      </c>
      <c r="E954" s="1">
        <f t="shared" si="111"/>
        <v>0</v>
      </c>
      <c r="F954" s="31">
        <f t="shared" ref="F954:F1017" si="117">(D954*Inspiratory_pressure_level) + (E954*PEEP)</f>
        <v>14.6</v>
      </c>
      <c r="G954" s="31">
        <f t="shared" ca="1" si="113"/>
        <v>14.6</v>
      </c>
      <c r="H954" s="30">
        <f t="shared" ca="1" si="114"/>
        <v>0</v>
      </c>
      <c r="I954" s="31">
        <f t="shared" ca="1" si="115"/>
        <v>14.6</v>
      </c>
      <c r="Q954" s="80"/>
      <c r="R954" s="42"/>
      <c r="S954" s="90">
        <f t="shared" si="112"/>
        <v>89.599999999999184</v>
      </c>
      <c r="T954" s="42"/>
      <c r="U954" s="42"/>
      <c r="V954" s="42"/>
      <c r="W954" s="42"/>
      <c r="X954" s="81"/>
    </row>
    <row r="955" spans="2:24" x14ac:dyDescent="0.25">
      <c r="B955" s="2">
        <v>1</v>
      </c>
      <c r="C955" s="1">
        <f t="shared" ref="C955:C1018" si="118">MOD(C954+B955,time_for_breath_RT)</f>
        <v>14.647058823529349</v>
      </c>
      <c r="D955" s="1">
        <f t="shared" si="116"/>
        <v>1</v>
      </c>
      <c r="E955" s="1">
        <f t="shared" ref="E955:E1018" si="119">IF(D955=1,0,1)</f>
        <v>0</v>
      </c>
      <c r="F955" s="31">
        <f t="shared" si="117"/>
        <v>14.6</v>
      </c>
      <c r="G955" s="31">
        <f t="shared" ca="1" si="113"/>
        <v>14.6</v>
      </c>
      <c r="H955" s="30">
        <f t="shared" ca="1" si="114"/>
        <v>0</v>
      </c>
      <c r="I955" s="31">
        <f t="shared" ca="1" si="115"/>
        <v>14.6</v>
      </c>
      <c r="Q955" s="80"/>
      <c r="R955" s="42"/>
      <c r="S955" s="90">
        <f t="shared" ref="S955:S1018" si="120">S954+(B954 / RTC_to_seconds)</f>
        <v>89.699999999999179</v>
      </c>
      <c r="T955" s="42"/>
      <c r="U955" s="42"/>
      <c r="V955" s="42"/>
      <c r="W955" s="42"/>
      <c r="X955" s="81"/>
    </row>
    <row r="956" spans="2:24" x14ac:dyDescent="0.25">
      <c r="B956" s="2">
        <v>1</v>
      </c>
      <c r="C956" s="1">
        <f t="shared" si="118"/>
        <v>15.647058823529349</v>
      </c>
      <c r="D956" s="1">
        <f t="shared" si="116"/>
        <v>1</v>
      </c>
      <c r="E956" s="1">
        <f t="shared" si="119"/>
        <v>0</v>
      </c>
      <c r="F956" s="31">
        <f t="shared" si="117"/>
        <v>14.6</v>
      </c>
      <c r="G956" s="31">
        <f t="shared" ca="1" si="113"/>
        <v>14.6</v>
      </c>
      <c r="H956" s="30">
        <f t="shared" ca="1" si="114"/>
        <v>0</v>
      </c>
      <c r="I956" s="31">
        <f t="shared" ca="1" si="115"/>
        <v>14.6</v>
      </c>
      <c r="Q956" s="80"/>
      <c r="R956" s="42"/>
      <c r="S956" s="90">
        <f t="shared" si="120"/>
        <v>89.799999999999173</v>
      </c>
      <c r="T956" s="42"/>
      <c r="U956" s="42"/>
      <c r="V956" s="42"/>
      <c r="W956" s="42"/>
      <c r="X956" s="81"/>
    </row>
    <row r="957" spans="2:24" x14ac:dyDescent="0.25">
      <c r="B957" s="2">
        <v>1</v>
      </c>
      <c r="C957" s="1">
        <f t="shared" si="118"/>
        <v>16.647058823529349</v>
      </c>
      <c r="D957" s="1">
        <f t="shared" si="116"/>
        <v>1</v>
      </c>
      <c r="E957" s="1">
        <f t="shared" si="119"/>
        <v>0</v>
      </c>
      <c r="F957" s="31">
        <f t="shared" si="117"/>
        <v>14.6</v>
      </c>
      <c r="G957" s="31">
        <f t="shared" ca="1" si="113"/>
        <v>14.6</v>
      </c>
      <c r="H957" s="30">
        <f t="shared" ca="1" si="114"/>
        <v>0</v>
      </c>
      <c r="I957" s="31">
        <f t="shared" ca="1" si="115"/>
        <v>14.6</v>
      </c>
      <c r="Q957" s="80"/>
      <c r="R957" s="42"/>
      <c r="S957" s="90">
        <f t="shared" si="120"/>
        <v>89.899999999999167</v>
      </c>
      <c r="T957" s="42"/>
      <c r="U957" s="42"/>
      <c r="V957" s="42"/>
      <c r="W957" s="42"/>
      <c r="X957" s="81"/>
    </row>
    <row r="958" spans="2:24" x14ac:dyDescent="0.25">
      <c r="B958" s="2">
        <v>1</v>
      </c>
      <c r="C958" s="1">
        <f t="shared" si="118"/>
        <v>17.647058823529349</v>
      </c>
      <c r="D958" s="1">
        <f t="shared" si="116"/>
        <v>1</v>
      </c>
      <c r="E958" s="1">
        <f t="shared" si="119"/>
        <v>0</v>
      </c>
      <c r="F958" s="31">
        <f t="shared" si="117"/>
        <v>14.6</v>
      </c>
      <c r="G958" s="31">
        <f t="shared" ca="1" si="113"/>
        <v>14.6</v>
      </c>
      <c r="H958" s="30">
        <f t="shared" ca="1" si="114"/>
        <v>0</v>
      </c>
      <c r="I958" s="31">
        <f t="shared" ca="1" si="115"/>
        <v>14.6</v>
      </c>
      <c r="Q958" s="80"/>
      <c r="R958" s="42"/>
      <c r="S958" s="90">
        <f t="shared" si="120"/>
        <v>89.999999999999162</v>
      </c>
      <c r="T958" s="42"/>
      <c r="U958" s="42"/>
      <c r="V958" s="42"/>
      <c r="W958" s="42"/>
      <c r="X958" s="81"/>
    </row>
    <row r="959" spans="2:24" x14ac:dyDescent="0.25">
      <c r="B959" s="2">
        <v>1</v>
      </c>
      <c r="C959" s="1">
        <f t="shared" si="118"/>
        <v>18.647058823529349</v>
      </c>
      <c r="D959" s="1">
        <f t="shared" si="116"/>
        <v>1</v>
      </c>
      <c r="E959" s="1">
        <f t="shared" si="119"/>
        <v>0</v>
      </c>
      <c r="F959" s="31">
        <f t="shared" si="117"/>
        <v>14.6</v>
      </c>
      <c r="G959" s="31">
        <f t="shared" ca="1" si="113"/>
        <v>14.6</v>
      </c>
      <c r="H959" s="30">
        <f t="shared" ca="1" si="114"/>
        <v>0</v>
      </c>
      <c r="I959" s="31">
        <f t="shared" ca="1" si="115"/>
        <v>14.6</v>
      </c>
      <c r="Q959" s="80"/>
      <c r="R959" s="42"/>
      <c r="S959" s="90">
        <f t="shared" si="120"/>
        <v>90.099999999999156</v>
      </c>
      <c r="T959" s="42"/>
      <c r="U959" s="42"/>
      <c r="V959" s="42"/>
      <c r="W959" s="42"/>
      <c r="X959" s="81"/>
    </row>
    <row r="960" spans="2:24" x14ac:dyDescent="0.25">
      <c r="B960" s="2">
        <v>1</v>
      </c>
      <c r="C960" s="1">
        <f t="shared" si="118"/>
        <v>19.647058823529349</v>
      </c>
      <c r="D960" s="1">
        <f t="shared" si="116"/>
        <v>1</v>
      </c>
      <c r="E960" s="1">
        <f t="shared" si="119"/>
        <v>0</v>
      </c>
      <c r="F960" s="31">
        <f t="shared" si="117"/>
        <v>14.6</v>
      </c>
      <c r="G960" s="31">
        <f t="shared" ca="1" si="113"/>
        <v>14.6</v>
      </c>
      <c r="H960" s="30">
        <f t="shared" ca="1" si="114"/>
        <v>0</v>
      </c>
      <c r="I960" s="31">
        <f t="shared" ca="1" si="115"/>
        <v>14.6</v>
      </c>
      <c r="Q960" s="80"/>
      <c r="R960" s="42"/>
      <c r="S960" s="90">
        <f t="shared" si="120"/>
        <v>90.19999999999915</v>
      </c>
      <c r="T960" s="42"/>
      <c r="U960" s="42"/>
      <c r="V960" s="42"/>
      <c r="W960" s="42"/>
      <c r="X960" s="81"/>
    </row>
    <row r="961" spans="2:24" x14ac:dyDescent="0.25">
      <c r="B961" s="2">
        <v>1</v>
      </c>
      <c r="C961" s="1">
        <f t="shared" si="118"/>
        <v>20.647058823529349</v>
      </c>
      <c r="D961" s="1">
        <f t="shared" si="116"/>
        <v>1</v>
      </c>
      <c r="E961" s="1">
        <f t="shared" si="119"/>
        <v>0</v>
      </c>
      <c r="F961" s="31">
        <f t="shared" si="117"/>
        <v>14.6</v>
      </c>
      <c r="G961" s="31">
        <f t="shared" ca="1" si="113"/>
        <v>14.6</v>
      </c>
      <c r="H961" s="30">
        <f t="shared" ca="1" si="114"/>
        <v>0</v>
      </c>
      <c r="I961" s="31">
        <f t="shared" ca="1" si="115"/>
        <v>14.6</v>
      </c>
      <c r="Q961" s="80"/>
      <c r="R961" s="42"/>
      <c r="S961" s="90">
        <f t="shared" si="120"/>
        <v>90.299999999999145</v>
      </c>
      <c r="T961" s="42"/>
      <c r="U961" s="42"/>
      <c r="V961" s="42"/>
      <c r="W961" s="42"/>
      <c r="X961" s="81"/>
    </row>
    <row r="962" spans="2:24" x14ac:dyDescent="0.25">
      <c r="B962" s="2">
        <v>1</v>
      </c>
      <c r="C962" s="1">
        <f t="shared" si="118"/>
        <v>21.647058823529349</v>
      </c>
      <c r="D962" s="1">
        <f t="shared" si="116"/>
        <v>1</v>
      </c>
      <c r="E962" s="1">
        <f t="shared" si="119"/>
        <v>0</v>
      </c>
      <c r="F962" s="31">
        <f t="shared" si="117"/>
        <v>14.6</v>
      </c>
      <c r="G962" s="31">
        <f t="shared" ca="1" si="113"/>
        <v>14.6</v>
      </c>
      <c r="H962" s="30">
        <f t="shared" ca="1" si="114"/>
        <v>0</v>
      </c>
      <c r="I962" s="31">
        <f t="shared" ca="1" si="115"/>
        <v>14.6</v>
      </c>
      <c r="Q962" s="80"/>
      <c r="R962" s="42"/>
      <c r="S962" s="90">
        <f t="shared" si="120"/>
        <v>90.399999999999139</v>
      </c>
      <c r="T962" s="42"/>
      <c r="U962" s="42"/>
      <c r="V962" s="42"/>
      <c r="W962" s="42"/>
      <c r="X962" s="81"/>
    </row>
    <row r="963" spans="2:24" x14ac:dyDescent="0.25">
      <c r="B963" s="2">
        <v>1</v>
      </c>
      <c r="C963" s="1">
        <f t="shared" si="118"/>
        <v>22.647058823529349</v>
      </c>
      <c r="D963" s="1">
        <f t="shared" si="116"/>
        <v>1</v>
      </c>
      <c r="E963" s="1">
        <f t="shared" si="119"/>
        <v>0</v>
      </c>
      <c r="F963" s="31">
        <f t="shared" si="117"/>
        <v>14.6</v>
      </c>
      <c r="G963" s="31">
        <f t="shared" ca="1" si="113"/>
        <v>14.6</v>
      </c>
      <c r="H963" s="30">
        <f t="shared" ca="1" si="114"/>
        <v>0</v>
      </c>
      <c r="I963" s="31">
        <f t="shared" ca="1" si="115"/>
        <v>14.6</v>
      </c>
      <c r="Q963" s="80"/>
      <c r="R963" s="42"/>
      <c r="S963" s="90">
        <f t="shared" si="120"/>
        <v>90.499999999999133</v>
      </c>
      <c r="T963" s="42"/>
      <c r="U963" s="42"/>
      <c r="V963" s="42"/>
      <c r="W963" s="42"/>
      <c r="X963" s="81"/>
    </row>
    <row r="964" spans="2:24" x14ac:dyDescent="0.25">
      <c r="B964" s="2">
        <v>1</v>
      </c>
      <c r="C964" s="1">
        <f t="shared" si="118"/>
        <v>23.647058823529349</v>
      </c>
      <c r="D964" s="1">
        <f t="shared" si="116"/>
        <v>0</v>
      </c>
      <c r="E964" s="1">
        <f t="shared" si="119"/>
        <v>1</v>
      </c>
      <c r="F964" s="31">
        <f t="shared" si="117"/>
        <v>6.4</v>
      </c>
      <c r="G964" s="31">
        <f t="shared" ca="1" si="113"/>
        <v>0</v>
      </c>
      <c r="H964" s="30">
        <f t="shared" ca="1" si="114"/>
        <v>14.6</v>
      </c>
      <c r="I964" s="31">
        <f t="shared" ca="1" si="115"/>
        <v>14.6</v>
      </c>
      <c r="Q964" s="80"/>
      <c r="R964" s="42"/>
      <c r="S964" s="90">
        <f t="shared" si="120"/>
        <v>90.599999999999127</v>
      </c>
      <c r="T964" s="42"/>
      <c r="U964" s="42"/>
      <c r="V964" s="42"/>
      <c r="W964" s="42"/>
      <c r="X964" s="81"/>
    </row>
    <row r="965" spans="2:24" x14ac:dyDescent="0.25">
      <c r="B965" s="2">
        <v>1</v>
      </c>
      <c r="C965" s="1">
        <f t="shared" si="118"/>
        <v>24.647058823529349</v>
      </c>
      <c r="D965" s="1">
        <f t="shared" si="116"/>
        <v>0</v>
      </c>
      <c r="E965" s="1">
        <f t="shared" si="119"/>
        <v>1</v>
      </c>
      <c r="F965" s="31">
        <f t="shared" si="117"/>
        <v>6.4</v>
      </c>
      <c r="G965" s="31">
        <f t="shared" ca="1" si="113"/>
        <v>0</v>
      </c>
      <c r="H965" s="30">
        <f t="shared" ca="1" si="114"/>
        <v>6.4</v>
      </c>
      <c r="I965" s="31">
        <f t="shared" ca="1" si="115"/>
        <v>6.4</v>
      </c>
      <c r="Q965" s="80"/>
      <c r="R965" s="42"/>
      <c r="S965" s="90">
        <f t="shared" si="120"/>
        <v>90.699999999999122</v>
      </c>
      <c r="T965" s="42"/>
      <c r="U965" s="42"/>
      <c r="V965" s="42"/>
      <c r="W965" s="42"/>
      <c r="X965" s="81"/>
    </row>
    <row r="966" spans="2:24" x14ac:dyDescent="0.25">
      <c r="B966" s="2">
        <v>1</v>
      </c>
      <c r="C966" s="1">
        <f t="shared" si="118"/>
        <v>25.647058823529349</v>
      </c>
      <c r="D966" s="1">
        <f t="shared" si="116"/>
        <v>0</v>
      </c>
      <c r="E966" s="1">
        <f t="shared" si="119"/>
        <v>1</v>
      </c>
      <c r="F966" s="31">
        <f t="shared" si="117"/>
        <v>6.4</v>
      </c>
      <c r="G966" s="31">
        <f t="shared" ca="1" si="113"/>
        <v>0</v>
      </c>
      <c r="H966" s="30">
        <f t="shared" ca="1" si="114"/>
        <v>6.4</v>
      </c>
      <c r="I966" s="31">
        <f t="shared" ca="1" si="115"/>
        <v>6.4</v>
      </c>
      <c r="Q966" s="80"/>
      <c r="R966" s="42"/>
      <c r="S966" s="90">
        <f t="shared" si="120"/>
        <v>90.799999999999116</v>
      </c>
      <c r="T966" s="42"/>
      <c r="U966" s="42"/>
      <c r="V966" s="42"/>
      <c r="W966" s="42"/>
      <c r="X966" s="81"/>
    </row>
    <row r="967" spans="2:24" x14ac:dyDescent="0.25">
      <c r="B967" s="2">
        <v>1</v>
      </c>
      <c r="C967" s="1">
        <f t="shared" si="118"/>
        <v>26.647058823529349</v>
      </c>
      <c r="D967" s="1">
        <f t="shared" si="116"/>
        <v>0</v>
      </c>
      <c r="E967" s="1">
        <f t="shared" si="119"/>
        <v>1</v>
      </c>
      <c r="F967" s="31">
        <f t="shared" si="117"/>
        <v>6.4</v>
      </c>
      <c r="G967" s="31">
        <f t="shared" ca="1" si="113"/>
        <v>0</v>
      </c>
      <c r="H967" s="30">
        <f t="shared" ca="1" si="114"/>
        <v>6.4</v>
      </c>
      <c r="I967" s="31">
        <f t="shared" ca="1" si="115"/>
        <v>6.4</v>
      </c>
      <c r="Q967" s="80"/>
      <c r="R967" s="42"/>
      <c r="S967" s="90">
        <f t="shared" si="120"/>
        <v>90.89999999999911</v>
      </c>
      <c r="T967" s="42"/>
      <c r="U967" s="42"/>
      <c r="V967" s="42"/>
      <c r="W967" s="42"/>
      <c r="X967" s="81"/>
    </row>
    <row r="968" spans="2:24" x14ac:dyDescent="0.25">
      <c r="B968" s="2">
        <v>1</v>
      </c>
      <c r="C968" s="1">
        <f t="shared" si="118"/>
        <v>27.647058823529349</v>
      </c>
      <c r="D968" s="1">
        <f t="shared" si="116"/>
        <v>0</v>
      </c>
      <c r="E968" s="1">
        <f t="shared" si="119"/>
        <v>1</v>
      </c>
      <c r="F968" s="31">
        <f t="shared" si="117"/>
        <v>6.4</v>
      </c>
      <c r="G968" s="31">
        <f t="shared" ca="1" si="113"/>
        <v>0</v>
      </c>
      <c r="H968" s="30">
        <f t="shared" ca="1" si="114"/>
        <v>6.4</v>
      </c>
      <c r="I968" s="31">
        <f t="shared" ca="1" si="115"/>
        <v>6.4</v>
      </c>
      <c r="Q968" s="80"/>
      <c r="R968" s="42"/>
      <c r="S968" s="90">
        <f t="shared" si="120"/>
        <v>90.999999999999105</v>
      </c>
      <c r="T968" s="42"/>
      <c r="U968" s="42"/>
      <c r="V968" s="42"/>
      <c r="W968" s="42"/>
      <c r="X968" s="81"/>
    </row>
    <row r="969" spans="2:24" x14ac:dyDescent="0.25">
      <c r="B969" s="2">
        <v>1</v>
      </c>
      <c r="C969" s="1">
        <f t="shared" si="118"/>
        <v>28.647058823529349</v>
      </c>
      <c r="D969" s="1">
        <f t="shared" si="116"/>
        <v>0</v>
      </c>
      <c r="E969" s="1">
        <f t="shared" si="119"/>
        <v>1</v>
      </c>
      <c r="F969" s="31">
        <f t="shared" si="117"/>
        <v>6.4</v>
      </c>
      <c r="G969" s="31">
        <f t="shared" ca="1" si="113"/>
        <v>0</v>
      </c>
      <c r="H969" s="30">
        <f t="shared" ca="1" si="114"/>
        <v>6.4</v>
      </c>
      <c r="I969" s="31">
        <f t="shared" ca="1" si="115"/>
        <v>6.4</v>
      </c>
      <c r="Q969" s="80"/>
      <c r="R969" s="42"/>
      <c r="S969" s="90">
        <f t="shared" si="120"/>
        <v>91.099999999999099</v>
      </c>
      <c r="T969" s="42"/>
      <c r="U969" s="42"/>
      <c r="V969" s="42"/>
      <c r="W969" s="42"/>
      <c r="X969" s="81"/>
    </row>
    <row r="970" spans="2:24" x14ac:dyDescent="0.25">
      <c r="B970" s="2">
        <v>1</v>
      </c>
      <c r="C970" s="1">
        <f t="shared" si="118"/>
        <v>29.647058823529349</v>
      </c>
      <c r="D970" s="1">
        <f t="shared" si="116"/>
        <v>0</v>
      </c>
      <c r="E970" s="1">
        <f t="shared" si="119"/>
        <v>1</v>
      </c>
      <c r="F970" s="31">
        <f t="shared" si="117"/>
        <v>6.4</v>
      </c>
      <c r="G970" s="31">
        <f t="shared" ca="1" si="113"/>
        <v>0</v>
      </c>
      <c r="H970" s="30">
        <f t="shared" ca="1" si="114"/>
        <v>6.4</v>
      </c>
      <c r="I970" s="31">
        <f t="shared" ca="1" si="115"/>
        <v>6.4</v>
      </c>
      <c r="Q970" s="80"/>
      <c r="R970" s="42"/>
      <c r="S970" s="90">
        <f t="shared" si="120"/>
        <v>91.199999999999093</v>
      </c>
      <c r="T970" s="42"/>
      <c r="U970" s="42"/>
      <c r="V970" s="42"/>
      <c r="W970" s="42"/>
      <c r="X970" s="81"/>
    </row>
    <row r="971" spans="2:24" x14ac:dyDescent="0.25">
      <c r="B971" s="2">
        <v>1</v>
      </c>
      <c r="C971" s="1">
        <f t="shared" si="118"/>
        <v>30.647058823529349</v>
      </c>
      <c r="D971" s="1">
        <f t="shared" si="116"/>
        <v>0</v>
      </c>
      <c r="E971" s="1">
        <f t="shared" si="119"/>
        <v>1</v>
      </c>
      <c r="F971" s="31">
        <f t="shared" si="117"/>
        <v>6.4</v>
      </c>
      <c r="G971" s="31">
        <f t="shared" ref="G971:G1034" ca="1" si="121">IF(D971=1, AVERAGE(OFFSET(F971,-$L$27,0,$L$27,1)),0)</f>
        <v>0</v>
      </c>
      <c r="H971" s="30">
        <f t="shared" ref="H971:H1034" ca="1" si="122">IF(D971=0, AVERAGE(OFFSET(F971,-$L$28,0,$L$28,1)),0)</f>
        <v>6.4</v>
      </c>
      <c r="I971" s="31">
        <f t="shared" ref="I971:I1034" ca="1" si="123">G971+H971</f>
        <v>6.4</v>
      </c>
      <c r="Q971" s="80"/>
      <c r="R971" s="42"/>
      <c r="S971" s="90">
        <f t="shared" si="120"/>
        <v>91.299999999999088</v>
      </c>
      <c r="T971" s="42"/>
      <c r="U971" s="42"/>
      <c r="V971" s="42"/>
      <c r="W971" s="42"/>
      <c r="X971" s="81"/>
    </row>
    <row r="972" spans="2:24" x14ac:dyDescent="0.25">
      <c r="B972" s="2">
        <v>1</v>
      </c>
      <c r="C972" s="1">
        <f t="shared" si="118"/>
        <v>31.647058823529349</v>
      </c>
      <c r="D972" s="1">
        <f t="shared" si="116"/>
        <v>0</v>
      </c>
      <c r="E972" s="1">
        <f t="shared" si="119"/>
        <v>1</v>
      </c>
      <c r="F972" s="31">
        <f t="shared" si="117"/>
        <v>6.4</v>
      </c>
      <c r="G972" s="31">
        <f t="shared" ca="1" si="121"/>
        <v>0</v>
      </c>
      <c r="H972" s="30">
        <f t="shared" ca="1" si="122"/>
        <v>6.4</v>
      </c>
      <c r="I972" s="31">
        <f t="shared" ca="1" si="123"/>
        <v>6.4</v>
      </c>
      <c r="Q972" s="80"/>
      <c r="R972" s="42"/>
      <c r="S972" s="90">
        <f t="shared" si="120"/>
        <v>91.399999999999082</v>
      </c>
      <c r="T972" s="42"/>
      <c r="U972" s="42"/>
      <c r="V972" s="42"/>
      <c r="W972" s="42"/>
      <c r="X972" s="81"/>
    </row>
    <row r="973" spans="2:24" x14ac:dyDescent="0.25">
      <c r="B973" s="2">
        <v>1</v>
      </c>
      <c r="C973" s="1">
        <f t="shared" si="118"/>
        <v>32.647058823529349</v>
      </c>
      <c r="D973" s="1">
        <f t="shared" si="116"/>
        <v>0</v>
      </c>
      <c r="E973" s="1">
        <f t="shared" si="119"/>
        <v>1</v>
      </c>
      <c r="F973" s="31">
        <f t="shared" si="117"/>
        <v>6.4</v>
      </c>
      <c r="G973" s="31">
        <f t="shared" ca="1" si="121"/>
        <v>0</v>
      </c>
      <c r="H973" s="30">
        <f t="shared" ca="1" si="122"/>
        <v>6.4</v>
      </c>
      <c r="I973" s="31">
        <f t="shared" ca="1" si="123"/>
        <v>6.4</v>
      </c>
      <c r="Q973" s="80"/>
      <c r="R973" s="42"/>
      <c r="S973" s="90">
        <f t="shared" si="120"/>
        <v>91.499999999999076</v>
      </c>
      <c r="T973" s="42"/>
      <c r="U973" s="42"/>
      <c r="V973" s="42"/>
      <c r="W973" s="42"/>
      <c r="X973" s="81"/>
    </row>
    <row r="974" spans="2:24" x14ac:dyDescent="0.25">
      <c r="B974" s="2">
        <v>1</v>
      </c>
      <c r="C974" s="1">
        <f t="shared" si="118"/>
        <v>33.647058823529349</v>
      </c>
      <c r="D974" s="1">
        <f t="shared" si="116"/>
        <v>0</v>
      </c>
      <c r="E974" s="1">
        <f t="shared" si="119"/>
        <v>1</v>
      </c>
      <c r="F974" s="31">
        <f t="shared" si="117"/>
        <v>6.4</v>
      </c>
      <c r="G974" s="31">
        <f t="shared" ca="1" si="121"/>
        <v>0</v>
      </c>
      <c r="H974" s="30">
        <f t="shared" ca="1" si="122"/>
        <v>6.4</v>
      </c>
      <c r="I974" s="31">
        <f t="shared" ca="1" si="123"/>
        <v>6.4</v>
      </c>
      <c r="Q974" s="80"/>
      <c r="R974" s="42"/>
      <c r="S974" s="90">
        <f t="shared" si="120"/>
        <v>91.599999999999071</v>
      </c>
      <c r="T974" s="42"/>
      <c r="U974" s="42"/>
      <c r="V974" s="42"/>
      <c r="W974" s="42"/>
      <c r="X974" s="81"/>
    </row>
    <row r="975" spans="2:24" x14ac:dyDescent="0.25">
      <c r="B975" s="2">
        <v>1</v>
      </c>
      <c r="C975" s="1">
        <f t="shared" si="118"/>
        <v>34.647058823529349</v>
      </c>
      <c r="D975" s="1">
        <f t="shared" si="116"/>
        <v>0</v>
      </c>
      <c r="E975" s="1">
        <f t="shared" si="119"/>
        <v>1</v>
      </c>
      <c r="F975" s="31">
        <f t="shared" si="117"/>
        <v>6.4</v>
      </c>
      <c r="G975" s="31">
        <f t="shared" ca="1" si="121"/>
        <v>0</v>
      </c>
      <c r="H975" s="30">
        <f t="shared" ca="1" si="122"/>
        <v>6.4</v>
      </c>
      <c r="I975" s="31">
        <f t="shared" ca="1" si="123"/>
        <v>6.4</v>
      </c>
      <c r="Q975" s="80"/>
      <c r="R975" s="42"/>
      <c r="S975" s="90">
        <f t="shared" si="120"/>
        <v>91.699999999999065</v>
      </c>
      <c r="T975" s="42"/>
      <c r="U975" s="42"/>
      <c r="V975" s="42"/>
      <c r="W975" s="42"/>
      <c r="X975" s="81"/>
    </row>
    <row r="976" spans="2:24" x14ac:dyDescent="0.25">
      <c r="B976" s="2">
        <v>1</v>
      </c>
      <c r="C976" s="1">
        <f t="shared" si="118"/>
        <v>0.35294117647052303</v>
      </c>
      <c r="D976" s="1">
        <f t="shared" si="116"/>
        <v>1</v>
      </c>
      <c r="E976" s="1">
        <f t="shared" si="119"/>
        <v>0</v>
      </c>
      <c r="F976" s="31">
        <f t="shared" si="117"/>
        <v>14.6</v>
      </c>
      <c r="G976" s="31">
        <f t="shared" ca="1" si="121"/>
        <v>6.4</v>
      </c>
      <c r="H976" s="30">
        <f t="shared" ca="1" si="122"/>
        <v>0</v>
      </c>
      <c r="I976" s="31">
        <f t="shared" ca="1" si="123"/>
        <v>6.4</v>
      </c>
      <c r="Q976" s="80"/>
      <c r="R976" s="42"/>
      <c r="S976" s="90">
        <f t="shared" si="120"/>
        <v>91.799999999999059</v>
      </c>
      <c r="T976" s="42"/>
      <c r="U976" s="42"/>
      <c r="V976" s="42"/>
      <c r="W976" s="42"/>
      <c r="X976" s="81"/>
    </row>
    <row r="977" spans="2:24" x14ac:dyDescent="0.25">
      <c r="B977" s="2">
        <v>1</v>
      </c>
      <c r="C977" s="1">
        <f t="shared" si="118"/>
        <v>1.352941176470523</v>
      </c>
      <c r="D977" s="1">
        <f t="shared" si="116"/>
        <v>1</v>
      </c>
      <c r="E977" s="1">
        <f t="shared" si="119"/>
        <v>0</v>
      </c>
      <c r="F977" s="31">
        <f t="shared" si="117"/>
        <v>14.6</v>
      </c>
      <c r="G977" s="31">
        <f t="shared" ca="1" si="121"/>
        <v>8.4500000000000011</v>
      </c>
      <c r="H977" s="30">
        <f t="shared" ca="1" si="122"/>
        <v>0</v>
      </c>
      <c r="I977" s="31">
        <f t="shared" ca="1" si="123"/>
        <v>8.4500000000000011</v>
      </c>
      <c r="Q977" s="80"/>
      <c r="R977" s="42"/>
      <c r="S977" s="90">
        <f t="shared" si="120"/>
        <v>91.899999999999054</v>
      </c>
      <c r="T977" s="42"/>
      <c r="U977" s="42"/>
      <c r="V977" s="42"/>
      <c r="W977" s="42"/>
      <c r="X977" s="81"/>
    </row>
    <row r="978" spans="2:24" x14ac:dyDescent="0.25">
      <c r="B978" s="2">
        <v>1</v>
      </c>
      <c r="C978" s="1">
        <f t="shared" si="118"/>
        <v>2.352941176470523</v>
      </c>
      <c r="D978" s="1">
        <f t="shared" si="116"/>
        <v>1</v>
      </c>
      <c r="E978" s="1">
        <f t="shared" si="119"/>
        <v>0</v>
      </c>
      <c r="F978" s="31">
        <f t="shared" si="117"/>
        <v>14.6</v>
      </c>
      <c r="G978" s="31">
        <f t="shared" ca="1" si="121"/>
        <v>10.5</v>
      </c>
      <c r="H978" s="30">
        <f t="shared" ca="1" si="122"/>
        <v>0</v>
      </c>
      <c r="I978" s="31">
        <f t="shared" ca="1" si="123"/>
        <v>10.5</v>
      </c>
      <c r="Q978" s="80"/>
      <c r="R978" s="42"/>
      <c r="S978" s="90">
        <f t="shared" si="120"/>
        <v>91.999999999999048</v>
      </c>
      <c r="T978" s="42"/>
      <c r="U978" s="42"/>
      <c r="V978" s="42"/>
      <c r="W978" s="42"/>
      <c r="X978" s="81"/>
    </row>
    <row r="979" spans="2:24" x14ac:dyDescent="0.25">
      <c r="B979" s="2">
        <v>1</v>
      </c>
      <c r="C979" s="1">
        <f t="shared" si="118"/>
        <v>3.352941176470523</v>
      </c>
      <c r="D979" s="1">
        <f t="shared" si="116"/>
        <v>1</v>
      </c>
      <c r="E979" s="1">
        <f t="shared" si="119"/>
        <v>0</v>
      </c>
      <c r="F979" s="31">
        <f t="shared" si="117"/>
        <v>14.6</v>
      </c>
      <c r="G979" s="31">
        <f t="shared" ca="1" si="121"/>
        <v>12.55</v>
      </c>
      <c r="H979" s="30">
        <f t="shared" ca="1" si="122"/>
        <v>0</v>
      </c>
      <c r="I979" s="31">
        <f t="shared" ca="1" si="123"/>
        <v>12.55</v>
      </c>
      <c r="Q979" s="80"/>
      <c r="R979" s="42"/>
      <c r="S979" s="90">
        <f t="shared" si="120"/>
        <v>92.099999999999042</v>
      </c>
      <c r="T979" s="42"/>
      <c r="U979" s="42"/>
      <c r="V979" s="42"/>
      <c r="W979" s="42"/>
      <c r="X979" s="81"/>
    </row>
    <row r="980" spans="2:24" x14ac:dyDescent="0.25">
      <c r="B980" s="2">
        <v>1</v>
      </c>
      <c r="C980" s="1">
        <f t="shared" si="118"/>
        <v>4.352941176470523</v>
      </c>
      <c r="D980" s="1">
        <f t="shared" si="116"/>
        <v>1</v>
      </c>
      <c r="E980" s="1">
        <f t="shared" si="119"/>
        <v>0</v>
      </c>
      <c r="F980" s="31">
        <f t="shared" si="117"/>
        <v>14.6</v>
      </c>
      <c r="G980" s="31">
        <f t="shared" ca="1" si="121"/>
        <v>14.6</v>
      </c>
      <c r="H980" s="30">
        <f t="shared" ca="1" si="122"/>
        <v>0</v>
      </c>
      <c r="I980" s="31">
        <f t="shared" ca="1" si="123"/>
        <v>14.6</v>
      </c>
      <c r="Q980" s="80"/>
      <c r="R980" s="42"/>
      <c r="S980" s="90">
        <f t="shared" si="120"/>
        <v>92.199999999999037</v>
      </c>
      <c r="T980" s="42"/>
      <c r="U980" s="42"/>
      <c r="V980" s="42"/>
      <c r="W980" s="42"/>
      <c r="X980" s="81"/>
    </row>
    <row r="981" spans="2:24" x14ac:dyDescent="0.25">
      <c r="B981" s="2">
        <v>1</v>
      </c>
      <c r="C981" s="1">
        <f t="shared" si="118"/>
        <v>5.352941176470523</v>
      </c>
      <c r="D981" s="1">
        <f t="shared" si="116"/>
        <v>1</v>
      </c>
      <c r="E981" s="1">
        <f t="shared" si="119"/>
        <v>0</v>
      </c>
      <c r="F981" s="31">
        <f t="shared" si="117"/>
        <v>14.6</v>
      </c>
      <c r="G981" s="31">
        <f t="shared" ca="1" si="121"/>
        <v>14.6</v>
      </c>
      <c r="H981" s="30">
        <f t="shared" ca="1" si="122"/>
        <v>0</v>
      </c>
      <c r="I981" s="31">
        <f t="shared" ca="1" si="123"/>
        <v>14.6</v>
      </c>
      <c r="Q981" s="80"/>
      <c r="R981" s="42"/>
      <c r="S981" s="90">
        <f t="shared" si="120"/>
        <v>92.299999999999031</v>
      </c>
      <c r="T981" s="42"/>
      <c r="U981" s="42"/>
      <c r="V981" s="42"/>
      <c r="W981" s="42"/>
      <c r="X981" s="81"/>
    </row>
    <row r="982" spans="2:24" x14ac:dyDescent="0.25">
      <c r="B982" s="2">
        <v>1</v>
      </c>
      <c r="C982" s="1">
        <f t="shared" si="118"/>
        <v>6.352941176470523</v>
      </c>
      <c r="D982" s="1">
        <f t="shared" si="116"/>
        <v>1</v>
      </c>
      <c r="E982" s="1">
        <f t="shared" si="119"/>
        <v>0</v>
      </c>
      <c r="F982" s="31">
        <f t="shared" si="117"/>
        <v>14.6</v>
      </c>
      <c r="G982" s="31">
        <f t="shared" ca="1" si="121"/>
        <v>14.6</v>
      </c>
      <c r="H982" s="30">
        <f t="shared" ca="1" si="122"/>
        <v>0</v>
      </c>
      <c r="I982" s="31">
        <f t="shared" ca="1" si="123"/>
        <v>14.6</v>
      </c>
      <c r="Q982" s="80"/>
      <c r="R982" s="42"/>
      <c r="S982" s="90">
        <f t="shared" si="120"/>
        <v>92.399999999999025</v>
      </c>
      <c r="T982" s="42"/>
      <c r="U982" s="42"/>
      <c r="V982" s="42"/>
      <c r="W982" s="42"/>
      <c r="X982" s="81"/>
    </row>
    <row r="983" spans="2:24" x14ac:dyDescent="0.25">
      <c r="B983" s="2">
        <v>1</v>
      </c>
      <c r="C983" s="1">
        <f t="shared" si="118"/>
        <v>7.352941176470523</v>
      </c>
      <c r="D983" s="1">
        <f t="shared" si="116"/>
        <v>1</v>
      </c>
      <c r="E983" s="1">
        <f t="shared" si="119"/>
        <v>0</v>
      </c>
      <c r="F983" s="31">
        <f t="shared" si="117"/>
        <v>14.6</v>
      </c>
      <c r="G983" s="31">
        <f t="shared" ca="1" si="121"/>
        <v>14.6</v>
      </c>
      <c r="H983" s="30">
        <f t="shared" ca="1" si="122"/>
        <v>0</v>
      </c>
      <c r="I983" s="31">
        <f t="shared" ca="1" si="123"/>
        <v>14.6</v>
      </c>
      <c r="Q983" s="80"/>
      <c r="R983" s="42"/>
      <c r="S983" s="90">
        <f t="shared" si="120"/>
        <v>92.499999999999019</v>
      </c>
      <c r="T983" s="42"/>
      <c r="U983" s="42"/>
      <c r="V983" s="42"/>
      <c r="W983" s="42"/>
      <c r="X983" s="81"/>
    </row>
    <row r="984" spans="2:24" x14ac:dyDescent="0.25">
      <c r="B984" s="2">
        <v>1</v>
      </c>
      <c r="C984" s="1">
        <f t="shared" si="118"/>
        <v>8.352941176470523</v>
      </c>
      <c r="D984" s="1">
        <f t="shared" si="116"/>
        <v>1</v>
      </c>
      <c r="E984" s="1">
        <f t="shared" si="119"/>
        <v>0</v>
      </c>
      <c r="F984" s="31">
        <f t="shared" si="117"/>
        <v>14.6</v>
      </c>
      <c r="G984" s="31">
        <f t="shared" ca="1" si="121"/>
        <v>14.6</v>
      </c>
      <c r="H984" s="30">
        <f t="shared" ca="1" si="122"/>
        <v>0</v>
      </c>
      <c r="I984" s="31">
        <f t="shared" ca="1" si="123"/>
        <v>14.6</v>
      </c>
      <c r="Q984" s="80"/>
      <c r="R984" s="42"/>
      <c r="S984" s="90">
        <f t="shared" si="120"/>
        <v>92.599999999999014</v>
      </c>
      <c r="T984" s="42"/>
      <c r="U984" s="42"/>
      <c r="V984" s="42"/>
      <c r="W984" s="42"/>
      <c r="X984" s="81"/>
    </row>
    <row r="985" spans="2:24" x14ac:dyDescent="0.25">
      <c r="B985" s="2">
        <v>1</v>
      </c>
      <c r="C985" s="1">
        <f t="shared" si="118"/>
        <v>9.352941176470523</v>
      </c>
      <c r="D985" s="1">
        <f t="shared" si="116"/>
        <v>1</v>
      </c>
      <c r="E985" s="1">
        <f t="shared" si="119"/>
        <v>0</v>
      </c>
      <c r="F985" s="31">
        <f t="shared" si="117"/>
        <v>14.6</v>
      </c>
      <c r="G985" s="31">
        <f t="shared" ca="1" si="121"/>
        <v>14.6</v>
      </c>
      <c r="H985" s="30">
        <f t="shared" ca="1" si="122"/>
        <v>0</v>
      </c>
      <c r="I985" s="31">
        <f t="shared" ca="1" si="123"/>
        <v>14.6</v>
      </c>
      <c r="Q985" s="80"/>
      <c r="R985" s="42"/>
      <c r="S985" s="90">
        <f t="shared" si="120"/>
        <v>92.699999999999008</v>
      </c>
      <c r="T985" s="42"/>
      <c r="U985" s="42"/>
      <c r="V985" s="42"/>
      <c r="W985" s="42"/>
      <c r="X985" s="81"/>
    </row>
    <row r="986" spans="2:24" x14ac:dyDescent="0.25">
      <c r="B986" s="2">
        <v>1</v>
      </c>
      <c r="C986" s="1">
        <f t="shared" si="118"/>
        <v>10.352941176470523</v>
      </c>
      <c r="D986" s="1">
        <f t="shared" si="116"/>
        <v>1</v>
      </c>
      <c r="E986" s="1">
        <f t="shared" si="119"/>
        <v>0</v>
      </c>
      <c r="F986" s="31">
        <f t="shared" si="117"/>
        <v>14.6</v>
      </c>
      <c r="G986" s="31">
        <f t="shared" ca="1" si="121"/>
        <v>14.6</v>
      </c>
      <c r="H986" s="30">
        <f t="shared" ca="1" si="122"/>
        <v>0</v>
      </c>
      <c r="I986" s="31">
        <f t="shared" ca="1" si="123"/>
        <v>14.6</v>
      </c>
      <c r="Q986" s="80"/>
      <c r="R986" s="42"/>
      <c r="S986" s="90">
        <f t="shared" si="120"/>
        <v>92.799999999999002</v>
      </c>
      <c r="T986" s="42"/>
      <c r="U986" s="42"/>
      <c r="V986" s="42"/>
      <c r="W986" s="42"/>
      <c r="X986" s="81"/>
    </row>
    <row r="987" spans="2:24" x14ac:dyDescent="0.25">
      <c r="B987" s="2">
        <v>1</v>
      </c>
      <c r="C987" s="1">
        <f t="shared" si="118"/>
        <v>11.352941176470523</v>
      </c>
      <c r="D987" s="1">
        <f t="shared" si="116"/>
        <v>1</v>
      </c>
      <c r="E987" s="1">
        <f t="shared" si="119"/>
        <v>0</v>
      </c>
      <c r="F987" s="31">
        <f t="shared" si="117"/>
        <v>14.6</v>
      </c>
      <c r="G987" s="31">
        <f t="shared" ca="1" si="121"/>
        <v>14.6</v>
      </c>
      <c r="H987" s="30">
        <f t="shared" ca="1" si="122"/>
        <v>0</v>
      </c>
      <c r="I987" s="31">
        <f t="shared" ca="1" si="123"/>
        <v>14.6</v>
      </c>
      <c r="Q987" s="80"/>
      <c r="R987" s="42"/>
      <c r="S987" s="90">
        <f t="shared" si="120"/>
        <v>92.899999999998997</v>
      </c>
      <c r="T987" s="42"/>
      <c r="U987" s="42"/>
      <c r="V987" s="42"/>
      <c r="W987" s="42"/>
      <c r="X987" s="81"/>
    </row>
    <row r="988" spans="2:24" x14ac:dyDescent="0.25">
      <c r="B988" s="2">
        <v>1</v>
      </c>
      <c r="C988" s="1">
        <f t="shared" si="118"/>
        <v>12.352941176470523</v>
      </c>
      <c r="D988" s="1">
        <f t="shared" si="116"/>
        <v>1</v>
      </c>
      <c r="E988" s="1">
        <f t="shared" si="119"/>
        <v>0</v>
      </c>
      <c r="F988" s="31">
        <f t="shared" si="117"/>
        <v>14.6</v>
      </c>
      <c r="G988" s="31">
        <f t="shared" ca="1" si="121"/>
        <v>14.6</v>
      </c>
      <c r="H988" s="30">
        <f t="shared" ca="1" si="122"/>
        <v>0</v>
      </c>
      <c r="I988" s="31">
        <f t="shared" ca="1" si="123"/>
        <v>14.6</v>
      </c>
      <c r="Q988" s="80"/>
      <c r="R988" s="42"/>
      <c r="S988" s="90">
        <f t="shared" si="120"/>
        <v>92.999999999998991</v>
      </c>
      <c r="T988" s="42"/>
      <c r="U988" s="42"/>
      <c r="V988" s="42"/>
      <c r="W988" s="42"/>
      <c r="X988" s="81"/>
    </row>
    <row r="989" spans="2:24" x14ac:dyDescent="0.25">
      <c r="B989" s="2">
        <v>1</v>
      </c>
      <c r="C989" s="1">
        <f t="shared" si="118"/>
        <v>13.352941176470523</v>
      </c>
      <c r="D989" s="1">
        <f t="shared" si="116"/>
        <v>1</v>
      </c>
      <c r="E989" s="1">
        <f t="shared" si="119"/>
        <v>0</v>
      </c>
      <c r="F989" s="31">
        <f t="shared" si="117"/>
        <v>14.6</v>
      </c>
      <c r="G989" s="31">
        <f t="shared" ca="1" si="121"/>
        <v>14.6</v>
      </c>
      <c r="H989" s="30">
        <f t="shared" ca="1" si="122"/>
        <v>0</v>
      </c>
      <c r="I989" s="31">
        <f t="shared" ca="1" si="123"/>
        <v>14.6</v>
      </c>
      <c r="Q989" s="80"/>
      <c r="R989" s="42"/>
      <c r="S989" s="90">
        <f t="shared" si="120"/>
        <v>93.099999999998985</v>
      </c>
      <c r="T989" s="42"/>
      <c r="U989" s="42"/>
      <c r="V989" s="42"/>
      <c r="W989" s="42"/>
      <c r="X989" s="81"/>
    </row>
    <row r="990" spans="2:24" x14ac:dyDescent="0.25">
      <c r="B990" s="2">
        <v>1</v>
      </c>
      <c r="C990" s="1">
        <f t="shared" si="118"/>
        <v>14.352941176470523</v>
      </c>
      <c r="D990" s="1">
        <f t="shared" si="116"/>
        <v>1</v>
      </c>
      <c r="E990" s="1">
        <f t="shared" si="119"/>
        <v>0</v>
      </c>
      <c r="F990" s="31">
        <f t="shared" si="117"/>
        <v>14.6</v>
      </c>
      <c r="G990" s="31">
        <f t="shared" ca="1" si="121"/>
        <v>14.6</v>
      </c>
      <c r="H990" s="30">
        <f t="shared" ca="1" si="122"/>
        <v>0</v>
      </c>
      <c r="I990" s="31">
        <f t="shared" ca="1" si="123"/>
        <v>14.6</v>
      </c>
      <c r="Q990" s="80"/>
      <c r="R990" s="42"/>
      <c r="S990" s="90">
        <f t="shared" si="120"/>
        <v>93.19999999999898</v>
      </c>
      <c r="T990" s="42"/>
      <c r="U990" s="42"/>
      <c r="V990" s="42"/>
      <c r="W990" s="42"/>
      <c r="X990" s="81"/>
    </row>
    <row r="991" spans="2:24" x14ac:dyDescent="0.25">
      <c r="B991" s="2">
        <v>1</v>
      </c>
      <c r="C991" s="1">
        <f t="shared" si="118"/>
        <v>15.352941176470523</v>
      </c>
      <c r="D991" s="1">
        <f t="shared" si="116"/>
        <v>1</v>
      </c>
      <c r="E991" s="1">
        <f t="shared" si="119"/>
        <v>0</v>
      </c>
      <c r="F991" s="31">
        <f t="shared" si="117"/>
        <v>14.6</v>
      </c>
      <c r="G991" s="31">
        <f t="shared" ca="1" si="121"/>
        <v>14.6</v>
      </c>
      <c r="H991" s="30">
        <f t="shared" ca="1" si="122"/>
        <v>0</v>
      </c>
      <c r="I991" s="31">
        <f t="shared" ca="1" si="123"/>
        <v>14.6</v>
      </c>
      <c r="Q991" s="80"/>
      <c r="R991" s="42"/>
      <c r="S991" s="90">
        <f t="shared" si="120"/>
        <v>93.299999999998974</v>
      </c>
      <c r="T991" s="42"/>
      <c r="U991" s="42"/>
      <c r="V991" s="42"/>
      <c r="W991" s="42"/>
      <c r="X991" s="81"/>
    </row>
    <row r="992" spans="2:24" x14ac:dyDescent="0.25">
      <c r="B992" s="2">
        <v>1</v>
      </c>
      <c r="C992" s="1">
        <f t="shared" si="118"/>
        <v>16.352941176470523</v>
      </c>
      <c r="D992" s="1">
        <f t="shared" si="116"/>
        <v>1</v>
      </c>
      <c r="E992" s="1">
        <f t="shared" si="119"/>
        <v>0</v>
      </c>
      <c r="F992" s="31">
        <f t="shared" si="117"/>
        <v>14.6</v>
      </c>
      <c r="G992" s="31">
        <f t="shared" ca="1" si="121"/>
        <v>14.6</v>
      </c>
      <c r="H992" s="30">
        <f t="shared" ca="1" si="122"/>
        <v>0</v>
      </c>
      <c r="I992" s="31">
        <f t="shared" ca="1" si="123"/>
        <v>14.6</v>
      </c>
      <c r="Q992" s="80"/>
      <c r="R992" s="42"/>
      <c r="S992" s="90">
        <f t="shared" si="120"/>
        <v>93.399999999998968</v>
      </c>
      <c r="T992" s="42"/>
      <c r="U992" s="42"/>
      <c r="V992" s="42"/>
      <c r="W992" s="42"/>
      <c r="X992" s="81"/>
    </row>
    <row r="993" spans="2:24" x14ac:dyDescent="0.25">
      <c r="B993" s="2">
        <v>1</v>
      </c>
      <c r="C993" s="1">
        <f t="shared" si="118"/>
        <v>17.352941176470523</v>
      </c>
      <c r="D993" s="1">
        <f t="shared" si="116"/>
        <v>1</v>
      </c>
      <c r="E993" s="1">
        <f t="shared" si="119"/>
        <v>0</v>
      </c>
      <c r="F993" s="31">
        <f t="shared" si="117"/>
        <v>14.6</v>
      </c>
      <c r="G993" s="31">
        <f t="shared" ca="1" si="121"/>
        <v>14.6</v>
      </c>
      <c r="H993" s="30">
        <f t="shared" ca="1" si="122"/>
        <v>0</v>
      </c>
      <c r="I993" s="31">
        <f t="shared" ca="1" si="123"/>
        <v>14.6</v>
      </c>
      <c r="Q993" s="80"/>
      <c r="R993" s="42"/>
      <c r="S993" s="90">
        <f t="shared" si="120"/>
        <v>93.499999999998963</v>
      </c>
      <c r="T993" s="42"/>
      <c r="U993" s="42"/>
      <c r="V993" s="42"/>
      <c r="W993" s="42"/>
      <c r="X993" s="81"/>
    </row>
    <row r="994" spans="2:24" x14ac:dyDescent="0.25">
      <c r="B994" s="2">
        <v>1</v>
      </c>
      <c r="C994" s="1">
        <f t="shared" si="118"/>
        <v>18.352941176470523</v>
      </c>
      <c r="D994" s="1">
        <f t="shared" si="116"/>
        <v>1</v>
      </c>
      <c r="E994" s="1">
        <f t="shared" si="119"/>
        <v>0</v>
      </c>
      <c r="F994" s="31">
        <f t="shared" si="117"/>
        <v>14.6</v>
      </c>
      <c r="G994" s="31">
        <f t="shared" ca="1" si="121"/>
        <v>14.6</v>
      </c>
      <c r="H994" s="30">
        <f t="shared" ca="1" si="122"/>
        <v>0</v>
      </c>
      <c r="I994" s="31">
        <f t="shared" ca="1" si="123"/>
        <v>14.6</v>
      </c>
      <c r="Q994" s="80"/>
      <c r="R994" s="42"/>
      <c r="S994" s="90">
        <f t="shared" si="120"/>
        <v>93.599999999998957</v>
      </c>
      <c r="T994" s="42"/>
      <c r="U994" s="42"/>
      <c r="V994" s="42"/>
      <c r="W994" s="42"/>
      <c r="X994" s="81"/>
    </row>
    <row r="995" spans="2:24" x14ac:dyDescent="0.25">
      <c r="B995" s="2">
        <v>1</v>
      </c>
      <c r="C995" s="1">
        <f t="shared" si="118"/>
        <v>19.352941176470523</v>
      </c>
      <c r="D995" s="1">
        <f t="shared" si="116"/>
        <v>1</v>
      </c>
      <c r="E995" s="1">
        <f t="shared" si="119"/>
        <v>0</v>
      </c>
      <c r="F995" s="31">
        <f t="shared" si="117"/>
        <v>14.6</v>
      </c>
      <c r="G995" s="31">
        <f t="shared" ca="1" si="121"/>
        <v>14.6</v>
      </c>
      <c r="H995" s="30">
        <f t="shared" ca="1" si="122"/>
        <v>0</v>
      </c>
      <c r="I995" s="31">
        <f t="shared" ca="1" si="123"/>
        <v>14.6</v>
      </c>
      <c r="Q995" s="80"/>
      <c r="R995" s="42"/>
      <c r="S995" s="90">
        <f t="shared" si="120"/>
        <v>93.699999999998951</v>
      </c>
      <c r="T995" s="42"/>
      <c r="U995" s="42"/>
      <c r="V995" s="42"/>
      <c r="W995" s="42"/>
      <c r="X995" s="81"/>
    </row>
    <row r="996" spans="2:24" x14ac:dyDescent="0.25">
      <c r="B996" s="2">
        <v>1</v>
      </c>
      <c r="C996" s="1">
        <f t="shared" si="118"/>
        <v>20.352941176470523</v>
      </c>
      <c r="D996" s="1">
        <f t="shared" si="116"/>
        <v>1</v>
      </c>
      <c r="E996" s="1">
        <f t="shared" si="119"/>
        <v>0</v>
      </c>
      <c r="F996" s="31">
        <f t="shared" si="117"/>
        <v>14.6</v>
      </c>
      <c r="G996" s="31">
        <f t="shared" ca="1" si="121"/>
        <v>14.6</v>
      </c>
      <c r="H996" s="30">
        <f t="shared" ca="1" si="122"/>
        <v>0</v>
      </c>
      <c r="I996" s="31">
        <f t="shared" ca="1" si="123"/>
        <v>14.6</v>
      </c>
      <c r="Q996" s="80"/>
      <c r="R996" s="42"/>
      <c r="S996" s="90">
        <f t="shared" si="120"/>
        <v>93.799999999998946</v>
      </c>
      <c r="T996" s="42"/>
      <c r="U996" s="42"/>
      <c r="V996" s="42"/>
      <c r="W996" s="42"/>
      <c r="X996" s="81"/>
    </row>
    <row r="997" spans="2:24" x14ac:dyDescent="0.25">
      <c r="B997" s="2">
        <v>1</v>
      </c>
      <c r="C997" s="1">
        <f t="shared" si="118"/>
        <v>21.352941176470523</v>
      </c>
      <c r="D997" s="1">
        <f t="shared" si="116"/>
        <v>1</v>
      </c>
      <c r="E997" s="1">
        <f t="shared" si="119"/>
        <v>0</v>
      </c>
      <c r="F997" s="31">
        <f t="shared" si="117"/>
        <v>14.6</v>
      </c>
      <c r="G997" s="31">
        <f t="shared" ca="1" si="121"/>
        <v>14.6</v>
      </c>
      <c r="H997" s="30">
        <f t="shared" ca="1" si="122"/>
        <v>0</v>
      </c>
      <c r="I997" s="31">
        <f t="shared" ca="1" si="123"/>
        <v>14.6</v>
      </c>
      <c r="Q997" s="80"/>
      <c r="R997" s="42"/>
      <c r="S997" s="90">
        <f t="shared" si="120"/>
        <v>93.89999999999894</v>
      </c>
      <c r="T997" s="42"/>
      <c r="U997" s="42"/>
      <c r="V997" s="42"/>
      <c r="W997" s="42"/>
      <c r="X997" s="81"/>
    </row>
    <row r="998" spans="2:24" x14ac:dyDescent="0.25">
      <c r="B998" s="2">
        <v>1</v>
      </c>
      <c r="C998" s="1">
        <f t="shared" si="118"/>
        <v>22.352941176470523</v>
      </c>
      <c r="D998" s="1">
        <f t="shared" si="116"/>
        <v>1</v>
      </c>
      <c r="E998" s="1">
        <f t="shared" si="119"/>
        <v>0</v>
      </c>
      <c r="F998" s="31">
        <f t="shared" si="117"/>
        <v>14.6</v>
      </c>
      <c r="G998" s="31">
        <f t="shared" ca="1" si="121"/>
        <v>14.6</v>
      </c>
      <c r="H998" s="30">
        <f t="shared" ca="1" si="122"/>
        <v>0</v>
      </c>
      <c r="I998" s="31">
        <f t="shared" ca="1" si="123"/>
        <v>14.6</v>
      </c>
      <c r="Q998" s="80"/>
      <c r="R998" s="42"/>
      <c r="S998" s="90">
        <f t="shared" si="120"/>
        <v>93.999999999998934</v>
      </c>
      <c r="T998" s="42"/>
      <c r="U998" s="42"/>
      <c r="V998" s="42"/>
      <c r="W998" s="42"/>
      <c r="X998" s="81"/>
    </row>
    <row r="999" spans="2:24" x14ac:dyDescent="0.25">
      <c r="B999" s="2">
        <v>1</v>
      </c>
      <c r="C999" s="1">
        <f t="shared" si="118"/>
        <v>23.352941176470523</v>
      </c>
      <c r="D999" s="1">
        <f t="shared" si="116"/>
        <v>0</v>
      </c>
      <c r="E999" s="1">
        <f t="shared" si="119"/>
        <v>1</v>
      </c>
      <c r="F999" s="31">
        <f t="shared" si="117"/>
        <v>6.4</v>
      </c>
      <c r="G999" s="31">
        <f t="shared" ca="1" si="121"/>
        <v>0</v>
      </c>
      <c r="H999" s="30">
        <f t="shared" ca="1" si="122"/>
        <v>14.6</v>
      </c>
      <c r="I999" s="31">
        <f t="shared" ca="1" si="123"/>
        <v>14.6</v>
      </c>
      <c r="Q999" s="80"/>
      <c r="R999" s="42"/>
      <c r="S999" s="90">
        <f t="shared" si="120"/>
        <v>94.099999999998929</v>
      </c>
      <c r="T999" s="42"/>
      <c r="U999" s="42"/>
      <c r="V999" s="42"/>
      <c r="W999" s="42"/>
      <c r="X999" s="81"/>
    </row>
    <row r="1000" spans="2:24" x14ac:dyDescent="0.25">
      <c r="B1000" s="2">
        <v>1</v>
      </c>
      <c r="C1000" s="1">
        <f t="shared" si="118"/>
        <v>24.352941176470523</v>
      </c>
      <c r="D1000" s="1">
        <f t="shared" si="116"/>
        <v>0</v>
      </c>
      <c r="E1000" s="1">
        <f t="shared" si="119"/>
        <v>1</v>
      </c>
      <c r="F1000" s="31">
        <f t="shared" si="117"/>
        <v>6.4</v>
      </c>
      <c r="G1000" s="31">
        <f t="shared" ca="1" si="121"/>
        <v>0</v>
      </c>
      <c r="H1000" s="30">
        <f t="shared" ca="1" si="122"/>
        <v>6.4</v>
      </c>
      <c r="I1000" s="31">
        <f t="shared" ca="1" si="123"/>
        <v>6.4</v>
      </c>
      <c r="Q1000" s="80"/>
      <c r="R1000" s="42"/>
      <c r="S1000" s="90">
        <f t="shared" si="120"/>
        <v>94.199999999998923</v>
      </c>
      <c r="T1000" s="42"/>
      <c r="U1000" s="42"/>
      <c r="V1000" s="42"/>
      <c r="W1000" s="42"/>
      <c r="X1000" s="81"/>
    </row>
    <row r="1001" spans="2:24" x14ac:dyDescent="0.25">
      <c r="B1001" s="2">
        <v>1</v>
      </c>
      <c r="C1001" s="1">
        <f t="shared" si="118"/>
        <v>25.352941176470523</v>
      </c>
      <c r="D1001" s="1">
        <f t="shared" si="116"/>
        <v>0</v>
      </c>
      <c r="E1001" s="1">
        <f t="shared" si="119"/>
        <v>1</v>
      </c>
      <c r="F1001" s="31">
        <f t="shared" si="117"/>
        <v>6.4</v>
      </c>
      <c r="G1001" s="31">
        <f t="shared" ca="1" si="121"/>
        <v>0</v>
      </c>
      <c r="H1001" s="30">
        <f t="shared" ca="1" si="122"/>
        <v>6.4</v>
      </c>
      <c r="I1001" s="31">
        <f t="shared" ca="1" si="123"/>
        <v>6.4</v>
      </c>
      <c r="Q1001" s="80"/>
      <c r="R1001" s="42"/>
      <c r="S1001" s="90">
        <f t="shared" si="120"/>
        <v>94.299999999998917</v>
      </c>
      <c r="T1001" s="42"/>
      <c r="U1001" s="42"/>
      <c r="V1001" s="42"/>
      <c r="W1001" s="42"/>
      <c r="X1001" s="81"/>
    </row>
    <row r="1002" spans="2:24" x14ac:dyDescent="0.25">
      <c r="B1002" s="2">
        <v>1</v>
      </c>
      <c r="C1002" s="1">
        <f t="shared" si="118"/>
        <v>26.352941176470523</v>
      </c>
      <c r="D1002" s="1">
        <f t="shared" si="116"/>
        <v>0</v>
      </c>
      <c r="E1002" s="1">
        <f t="shared" si="119"/>
        <v>1</v>
      </c>
      <c r="F1002" s="31">
        <f t="shared" si="117"/>
        <v>6.4</v>
      </c>
      <c r="G1002" s="31">
        <f t="shared" ca="1" si="121"/>
        <v>0</v>
      </c>
      <c r="H1002" s="30">
        <f t="shared" ca="1" si="122"/>
        <v>6.4</v>
      </c>
      <c r="I1002" s="31">
        <f t="shared" ca="1" si="123"/>
        <v>6.4</v>
      </c>
      <c r="Q1002" s="80"/>
      <c r="R1002" s="42"/>
      <c r="S1002" s="90">
        <f t="shared" si="120"/>
        <v>94.399999999998911</v>
      </c>
      <c r="T1002" s="42"/>
      <c r="U1002" s="42"/>
      <c r="V1002" s="42"/>
      <c r="W1002" s="42"/>
      <c r="X1002" s="81"/>
    </row>
    <row r="1003" spans="2:24" x14ac:dyDescent="0.25">
      <c r="B1003" s="2">
        <v>1</v>
      </c>
      <c r="C1003" s="1">
        <f t="shared" si="118"/>
        <v>27.352941176470523</v>
      </c>
      <c r="D1003" s="1">
        <f t="shared" si="116"/>
        <v>0</v>
      </c>
      <c r="E1003" s="1">
        <f t="shared" si="119"/>
        <v>1</v>
      </c>
      <c r="F1003" s="31">
        <f t="shared" si="117"/>
        <v>6.4</v>
      </c>
      <c r="G1003" s="31">
        <f t="shared" ca="1" si="121"/>
        <v>0</v>
      </c>
      <c r="H1003" s="30">
        <f t="shared" ca="1" si="122"/>
        <v>6.4</v>
      </c>
      <c r="I1003" s="31">
        <f t="shared" ca="1" si="123"/>
        <v>6.4</v>
      </c>
      <c r="Q1003" s="80"/>
      <c r="R1003" s="42"/>
      <c r="S1003" s="90">
        <f t="shared" si="120"/>
        <v>94.499999999998906</v>
      </c>
      <c r="T1003" s="42"/>
      <c r="U1003" s="42"/>
      <c r="V1003" s="42"/>
      <c r="W1003" s="42"/>
      <c r="X1003" s="81"/>
    </row>
    <row r="1004" spans="2:24" x14ac:dyDescent="0.25">
      <c r="B1004" s="2">
        <v>1</v>
      </c>
      <c r="C1004" s="1">
        <f t="shared" si="118"/>
        <v>28.352941176470523</v>
      </c>
      <c r="D1004" s="1">
        <f t="shared" si="116"/>
        <v>0</v>
      </c>
      <c r="E1004" s="1">
        <f t="shared" si="119"/>
        <v>1</v>
      </c>
      <c r="F1004" s="31">
        <f t="shared" si="117"/>
        <v>6.4</v>
      </c>
      <c r="G1004" s="31">
        <f t="shared" ca="1" si="121"/>
        <v>0</v>
      </c>
      <c r="H1004" s="30">
        <f t="shared" ca="1" si="122"/>
        <v>6.4</v>
      </c>
      <c r="I1004" s="31">
        <f t="shared" ca="1" si="123"/>
        <v>6.4</v>
      </c>
      <c r="Q1004" s="80"/>
      <c r="R1004" s="42"/>
      <c r="S1004" s="90">
        <f t="shared" si="120"/>
        <v>94.5999999999989</v>
      </c>
      <c r="T1004" s="42"/>
      <c r="U1004" s="42"/>
      <c r="V1004" s="42"/>
      <c r="W1004" s="42"/>
      <c r="X1004" s="81"/>
    </row>
    <row r="1005" spans="2:24" x14ac:dyDescent="0.25">
      <c r="B1005" s="2">
        <v>1</v>
      </c>
      <c r="C1005" s="1">
        <f t="shared" si="118"/>
        <v>29.352941176470523</v>
      </c>
      <c r="D1005" s="1">
        <f t="shared" si="116"/>
        <v>0</v>
      </c>
      <c r="E1005" s="1">
        <f t="shared" si="119"/>
        <v>1</v>
      </c>
      <c r="F1005" s="31">
        <f t="shared" si="117"/>
        <v>6.4</v>
      </c>
      <c r="G1005" s="31">
        <f t="shared" ca="1" si="121"/>
        <v>0</v>
      </c>
      <c r="H1005" s="30">
        <f t="shared" ca="1" si="122"/>
        <v>6.4</v>
      </c>
      <c r="I1005" s="31">
        <f t="shared" ca="1" si="123"/>
        <v>6.4</v>
      </c>
      <c r="Q1005" s="80"/>
      <c r="R1005" s="42"/>
      <c r="S1005" s="90">
        <f t="shared" si="120"/>
        <v>94.699999999998894</v>
      </c>
      <c r="T1005" s="42"/>
      <c r="U1005" s="42"/>
      <c r="V1005" s="42"/>
      <c r="W1005" s="42"/>
      <c r="X1005" s="81"/>
    </row>
    <row r="1006" spans="2:24" x14ac:dyDescent="0.25">
      <c r="B1006" s="2">
        <v>1</v>
      </c>
      <c r="C1006" s="1">
        <f t="shared" si="118"/>
        <v>30.352941176470523</v>
      </c>
      <c r="D1006" s="1">
        <f t="shared" si="116"/>
        <v>0</v>
      </c>
      <c r="E1006" s="1">
        <f t="shared" si="119"/>
        <v>1</v>
      </c>
      <c r="F1006" s="31">
        <f t="shared" si="117"/>
        <v>6.4</v>
      </c>
      <c r="G1006" s="31">
        <f t="shared" ca="1" si="121"/>
        <v>0</v>
      </c>
      <c r="H1006" s="30">
        <f t="shared" ca="1" si="122"/>
        <v>6.4</v>
      </c>
      <c r="I1006" s="31">
        <f t="shared" ca="1" si="123"/>
        <v>6.4</v>
      </c>
      <c r="Q1006" s="80"/>
      <c r="R1006" s="42"/>
      <c r="S1006" s="90">
        <f t="shared" si="120"/>
        <v>94.799999999998889</v>
      </c>
      <c r="T1006" s="42"/>
      <c r="U1006" s="42"/>
      <c r="V1006" s="42"/>
      <c r="W1006" s="42"/>
      <c r="X1006" s="81"/>
    </row>
    <row r="1007" spans="2:24" x14ac:dyDescent="0.25">
      <c r="B1007" s="2">
        <v>1</v>
      </c>
      <c r="C1007" s="1">
        <f t="shared" si="118"/>
        <v>31.352941176470523</v>
      </c>
      <c r="D1007" s="1">
        <f t="shared" si="116"/>
        <v>0</v>
      </c>
      <c r="E1007" s="1">
        <f t="shared" si="119"/>
        <v>1</v>
      </c>
      <c r="F1007" s="31">
        <f t="shared" si="117"/>
        <v>6.4</v>
      </c>
      <c r="G1007" s="31">
        <f t="shared" ca="1" si="121"/>
        <v>0</v>
      </c>
      <c r="H1007" s="30">
        <f t="shared" ca="1" si="122"/>
        <v>6.4</v>
      </c>
      <c r="I1007" s="31">
        <f t="shared" ca="1" si="123"/>
        <v>6.4</v>
      </c>
      <c r="Q1007" s="80"/>
      <c r="R1007" s="42"/>
      <c r="S1007" s="90">
        <f t="shared" si="120"/>
        <v>94.899999999998883</v>
      </c>
      <c r="T1007" s="42"/>
      <c r="U1007" s="42"/>
      <c r="V1007" s="42"/>
      <c r="W1007" s="42"/>
      <c r="X1007" s="81"/>
    </row>
    <row r="1008" spans="2:24" x14ac:dyDescent="0.25">
      <c r="B1008" s="2">
        <v>1</v>
      </c>
      <c r="C1008" s="1">
        <f t="shared" si="118"/>
        <v>32.352941176470523</v>
      </c>
      <c r="D1008" s="1">
        <f t="shared" si="116"/>
        <v>0</v>
      </c>
      <c r="E1008" s="1">
        <f t="shared" si="119"/>
        <v>1</v>
      </c>
      <c r="F1008" s="31">
        <f t="shared" si="117"/>
        <v>6.4</v>
      </c>
      <c r="G1008" s="31">
        <f t="shared" ca="1" si="121"/>
        <v>0</v>
      </c>
      <c r="H1008" s="30">
        <f t="shared" ca="1" si="122"/>
        <v>6.4</v>
      </c>
      <c r="I1008" s="31">
        <f t="shared" ca="1" si="123"/>
        <v>6.4</v>
      </c>
      <c r="Q1008" s="80"/>
      <c r="R1008" s="42"/>
      <c r="S1008" s="90">
        <f t="shared" si="120"/>
        <v>94.999999999998877</v>
      </c>
      <c r="T1008" s="42"/>
      <c r="U1008" s="42"/>
      <c r="V1008" s="42"/>
      <c r="W1008" s="42"/>
      <c r="X1008" s="81"/>
    </row>
    <row r="1009" spans="2:24" x14ac:dyDescent="0.25">
      <c r="B1009" s="2">
        <v>1</v>
      </c>
      <c r="C1009" s="1">
        <f t="shared" si="118"/>
        <v>33.352941176470523</v>
      </c>
      <c r="D1009" s="1">
        <f t="shared" si="116"/>
        <v>0</v>
      </c>
      <c r="E1009" s="1">
        <f t="shared" si="119"/>
        <v>1</v>
      </c>
      <c r="F1009" s="31">
        <f t="shared" si="117"/>
        <v>6.4</v>
      </c>
      <c r="G1009" s="31">
        <f t="shared" ca="1" si="121"/>
        <v>0</v>
      </c>
      <c r="H1009" s="30">
        <f t="shared" ca="1" si="122"/>
        <v>6.4</v>
      </c>
      <c r="I1009" s="31">
        <f t="shared" ca="1" si="123"/>
        <v>6.4</v>
      </c>
      <c r="Q1009" s="80"/>
      <c r="R1009" s="42"/>
      <c r="S1009" s="90">
        <f t="shared" si="120"/>
        <v>95.099999999998872</v>
      </c>
      <c r="T1009" s="42"/>
      <c r="U1009" s="42"/>
      <c r="V1009" s="42"/>
      <c r="W1009" s="42"/>
      <c r="X1009" s="81"/>
    </row>
    <row r="1010" spans="2:24" x14ac:dyDescent="0.25">
      <c r="B1010" s="2">
        <v>1</v>
      </c>
      <c r="C1010" s="1">
        <f t="shared" si="118"/>
        <v>34.352941176470523</v>
      </c>
      <c r="D1010" s="1">
        <f t="shared" si="116"/>
        <v>0</v>
      </c>
      <c r="E1010" s="1">
        <f t="shared" si="119"/>
        <v>1</v>
      </c>
      <c r="F1010" s="31">
        <f t="shared" si="117"/>
        <v>6.4</v>
      </c>
      <c r="G1010" s="31">
        <f t="shared" ca="1" si="121"/>
        <v>0</v>
      </c>
      <c r="H1010" s="30">
        <f t="shared" ca="1" si="122"/>
        <v>6.4</v>
      </c>
      <c r="I1010" s="31">
        <f t="shared" ca="1" si="123"/>
        <v>6.4</v>
      </c>
      <c r="Q1010" s="80"/>
      <c r="R1010" s="42"/>
      <c r="S1010" s="90">
        <f t="shared" si="120"/>
        <v>95.199999999998866</v>
      </c>
      <c r="T1010" s="42"/>
      <c r="U1010" s="42"/>
      <c r="V1010" s="42"/>
      <c r="W1010" s="42"/>
      <c r="X1010" s="81"/>
    </row>
    <row r="1011" spans="2:24" x14ac:dyDescent="0.25">
      <c r="B1011" s="2">
        <v>1</v>
      </c>
      <c r="C1011" s="1">
        <f t="shared" si="118"/>
        <v>5.8823529411696995E-2</v>
      </c>
      <c r="D1011" s="1">
        <f t="shared" si="116"/>
        <v>1</v>
      </c>
      <c r="E1011" s="1">
        <f t="shared" si="119"/>
        <v>0</v>
      </c>
      <c r="F1011" s="31">
        <f t="shared" si="117"/>
        <v>14.6</v>
      </c>
      <c r="G1011" s="31">
        <f t="shared" ca="1" si="121"/>
        <v>6.4</v>
      </c>
      <c r="H1011" s="30">
        <f t="shared" ca="1" si="122"/>
        <v>0</v>
      </c>
      <c r="I1011" s="31">
        <f t="shared" ca="1" si="123"/>
        <v>6.4</v>
      </c>
      <c r="Q1011" s="80"/>
      <c r="R1011" s="42"/>
      <c r="S1011" s="90">
        <f t="shared" si="120"/>
        <v>95.29999999999886</v>
      </c>
      <c r="T1011" s="42"/>
      <c r="U1011" s="42"/>
      <c r="V1011" s="42"/>
      <c r="W1011" s="42"/>
      <c r="X1011" s="81"/>
    </row>
    <row r="1012" spans="2:24" x14ac:dyDescent="0.25">
      <c r="B1012" s="2">
        <v>1</v>
      </c>
      <c r="C1012" s="1">
        <f t="shared" si="118"/>
        <v>1.058823529411697</v>
      </c>
      <c r="D1012" s="1">
        <f t="shared" si="116"/>
        <v>1</v>
      </c>
      <c r="E1012" s="1">
        <f t="shared" si="119"/>
        <v>0</v>
      </c>
      <c r="F1012" s="31">
        <f t="shared" si="117"/>
        <v>14.6</v>
      </c>
      <c r="G1012" s="31">
        <f t="shared" ca="1" si="121"/>
        <v>8.4500000000000011</v>
      </c>
      <c r="H1012" s="30">
        <f t="shared" ca="1" si="122"/>
        <v>0</v>
      </c>
      <c r="I1012" s="31">
        <f t="shared" ca="1" si="123"/>
        <v>8.4500000000000011</v>
      </c>
      <c r="Q1012" s="80"/>
      <c r="R1012" s="42"/>
      <c r="S1012" s="90">
        <f t="shared" si="120"/>
        <v>95.399999999998855</v>
      </c>
      <c r="T1012" s="42"/>
      <c r="U1012" s="42"/>
      <c r="V1012" s="42"/>
      <c r="W1012" s="42"/>
      <c r="X1012" s="81"/>
    </row>
    <row r="1013" spans="2:24" x14ac:dyDescent="0.25">
      <c r="B1013" s="2">
        <v>1</v>
      </c>
      <c r="C1013" s="1">
        <f t="shared" si="118"/>
        <v>2.058823529411697</v>
      </c>
      <c r="D1013" s="1">
        <f t="shared" si="116"/>
        <v>1</v>
      </c>
      <c r="E1013" s="1">
        <f t="shared" si="119"/>
        <v>0</v>
      </c>
      <c r="F1013" s="31">
        <f t="shared" si="117"/>
        <v>14.6</v>
      </c>
      <c r="G1013" s="31">
        <f t="shared" ca="1" si="121"/>
        <v>10.5</v>
      </c>
      <c r="H1013" s="30">
        <f t="shared" ca="1" si="122"/>
        <v>0</v>
      </c>
      <c r="I1013" s="31">
        <f t="shared" ca="1" si="123"/>
        <v>10.5</v>
      </c>
      <c r="Q1013" s="80"/>
      <c r="R1013" s="42"/>
      <c r="S1013" s="90">
        <f t="shared" si="120"/>
        <v>95.499999999998849</v>
      </c>
      <c r="T1013" s="42"/>
      <c r="U1013" s="42"/>
      <c r="V1013" s="42"/>
      <c r="W1013" s="42"/>
      <c r="X1013" s="81"/>
    </row>
    <row r="1014" spans="2:24" x14ac:dyDescent="0.25">
      <c r="B1014" s="2">
        <v>1</v>
      </c>
      <c r="C1014" s="1">
        <f t="shared" si="118"/>
        <v>3.058823529411697</v>
      </c>
      <c r="D1014" s="1">
        <f t="shared" si="116"/>
        <v>1</v>
      </c>
      <c r="E1014" s="1">
        <f t="shared" si="119"/>
        <v>0</v>
      </c>
      <c r="F1014" s="31">
        <f t="shared" si="117"/>
        <v>14.6</v>
      </c>
      <c r="G1014" s="31">
        <f t="shared" ca="1" si="121"/>
        <v>12.55</v>
      </c>
      <c r="H1014" s="30">
        <f t="shared" ca="1" si="122"/>
        <v>0</v>
      </c>
      <c r="I1014" s="31">
        <f t="shared" ca="1" si="123"/>
        <v>12.55</v>
      </c>
      <c r="Q1014" s="80"/>
      <c r="R1014" s="42"/>
      <c r="S1014" s="90">
        <f t="shared" si="120"/>
        <v>95.599999999998843</v>
      </c>
      <c r="T1014" s="42"/>
      <c r="U1014" s="42"/>
      <c r="V1014" s="42"/>
      <c r="W1014" s="42"/>
      <c r="X1014" s="81"/>
    </row>
    <row r="1015" spans="2:24" x14ac:dyDescent="0.25">
      <c r="B1015" s="2">
        <v>1</v>
      </c>
      <c r="C1015" s="1">
        <f t="shared" si="118"/>
        <v>4.058823529411697</v>
      </c>
      <c r="D1015" s="1">
        <f t="shared" si="116"/>
        <v>1</v>
      </c>
      <c r="E1015" s="1">
        <f t="shared" si="119"/>
        <v>0</v>
      </c>
      <c r="F1015" s="31">
        <f t="shared" si="117"/>
        <v>14.6</v>
      </c>
      <c r="G1015" s="31">
        <f t="shared" ca="1" si="121"/>
        <v>14.6</v>
      </c>
      <c r="H1015" s="30">
        <f t="shared" ca="1" si="122"/>
        <v>0</v>
      </c>
      <c r="I1015" s="31">
        <f t="shared" ca="1" si="123"/>
        <v>14.6</v>
      </c>
      <c r="Q1015" s="80"/>
      <c r="R1015" s="42"/>
      <c r="S1015" s="90">
        <f t="shared" si="120"/>
        <v>95.699999999998838</v>
      </c>
      <c r="T1015" s="42"/>
      <c r="U1015" s="42"/>
      <c r="V1015" s="42"/>
      <c r="W1015" s="42"/>
      <c r="X1015" s="81"/>
    </row>
    <row r="1016" spans="2:24" x14ac:dyDescent="0.25">
      <c r="B1016" s="2">
        <v>1</v>
      </c>
      <c r="C1016" s="1">
        <f t="shared" si="118"/>
        <v>5.058823529411697</v>
      </c>
      <c r="D1016" s="1">
        <f t="shared" si="116"/>
        <v>1</v>
      </c>
      <c r="E1016" s="1">
        <f t="shared" si="119"/>
        <v>0</v>
      </c>
      <c r="F1016" s="31">
        <f t="shared" si="117"/>
        <v>14.6</v>
      </c>
      <c r="G1016" s="31">
        <f t="shared" ca="1" si="121"/>
        <v>14.6</v>
      </c>
      <c r="H1016" s="30">
        <f t="shared" ca="1" si="122"/>
        <v>0</v>
      </c>
      <c r="I1016" s="31">
        <f t="shared" ca="1" si="123"/>
        <v>14.6</v>
      </c>
      <c r="Q1016" s="80"/>
      <c r="R1016" s="42"/>
      <c r="S1016" s="90">
        <f t="shared" si="120"/>
        <v>95.799999999998832</v>
      </c>
      <c r="T1016" s="42"/>
      <c r="U1016" s="42"/>
      <c r="V1016" s="42"/>
      <c r="W1016" s="42"/>
      <c r="X1016" s="81"/>
    </row>
    <row r="1017" spans="2:24" x14ac:dyDescent="0.25">
      <c r="B1017" s="2">
        <v>1</v>
      </c>
      <c r="C1017" s="1">
        <f t="shared" si="118"/>
        <v>6.058823529411697</v>
      </c>
      <c r="D1017" s="1">
        <f t="shared" si="116"/>
        <v>1</v>
      </c>
      <c r="E1017" s="1">
        <f t="shared" si="119"/>
        <v>0</v>
      </c>
      <c r="F1017" s="31">
        <f t="shared" si="117"/>
        <v>14.6</v>
      </c>
      <c r="G1017" s="31">
        <f t="shared" ca="1" si="121"/>
        <v>14.6</v>
      </c>
      <c r="H1017" s="30">
        <f t="shared" ca="1" si="122"/>
        <v>0</v>
      </c>
      <c r="I1017" s="31">
        <f t="shared" ca="1" si="123"/>
        <v>14.6</v>
      </c>
      <c r="Q1017" s="80"/>
      <c r="R1017" s="42"/>
      <c r="S1017" s="90">
        <f t="shared" si="120"/>
        <v>95.899999999998826</v>
      </c>
      <c r="T1017" s="42"/>
      <c r="U1017" s="42"/>
      <c r="V1017" s="42"/>
      <c r="W1017" s="42"/>
      <c r="X1017" s="81"/>
    </row>
    <row r="1018" spans="2:24" x14ac:dyDescent="0.25">
      <c r="B1018" s="2">
        <v>1</v>
      </c>
      <c r="C1018" s="1">
        <f t="shared" si="118"/>
        <v>7.058823529411697</v>
      </c>
      <c r="D1018" s="1">
        <f t="shared" ref="D1018:D1081" si="124">IF(C1018&lt;=Inhelation_Time_RT,1,0)</f>
        <v>1</v>
      </c>
      <c r="E1018" s="1">
        <f t="shared" si="119"/>
        <v>0</v>
      </c>
      <c r="F1018" s="31">
        <f t="shared" ref="F1018:F1081" si="125">(D1018*Inspiratory_pressure_level) + (E1018*PEEP)</f>
        <v>14.6</v>
      </c>
      <c r="G1018" s="31">
        <f t="shared" ca="1" si="121"/>
        <v>14.6</v>
      </c>
      <c r="H1018" s="30">
        <f t="shared" ca="1" si="122"/>
        <v>0</v>
      </c>
      <c r="I1018" s="31">
        <f t="shared" ca="1" si="123"/>
        <v>14.6</v>
      </c>
      <c r="Q1018" s="80"/>
      <c r="R1018" s="42"/>
      <c r="S1018" s="90">
        <f t="shared" si="120"/>
        <v>95.99999999999882</v>
      </c>
      <c r="T1018" s="42"/>
      <c r="U1018" s="42"/>
      <c r="V1018" s="42"/>
      <c r="W1018" s="42"/>
      <c r="X1018" s="81"/>
    </row>
    <row r="1019" spans="2:24" x14ac:dyDescent="0.25">
      <c r="B1019" s="2">
        <v>1</v>
      </c>
      <c r="C1019" s="1">
        <f t="shared" ref="C1019:C1082" si="126">MOD(C1018+B1019,time_for_breath_RT)</f>
        <v>8.058823529411697</v>
      </c>
      <c r="D1019" s="1">
        <f t="shared" si="124"/>
        <v>1</v>
      </c>
      <c r="E1019" s="1">
        <f t="shared" ref="E1019:E1082" si="127">IF(D1019=1,0,1)</f>
        <v>0</v>
      </c>
      <c r="F1019" s="31">
        <f t="shared" si="125"/>
        <v>14.6</v>
      </c>
      <c r="G1019" s="31">
        <f t="shared" ca="1" si="121"/>
        <v>14.6</v>
      </c>
      <c r="H1019" s="30">
        <f t="shared" ca="1" si="122"/>
        <v>0</v>
      </c>
      <c r="I1019" s="31">
        <f t="shared" ca="1" si="123"/>
        <v>14.6</v>
      </c>
      <c r="Q1019" s="80"/>
      <c r="R1019" s="42"/>
      <c r="S1019" s="90">
        <f t="shared" ref="S1019:S1082" si="128">S1018+(B1018 / RTC_to_seconds)</f>
        <v>96.099999999998815</v>
      </c>
      <c r="T1019" s="42"/>
      <c r="U1019" s="42"/>
      <c r="V1019" s="42"/>
      <c r="W1019" s="42"/>
      <c r="X1019" s="81"/>
    </row>
    <row r="1020" spans="2:24" x14ac:dyDescent="0.25">
      <c r="B1020" s="2">
        <v>1</v>
      </c>
      <c r="C1020" s="1">
        <f t="shared" si="126"/>
        <v>9.058823529411697</v>
      </c>
      <c r="D1020" s="1">
        <f t="shared" si="124"/>
        <v>1</v>
      </c>
      <c r="E1020" s="1">
        <f t="shared" si="127"/>
        <v>0</v>
      </c>
      <c r="F1020" s="31">
        <f t="shared" si="125"/>
        <v>14.6</v>
      </c>
      <c r="G1020" s="31">
        <f t="shared" ca="1" si="121"/>
        <v>14.6</v>
      </c>
      <c r="H1020" s="30">
        <f t="shared" ca="1" si="122"/>
        <v>0</v>
      </c>
      <c r="I1020" s="31">
        <f t="shared" ca="1" si="123"/>
        <v>14.6</v>
      </c>
      <c r="Q1020" s="80"/>
      <c r="R1020" s="42"/>
      <c r="S1020" s="90">
        <f t="shared" si="128"/>
        <v>96.199999999998809</v>
      </c>
      <c r="T1020" s="42"/>
      <c r="U1020" s="42"/>
      <c r="V1020" s="42"/>
      <c r="W1020" s="42"/>
      <c r="X1020" s="81"/>
    </row>
    <row r="1021" spans="2:24" x14ac:dyDescent="0.25">
      <c r="B1021" s="2">
        <v>1</v>
      </c>
      <c r="C1021" s="1">
        <f t="shared" si="126"/>
        <v>10.058823529411697</v>
      </c>
      <c r="D1021" s="1">
        <f t="shared" si="124"/>
        <v>1</v>
      </c>
      <c r="E1021" s="1">
        <f t="shared" si="127"/>
        <v>0</v>
      </c>
      <c r="F1021" s="31">
        <f t="shared" si="125"/>
        <v>14.6</v>
      </c>
      <c r="G1021" s="31">
        <f t="shared" ca="1" si="121"/>
        <v>14.6</v>
      </c>
      <c r="H1021" s="30">
        <f t="shared" ca="1" si="122"/>
        <v>0</v>
      </c>
      <c r="I1021" s="31">
        <f t="shared" ca="1" si="123"/>
        <v>14.6</v>
      </c>
      <c r="Q1021" s="80"/>
      <c r="R1021" s="42"/>
      <c r="S1021" s="90">
        <f t="shared" si="128"/>
        <v>96.299999999998803</v>
      </c>
      <c r="T1021" s="42"/>
      <c r="U1021" s="42"/>
      <c r="V1021" s="42"/>
      <c r="W1021" s="42"/>
      <c r="X1021" s="81"/>
    </row>
    <row r="1022" spans="2:24" x14ac:dyDescent="0.25">
      <c r="B1022" s="2">
        <v>1</v>
      </c>
      <c r="C1022" s="1">
        <f t="shared" si="126"/>
        <v>11.058823529411697</v>
      </c>
      <c r="D1022" s="1">
        <f t="shared" si="124"/>
        <v>1</v>
      </c>
      <c r="E1022" s="1">
        <f t="shared" si="127"/>
        <v>0</v>
      </c>
      <c r="F1022" s="31">
        <f t="shared" si="125"/>
        <v>14.6</v>
      </c>
      <c r="G1022" s="31">
        <f t="shared" ca="1" si="121"/>
        <v>14.6</v>
      </c>
      <c r="H1022" s="30">
        <f t="shared" ca="1" si="122"/>
        <v>0</v>
      </c>
      <c r="I1022" s="31">
        <f t="shared" ca="1" si="123"/>
        <v>14.6</v>
      </c>
      <c r="Q1022" s="80"/>
      <c r="R1022" s="42"/>
      <c r="S1022" s="90">
        <f t="shared" si="128"/>
        <v>96.399999999998798</v>
      </c>
      <c r="T1022" s="42"/>
      <c r="U1022" s="42"/>
      <c r="V1022" s="42"/>
      <c r="W1022" s="42"/>
      <c r="X1022" s="81"/>
    </row>
    <row r="1023" spans="2:24" x14ac:dyDescent="0.25">
      <c r="B1023" s="2">
        <v>1</v>
      </c>
      <c r="C1023" s="1">
        <f t="shared" si="126"/>
        <v>12.058823529411697</v>
      </c>
      <c r="D1023" s="1">
        <f t="shared" si="124"/>
        <v>1</v>
      </c>
      <c r="E1023" s="1">
        <f t="shared" si="127"/>
        <v>0</v>
      </c>
      <c r="F1023" s="31">
        <f t="shared" si="125"/>
        <v>14.6</v>
      </c>
      <c r="G1023" s="31">
        <f t="shared" ca="1" si="121"/>
        <v>14.6</v>
      </c>
      <c r="H1023" s="30">
        <f t="shared" ca="1" si="122"/>
        <v>0</v>
      </c>
      <c r="I1023" s="31">
        <f t="shared" ca="1" si="123"/>
        <v>14.6</v>
      </c>
      <c r="Q1023" s="80"/>
      <c r="R1023" s="42"/>
      <c r="S1023" s="90">
        <f t="shared" si="128"/>
        <v>96.499999999998792</v>
      </c>
      <c r="T1023" s="42"/>
      <c r="U1023" s="42"/>
      <c r="V1023" s="42"/>
      <c r="W1023" s="42"/>
      <c r="X1023" s="81"/>
    </row>
    <row r="1024" spans="2:24" x14ac:dyDescent="0.25">
      <c r="B1024" s="2">
        <v>1</v>
      </c>
      <c r="C1024" s="1">
        <f t="shared" si="126"/>
        <v>13.058823529411697</v>
      </c>
      <c r="D1024" s="1">
        <f t="shared" si="124"/>
        <v>1</v>
      </c>
      <c r="E1024" s="1">
        <f t="shared" si="127"/>
        <v>0</v>
      </c>
      <c r="F1024" s="31">
        <f t="shared" si="125"/>
        <v>14.6</v>
      </c>
      <c r="G1024" s="31">
        <f t="shared" ca="1" si="121"/>
        <v>14.6</v>
      </c>
      <c r="H1024" s="30">
        <f t="shared" ca="1" si="122"/>
        <v>0</v>
      </c>
      <c r="I1024" s="31">
        <f t="shared" ca="1" si="123"/>
        <v>14.6</v>
      </c>
      <c r="Q1024" s="80"/>
      <c r="R1024" s="42"/>
      <c r="S1024" s="90">
        <f t="shared" si="128"/>
        <v>96.599999999998786</v>
      </c>
      <c r="T1024" s="42"/>
      <c r="U1024" s="42"/>
      <c r="V1024" s="42"/>
      <c r="W1024" s="42"/>
      <c r="X1024" s="81"/>
    </row>
    <row r="1025" spans="2:24" x14ac:dyDescent="0.25">
      <c r="B1025" s="2">
        <v>1</v>
      </c>
      <c r="C1025" s="1">
        <f t="shared" si="126"/>
        <v>14.058823529411697</v>
      </c>
      <c r="D1025" s="1">
        <f t="shared" si="124"/>
        <v>1</v>
      </c>
      <c r="E1025" s="1">
        <f t="shared" si="127"/>
        <v>0</v>
      </c>
      <c r="F1025" s="31">
        <f t="shared" si="125"/>
        <v>14.6</v>
      </c>
      <c r="G1025" s="31">
        <f t="shared" ca="1" si="121"/>
        <v>14.6</v>
      </c>
      <c r="H1025" s="30">
        <f t="shared" ca="1" si="122"/>
        <v>0</v>
      </c>
      <c r="I1025" s="31">
        <f t="shared" ca="1" si="123"/>
        <v>14.6</v>
      </c>
      <c r="Q1025" s="80"/>
      <c r="R1025" s="42"/>
      <c r="S1025" s="90">
        <f t="shared" si="128"/>
        <v>96.699999999998781</v>
      </c>
      <c r="T1025" s="42"/>
      <c r="U1025" s="42"/>
      <c r="V1025" s="42"/>
      <c r="W1025" s="42"/>
      <c r="X1025" s="81"/>
    </row>
    <row r="1026" spans="2:24" x14ac:dyDescent="0.25">
      <c r="B1026" s="2">
        <v>1</v>
      </c>
      <c r="C1026" s="1">
        <f t="shared" si="126"/>
        <v>15.058823529411697</v>
      </c>
      <c r="D1026" s="1">
        <f t="shared" si="124"/>
        <v>1</v>
      </c>
      <c r="E1026" s="1">
        <f t="shared" si="127"/>
        <v>0</v>
      </c>
      <c r="F1026" s="31">
        <f t="shared" si="125"/>
        <v>14.6</v>
      </c>
      <c r="G1026" s="31">
        <f t="shared" ca="1" si="121"/>
        <v>14.6</v>
      </c>
      <c r="H1026" s="30">
        <f t="shared" ca="1" si="122"/>
        <v>0</v>
      </c>
      <c r="I1026" s="31">
        <f t="shared" ca="1" si="123"/>
        <v>14.6</v>
      </c>
      <c r="Q1026" s="80"/>
      <c r="R1026" s="42"/>
      <c r="S1026" s="90">
        <f t="shared" si="128"/>
        <v>96.799999999998775</v>
      </c>
      <c r="T1026" s="42"/>
      <c r="U1026" s="42"/>
      <c r="V1026" s="42"/>
      <c r="W1026" s="42"/>
      <c r="X1026" s="81"/>
    </row>
    <row r="1027" spans="2:24" x14ac:dyDescent="0.25">
      <c r="B1027" s="2">
        <v>1</v>
      </c>
      <c r="C1027" s="1">
        <f t="shared" si="126"/>
        <v>16.058823529411697</v>
      </c>
      <c r="D1027" s="1">
        <f t="shared" si="124"/>
        <v>1</v>
      </c>
      <c r="E1027" s="1">
        <f t="shared" si="127"/>
        <v>0</v>
      </c>
      <c r="F1027" s="31">
        <f t="shared" si="125"/>
        <v>14.6</v>
      </c>
      <c r="G1027" s="31">
        <f t="shared" ca="1" si="121"/>
        <v>14.6</v>
      </c>
      <c r="H1027" s="30">
        <f t="shared" ca="1" si="122"/>
        <v>0</v>
      </c>
      <c r="I1027" s="31">
        <f t="shared" ca="1" si="123"/>
        <v>14.6</v>
      </c>
      <c r="Q1027" s="80"/>
      <c r="R1027" s="42"/>
      <c r="S1027" s="90">
        <f t="shared" si="128"/>
        <v>96.899999999998769</v>
      </c>
      <c r="T1027" s="42"/>
      <c r="U1027" s="42"/>
      <c r="V1027" s="42"/>
      <c r="W1027" s="42"/>
      <c r="X1027" s="81"/>
    </row>
    <row r="1028" spans="2:24" x14ac:dyDescent="0.25">
      <c r="B1028" s="2">
        <v>1</v>
      </c>
      <c r="C1028" s="1">
        <f t="shared" si="126"/>
        <v>17.058823529411697</v>
      </c>
      <c r="D1028" s="1">
        <f t="shared" si="124"/>
        <v>1</v>
      </c>
      <c r="E1028" s="1">
        <f t="shared" si="127"/>
        <v>0</v>
      </c>
      <c r="F1028" s="31">
        <f t="shared" si="125"/>
        <v>14.6</v>
      </c>
      <c r="G1028" s="31">
        <f t="shared" ca="1" si="121"/>
        <v>14.6</v>
      </c>
      <c r="H1028" s="30">
        <f t="shared" ca="1" si="122"/>
        <v>0</v>
      </c>
      <c r="I1028" s="31">
        <f t="shared" ca="1" si="123"/>
        <v>14.6</v>
      </c>
      <c r="Q1028" s="80"/>
      <c r="R1028" s="42"/>
      <c r="S1028" s="90">
        <f t="shared" si="128"/>
        <v>96.999999999998764</v>
      </c>
      <c r="T1028" s="42"/>
      <c r="U1028" s="42"/>
      <c r="V1028" s="42"/>
      <c r="W1028" s="42"/>
      <c r="X1028" s="81"/>
    </row>
    <row r="1029" spans="2:24" x14ac:dyDescent="0.25">
      <c r="B1029" s="2">
        <v>1</v>
      </c>
      <c r="C1029" s="1">
        <f t="shared" si="126"/>
        <v>18.058823529411697</v>
      </c>
      <c r="D1029" s="1">
        <f t="shared" si="124"/>
        <v>1</v>
      </c>
      <c r="E1029" s="1">
        <f t="shared" si="127"/>
        <v>0</v>
      </c>
      <c r="F1029" s="31">
        <f t="shared" si="125"/>
        <v>14.6</v>
      </c>
      <c r="G1029" s="31">
        <f t="shared" ca="1" si="121"/>
        <v>14.6</v>
      </c>
      <c r="H1029" s="30">
        <f t="shared" ca="1" si="122"/>
        <v>0</v>
      </c>
      <c r="I1029" s="31">
        <f t="shared" ca="1" si="123"/>
        <v>14.6</v>
      </c>
      <c r="Q1029" s="80"/>
      <c r="R1029" s="42"/>
      <c r="S1029" s="90">
        <f t="shared" si="128"/>
        <v>97.099999999998758</v>
      </c>
      <c r="T1029" s="42"/>
      <c r="U1029" s="42"/>
      <c r="V1029" s="42"/>
      <c r="W1029" s="42"/>
      <c r="X1029" s="81"/>
    </row>
    <row r="1030" spans="2:24" x14ac:dyDescent="0.25">
      <c r="B1030" s="2">
        <v>1</v>
      </c>
      <c r="C1030" s="1">
        <f t="shared" si="126"/>
        <v>19.058823529411697</v>
      </c>
      <c r="D1030" s="1">
        <f t="shared" si="124"/>
        <v>1</v>
      </c>
      <c r="E1030" s="1">
        <f t="shared" si="127"/>
        <v>0</v>
      </c>
      <c r="F1030" s="31">
        <f t="shared" si="125"/>
        <v>14.6</v>
      </c>
      <c r="G1030" s="31">
        <f t="shared" ca="1" si="121"/>
        <v>14.6</v>
      </c>
      <c r="H1030" s="30">
        <f t="shared" ca="1" si="122"/>
        <v>0</v>
      </c>
      <c r="I1030" s="31">
        <f t="shared" ca="1" si="123"/>
        <v>14.6</v>
      </c>
      <c r="Q1030" s="80"/>
      <c r="R1030" s="42"/>
      <c r="S1030" s="90">
        <f t="shared" si="128"/>
        <v>97.199999999998752</v>
      </c>
      <c r="T1030" s="42"/>
      <c r="U1030" s="42"/>
      <c r="V1030" s="42"/>
      <c r="W1030" s="42"/>
      <c r="X1030" s="81"/>
    </row>
    <row r="1031" spans="2:24" x14ac:dyDescent="0.25">
      <c r="B1031" s="2">
        <v>1</v>
      </c>
      <c r="C1031" s="1">
        <f t="shared" si="126"/>
        <v>20.058823529411697</v>
      </c>
      <c r="D1031" s="1">
        <f t="shared" si="124"/>
        <v>1</v>
      </c>
      <c r="E1031" s="1">
        <f t="shared" si="127"/>
        <v>0</v>
      </c>
      <c r="F1031" s="31">
        <f t="shared" si="125"/>
        <v>14.6</v>
      </c>
      <c r="G1031" s="31">
        <f t="shared" ca="1" si="121"/>
        <v>14.6</v>
      </c>
      <c r="H1031" s="30">
        <f t="shared" ca="1" si="122"/>
        <v>0</v>
      </c>
      <c r="I1031" s="31">
        <f t="shared" ca="1" si="123"/>
        <v>14.6</v>
      </c>
      <c r="Q1031" s="80"/>
      <c r="R1031" s="42"/>
      <c r="S1031" s="90">
        <f t="shared" si="128"/>
        <v>97.299999999998747</v>
      </c>
      <c r="T1031" s="42"/>
      <c r="U1031" s="42"/>
      <c r="V1031" s="42"/>
      <c r="W1031" s="42"/>
      <c r="X1031" s="81"/>
    </row>
    <row r="1032" spans="2:24" x14ac:dyDescent="0.25">
      <c r="B1032" s="2">
        <v>1</v>
      </c>
      <c r="C1032" s="1">
        <f t="shared" si="126"/>
        <v>21.058823529411697</v>
      </c>
      <c r="D1032" s="1">
        <f t="shared" si="124"/>
        <v>1</v>
      </c>
      <c r="E1032" s="1">
        <f t="shared" si="127"/>
        <v>0</v>
      </c>
      <c r="F1032" s="31">
        <f t="shared" si="125"/>
        <v>14.6</v>
      </c>
      <c r="G1032" s="31">
        <f t="shared" ca="1" si="121"/>
        <v>14.6</v>
      </c>
      <c r="H1032" s="30">
        <f t="shared" ca="1" si="122"/>
        <v>0</v>
      </c>
      <c r="I1032" s="31">
        <f t="shared" ca="1" si="123"/>
        <v>14.6</v>
      </c>
      <c r="Q1032" s="80"/>
      <c r="R1032" s="42"/>
      <c r="S1032" s="90">
        <f t="shared" si="128"/>
        <v>97.399999999998741</v>
      </c>
      <c r="T1032" s="42"/>
      <c r="U1032" s="42"/>
      <c r="V1032" s="42"/>
      <c r="W1032" s="42"/>
      <c r="X1032" s="81"/>
    </row>
    <row r="1033" spans="2:24" x14ac:dyDescent="0.25">
      <c r="B1033" s="2">
        <v>1</v>
      </c>
      <c r="C1033" s="1">
        <f t="shared" si="126"/>
        <v>22.058823529411697</v>
      </c>
      <c r="D1033" s="1">
        <f t="shared" si="124"/>
        <v>1</v>
      </c>
      <c r="E1033" s="1">
        <f t="shared" si="127"/>
        <v>0</v>
      </c>
      <c r="F1033" s="31">
        <f t="shared" si="125"/>
        <v>14.6</v>
      </c>
      <c r="G1033" s="31">
        <f t="shared" ca="1" si="121"/>
        <v>14.6</v>
      </c>
      <c r="H1033" s="30">
        <f t="shared" ca="1" si="122"/>
        <v>0</v>
      </c>
      <c r="I1033" s="31">
        <f t="shared" ca="1" si="123"/>
        <v>14.6</v>
      </c>
      <c r="Q1033" s="80"/>
      <c r="R1033" s="42"/>
      <c r="S1033" s="90">
        <f t="shared" si="128"/>
        <v>97.499999999998735</v>
      </c>
      <c r="T1033" s="42"/>
      <c r="U1033" s="42"/>
      <c r="V1033" s="42"/>
      <c r="W1033" s="42"/>
      <c r="X1033" s="81"/>
    </row>
    <row r="1034" spans="2:24" x14ac:dyDescent="0.25">
      <c r="B1034" s="2">
        <v>1</v>
      </c>
      <c r="C1034" s="1">
        <f t="shared" si="126"/>
        <v>23.058823529411697</v>
      </c>
      <c r="D1034" s="1">
        <f t="shared" si="124"/>
        <v>0</v>
      </c>
      <c r="E1034" s="1">
        <f t="shared" si="127"/>
        <v>1</v>
      </c>
      <c r="F1034" s="31">
        <f t="shared" si="125"/>
        <v>6.4</v>
      </c>
      <c r="G1034" s="31">
        <f t="shared" ca="1" si="121"/>
        <v>0</v>
      </c>
      <c r="H1034" s="30">
        <f t="shared" ca="1" si="122"/>
        <v>14.6</v>
      </c>
      <c r="I1034" s="31">
        <f t="shared" ca="1" si="123"/>
        <v>14.6</v>
      </c>
      <c r="Q1034" s="80"/>
      <c r="R1034" s="42"/>
      <c r="S1034" s="90">
        <f t="shared" si="128"/>
        <v>97.59999999999873</v>
      </c>
      <c r="T1034" s="42"/>
      <c r="U1034" s="42"/>
      <c r="V1034" s="42"/>
      <c r="W1034" s="42"/>
      <c r="X1034" s="81"/>
    </row>
    <row r="1035" spans="2:24" x14ac:dyDescent="0.25">
      <c r="B1035" s="2">
        <v>1</v>
      </c>
      <c r="C1035" s="1">
        <f t="shared" si="126"/>
        <v>24.058823529411697</v>
      </c>
      <c r="D1035" s="1">
        <f t="shared" si="124"/>
        <v>0</v>
      </c>
      <c r="E1035" s="1">
        <f t="shared" si="127"/>
        <v>1</v>
      </c>
      <c r="F1035" s="31">
        <f t="shared" si="125"/>
        <v>6.4</v>
      </c>
      <c r="G1035" s="31">
        <f t="shared" ref="G1035:G1098" ca="1" si="129">IF(D1035=1, AVERAGE(OFFSET(F1035,-$L$27,0,$L$27,1)),0)</f>
        <v>0</v>
      </c>
      <c r="H1035" s="30">
        <f t="shared" ref="H1035:H1098" ca="1" si="130">IF(D1035=0, AVERAGE(OFFSET(F1035,-$L$28,0,$L$28,1)),0)</f>
        <v>6.4</v>
      </c>
      <c r="I1035" s="31">
        <f t="shared" ref="I1035:I1098" ca="1" si="131">G1035+H1035</f>
        <v>6.4</v>
      </c>
      <c r="Q1035" s="80"/>
      <c r="R1035" s="42"/>
      <c r="S1035" s="90">
        <f t="shared" si="128"/>
        <v>97.699999999998724</v>
      </c>
      <c r="T1035" s="42"/>
      <c r="U1035" s="42"/>
      <c r="V1035" s="42"/>
      <c r="W1035" s="42"/>
      <c r="X1035" s="81"/>
    </row>
    <row r="1036" spans="2:24" x14ac:dyDescent="0.25">
      <c r="B1036" s="2">
        <v>1</v>
      </c>
      <c r="C1036" s="1">
        <f t="shared" si="126"/>
        <v>25.058823529411697</v>
      </c>
      <c r="D1036" s="1">
        <f t="shared" si="124"/>
        <v>0</v>
      </c>
      <c r="E1036" s="1">
        <f t="shared" si="127"/>
        <v>1</v>
      </c>
      <c r="F1036" s="31">
        <f t="shared" si="125"/>
        <v>6.4</v>
      </c>
      <c r="G1036" s="31">
        <f t="shared" ca="1" si="129"/>
        <v>0</v>
      </c>
      <c r="H1036" s="30">
        <f t="shared" ca="1" si="130"/>
        <v>6.4</v>
      </c>
      <c r="I1036" s="31">
        <f t="shared" ca="1" si="131"/>
        <v>6.4</v>
      </c>
      <c r="Q1036" s="80"/>
      <c r="R1036" s="42"/>
      <c r="S1036" s="90">
        <f t="shared" si="128"/>
        <v>97.799999999998718</v>
      </c>
      <c r="T1036" s="42"/>
      <c r="U1036" s="42"/>
      <c r="V1036" s="42"/>
      <c r="W1036" s="42"/>
      <c r="X1036" s="81"/>
    </row>
    <row r="1037" spans="2:24" x14ac:dyDescent="0.25">
      <c r="B1037" s="2">
        <v>1</v>
      </c>
      <c r="C1037" s="1">
        <f t="shared" si="126"/>
        <v>26.058823529411697</v>
      </c>
      <c r="D1037" s="1">
        <f t="shared" si="124"/>
        <v>0</v>
      </c>
      <c r="E1037" s="1">
        <f t="shared" si="127"/>
        <v>1</v>
      </c>
      <c r="F1037" s="31">
        <f t="shared" si="125"/>
        <v>6.4</v>
      </c>
      <c r="G1037" s="31">
        <f t="shared" ca="1" si="129"/>
        <v>0</v>
      </c>
      <c r="H1037" s="30">
        <f t="shared" ca="1" si="130"/>
        <v>6.4</v>
      </c>
      <c r="I1037" s="31">
        <f t="shared" ca="1" si="131"/>
        <v>6.4</v>
      </c>
      <c r="Q1037" s="80"/>
      <c r="R1037" s="42"/>
      <c r="S1037" s="90">
        <f t="shared" si="128"/>
        <v>97.899999999998712</v>
      </c>
      <c r="T1037" s="42"/>
      <c r="U1037" s="42"/>
      <c r="V1037" s="42"/>
      <c r="W1037" s="42"/>
      <c r="X1037" s="81"/>
    </row>
    <row r="1038" spans="2:24" x14ac:dyDescent="0.25">
      <c r="B1038" s="2">
        <v>1</v>
      </c>
      <c r="C1038" s="1">
        <f t="shared" si="126"/>
        <v>27.058823529411697</v>
      </c>
      <c r="D1038" s="1">
        <f t="shared" si="124"/>
        <v>0</v>
      </c>
      <c r="E1038" s="1">
        <f t="shared" si="127"/>
        <v>1</v>
      </c>
      <c r="F1038" s="31">
        <f t="shared" si="125"/>
        <v>6.4</v>
      </c>
      <c r="G1038" s="31">
        <f t="shared" ca="1" si="129"/>
        <v>0</v>
      </c>
      <c r="H1038" s="30">
        <f t="shared" ca="1" si="130"/>
        <v>6.4</v>
      </c>
      <c r="I1038" s="31">
        <f t="shared" ca="1" si="131"/>
        <v>6.4</v>
      </c>
      <c r="Q1038" s="80"/>
      <c r="R1038" s="42"/>
      <c r="S1038" s="90">
        <f t="shared" si="128"/>
        <v>97.999999999998707</v>
      </c>
      <c r="T1038" s="42"/>
      <c r="U1038" s="42"/>
      <c r="V1038" s="42"/>
      <c r="W1038" s="42"/>
      <c r="X1038" s="81"/>
    </row>
    <row r="1039" spans="2:24" x14ac:dyDescent="0.25">
      <c r="B1039" s="2">
        <v>1</v>
      </c>
      <c r="C1039" s="1">
        <f t="shared" si="126"/>
        <v>28.058823529411697</v>
      </c>
      <c r="D1039" s="1">
        <f t="shared" si="124"/>
        <v>0</v>
      </c>
      <c r="E1039" s="1">
        <f t="shared" si="127"/>
        <v>1</v>
      </c>
      <c r="F1039" s="31">
        <f t="shared" si="125"/>
        <v>6.4</v>
      </c>
      <c r="G1039" s="31">
        <f t="shared" ca="1" si="129"/>
        <v>0</v>
      </c>
      <c r="H1039" s="30">
        <f t="shared" ca="1" si="130"/>
        <v>6.4</v>
      </c>
      <c r="I1039" s="31">
        <f t="shared" ca="1" si="131"/>
        <v>6.4</v>
      </c>
      <c r="Q1039" s="80"/>
      <c r="R1039" s="42"/>
      <c r="S1039" s="90">
        <f t="shared" si="128"/>
        <v>98.099999999998701</v>
      </c>
      <c r="T1039" s="42"/>
      <c r="U1039" s="42"/>
      <c r="V1039" s="42"/>
      <c r="W1039" s="42"/>
      <c r="X1039" s="81"/>
    </row>
    <row r="1040" spans="2:24" x14ac:dyDescent="0.25">
      <c r="B1040" s="2">
        <v>1</v>
      </c>
      <c r="C1040" s="1">
        <f t="shared" si="126"/>
        <v>29.058823529411697</v>
      </c>
      <c r="D1040" s="1">
        <f t="shared" si="124"/>
        <v>0</v>
      </c>
      <c r="E1040" s="1">
        <f t="shared" si="127"/>
        <v>1</v>
      </c>
      <c r="F1040" s="31">
        <f t="shared" si="125"/>
        <v>6.4</v>
      </c>
      <c r="G1040" s="31">
        <f t="shared" ca="1" si="129"/>
        <v>0</v>
      </c>
      <c r="H1040" s="30">
        <f t="shared" ca="1" si="130"/>
        <v>6.4</v>
      </c>
      <c r="I1040" s="31">
        <f t="shared" ca="1" si="131"/>
        <v>6.4</v>
      </c>
      <c r="Q1040" s="80"/>
      <c r="R1040" s="42"/>
      <c r="S1040" s="90">
        <f t="shared" si="128"/>
        <v>98.199999999998695</v>
      </c>
      <c r="T1040" s="42"/>
      <c r="U1040" s="42"/>
      <c r="V1040" s="42"/>
      <c r="W1040" s="42"/>
      <c r="X1040" s="81"/>
    </row>
    <row r="1041" spans="2:24" x14ac:dyDescent="0.25">
      <c r="B1041" s="2">
        <v>1</v>
      </c>
      <c r="C1041" s="1">
        <f t="shared" si="126"/>
        <v>30.058823529411697</v>
      </c>
      <c r="D1041" s="1">
        <f t="shared" si="124"/>
        <v>0</v>
      </c>
      <c r="E1041" s="1">
        <f t="shared" si="127"/>
        <v>1</v>
      </c>
      <c r="F1041" s="31">
        <f t="shared" si="125"/>
        <v>6.4</v>
      </c>
      <c r="G1041" s="31">
        <f t="shared" ca="1" si="129"/>
        <v>0</v>
      </c>
      <c r="H1041" s="30">
        <f t="shared" ca="1" si="130"/>
        <v>6.4</v>
      </c>
      <c r="I1041" s="31">
        <f t="shared" ca="1" si="131"/>
        <v>6.4</v>
      </c>
      <c r="Q1041" s="80"/>
      <c r="R1041" s="42"/>
      <c r="S1041" s="90">
        <f t="shared" si="128"/>
        <v>98.29999999999869</v>
      </c>
      <c r="T1041" s="42"/>
      <c r="U1041" s="42"/>
      <c r="V1041" s="42"/>
      <c r="W1041" s="42"/>
      <c r="X1041" s="81"/>
    </row>
    <row r="1042" spans="2:24" x14ac:dyDescent="0.25">
      <c r="B1042" s="2">
        <v>1</v>
      </c>
      <c r="C1042" s="1">
        <f t="shared" si="126"/>
        <v>31.058823529411697</v>
      </c>
      <c r="D1042" s="1">
        <f t="shared" si="124"/>
        <v>0</v>
      </c>
      <c r="E1042" s="1">
        <f t="shared" si="127"/>
        <v>1</v>
      </c>
      <c r="F1042" s="31">
        <f t="shared" si="125"/>
        <v>6.4</v>
      </c>
      <c r="G1042" s="31">
        <f t="shared" ca="1" si="129"/>
        <v>0</v>
      </c>
      <c r="H1042" s="30">
        <f t="shared" ca="1" si="130"/>
        <v>6.4</v>
      </c>
      <c r="I1042" s="31">
        <f t="shared" ca="1" si="131"/>
        <v>6.4</v>
      </c>
      <c r="Q1042" s="80"/>
      <c r="R1042" s="42"/>
      <c r="S1042" s="90">
        <f t="shared" si="128"/>
        <v>98.399999999998684</v>
      </c>
      <c r="T1042" s="42"/>
      <c r="U1042" s="42"/>
      <c r="V1042" s="42"/>
      <c r="W1042" s="42"/>
      <c r="X1042" s="81"/>
    </row>
    <row r="1043" spans="2:24" x14ac:dyDescent="0.25">
      <c r="B1043" s="2">
        <v>1</v>
      </c>
      <c r="C1043" s="1">
        <f t="shared" si="126"/>
        <v>32.058823529411697</v>
      </c>
      <c r="D1043" s="1">
        <f t="shared" si="124"/>
        <v>0</v>
      </c>
      <c r="E1043" s="1">
        <f t="shared" si="127"/>
        <v>1</v>
      </c>
      <c r="F1043" s="31">
        <f t="shared" si="125"/>
        <v>6.4</v>
      </c>
      <c r="G1043" s="31">
        <f t="shared" ca="1" si="129"/>
        <v>0</v>
      </c>
      <c r="H1043" s="30">
        <f t="shared" ca="1" si="130"/>
        <v>6.4</v>
      </c>
      <c r="I1043" s="31">
        <f t="shared" ca="1" si="131"/>
        <v>6.4</v>
      </c>
      <c r="Q1043" s="80"/>
      <c r="R1043" s="42"/>
      <c r="S1043" s="90">
        <f t="shared" si="128"/>
        <v>98.499999999998678</v>
      </c>
      <c r="T1043" s="42"/>
      <c r="U1043" s="42"/>
      <c r="V1043" s="42"/>
      <c r="W1043" s="42"/>
      <c r="X1043" s="81"/>
    </row>
    <row r="1044" spans="2:24" x14ac:dyDescent="0.25">
      <c r="B1044" s="2">
        <v>1</v>
      </c>
      <c r="C1044" s="1">
        <f t="shared" si="126"/>
        <v>33.058823529411697</v>
      </c>
      <c r="D1044" s="1">
        <f t="shared" si="124"/>
        <v>0</v>
      </c>
      <c r="E1044" s="1">
        <f t="shared" si="127"/>
        <v>1</v>
      </c>
      <c r="F1044" s="31">
        <f t="shared" si="125"/>
        <v>6.4</v>
      </c>
      <c r="G1044" s="31">
        <f t="shared" ca="1" si="129"/>
        <v>0</v>
      </c>
      <c r="H1044" s="30">
        <f t="shared" ca="1" si="130"/>
        <v>6.4</v>
      </c>
      <c r="I1044" s="31">
        <f t="shared" ca="1" si="131"/>
        <v>6.4</v>
      </c>
      <c r="Q1044" s="80"/>
      <c r="R1044" s="42"/>
      <c r="S1044" s="90">
        <f t="shared" si="128"/>
        <v>98.599999999998673</v>
      </c>
      <c r="T1044" s="42"/>
      <c r="U1044" s="42"/>
      <c r="V1044" s="42"/>
      <c r="W1044" s="42"/>
      <c r="X1044" s="81"/>
    </row>
    <row r="1045" spans="2:24" x14ac:dyDescent="0.25">
      <c r="B1045" s="2">
        <v>1</v>
      </c>
      <c r="C1045" s="1">
        <f t="shared" si="126"/>
        <v>34.058823529411697</v>
      </c>
      <c r="D1045" s="1">
        <f t="shared" si="124"/>
        <v>0</v>
      </c>
      <c r="E1045" s="1">
        <f t="shared" si="127"/>
        <v>1</v>
      </c>
      <c r="F1045" s="31">
        <f t="shared" si="125"/>
        <v>6.4</v>
      </c>
      <c r="G1045" s="31">
        <f t="shared" ca="1" si="129"/>
        <v>0</v>
      </c>
      <c r="H1045" s="30">
        <f t="shared" ca="1" si="130"/>
        <v>6.4</v>
      </c>
      <c r="I1045" s="31">
        <f t="shared" ca="1" si="131"/>
        <v>6.4</v>
      </c>
      <c r="Q1045" s="80"/>
      <c r="R1045" s="42"/>
      <c r="S1045" s="90">
        <f t="shared" si="128"/>
        <v>98.699999999998667</v>
      </c>
      <c r="T1045" s="42"/>
      <c r="U1045" s="42"/>
      <c r="V1045" s="42"/>
      <c r="W1045" s="42"/>
      <c r="X1045" s="81"/>
    </row>
    <row r="1046" spans="2:24" x14ac:dyDescent="0.25">
      <c r="B1046" s="2">
        <v>1</v>
      </c>
      <c r="C1046" s="1">
        <f t="shared" si="126"/>
        <v>35.058823529411697</v>
      </c>
      <c r="D1046" s="1">
        <f t="shared" si="124"/>
        <v>0</v>
      </c>
      <c r="E1046" s="1">
        <f t="shared" si="127"/>
        <v>1</v>
      </c>
      <c r="F1046" s="31">
        <f t="shared" si="125"/>
        <v>6.4</v>
      </c>
      <c r="G1046" s="31">
        <f t="shared" ca="1" si="129"/>
        <v>0</v>
      </c>
      <c r="H1046" s="30">
        <f t="shared" ca="1" si="130"/>
        <v>6.4</v>
      </c>
      <c r="I1046" s="31">
        <f t="shared" ca="1" si="131"/>
        <v>6.4</v>
      </c>
      <c r="Q1046" s="80"/>
      <c r="R1046" s="42"/>
      <c r="S1046" s="90">
        <f t="shared" si="128"/>
        <v>98.799999999998661</v>
      </c>
      <c r="T1046" s="42"/>
      <c r="U1046" s="42"/>
      <c r="V1046" s="42"/>
      <c r="W1046" s="42"/>
      <c r="X1046" s="81"/>
    </row>
    <row r="1047" spans="2:24" x14ac:dyDescent="0.25">
      <c r="B1047" s="2">
        <v>1</v>
      </c>
      <c r="C1047" s="1">
        <f t="shared" si="126"/>
        <v>0.76470588235287096</v>
      </c>
      <c r="D1047" s="1">
        <f t="shared" si="124"/>
        <v>1</v>
      </c>
      <c r="E1047" s="1">
        <f t="shared" si="127"/>
        <v>0</v>
      </c>
      <c r="F1047" s="31">
        <f t="shared" si="125"/>
        <v>14.6</v>
      </c>
      <c r="G1047" s="31">
        <f t="shared" ca="1" si="129"/>
        <v>6.4</v>
      </c>
      <c r="H1047" s="30">
        <f t="shared" ca="1" si="130"/>
        <v>0</v>
      </c>
      <c r="I1047" s="31">
        <f t="shared" ca="1" si="131"/>
        <v>6.4</v>
      </c>
      <c r="Q1047" s="80"/>
      <c r="R1047" s="42"/>
      <c r="S1047" s="90">
        <f t="shared" si="128"/>
        <v>98.899999999998656</v>
      </c>
      <c r="T1047" s="42"/>
      <c r="U1047" s="42"/>
      <c r="V1047" s="42"/>
      <c r="W1047" s="42"/>
      <c r="X1047" s="81"/>
    </row>
    <row r="1048" spans="2:24" x14ac:dyDescent="0.25">
      <c r="B1048" s="2">
        <v>1</v>
      </c>
      <c r="C1048" s="1">
        <f t="shared" si="126"/>
        <v>1.764705882352871</v>
      </c>
      <c r="D1048" s="1">
        <f t="shared" si="124"/>
        <v>1</v>
      </c>
      <c r="E1048" s="1">
        <f t="shared" si="127"/>
        <v>0</v>
      </c>
      <c r="F1048" s="31">
        <f t="shared" si="125"/>
        <v>14.6</v>
      </c>
      <c r="G1048" s="31">
        <f t="shared" ca="1" si="129"/>
        <v>8.4500000000000011</v>
      </c>
      <c r="H1048" s="30">
        <f t="shared" ca="1" si="130"/>
        <v>0</v>
      </c>
      <c r="I1048" s="31">
        <f t="shared" ca="1" si="131"/>
        <v>8.4500000000000011</v>
      </c>
      <c r="Q1048" s="80"/>
      <c r="R1048" s="42"/>
      <c r="S1048" s="90">
        <f t="shared" si="128"/>
        <v>98.99999999999865</v>
      </c>
      <c r="T1048" s="42"/>
      <c r="U1048" s="42"/>
      <c r="V1048" s="42"/>
      <c r="W1048" s="42"/>
      <c r="X1048" s="81"/>
    </row>
    <row r="1049" spans="2:24" x14ac:dyDescent="0.25">
      <c r="B1049" s="2">
        <v>1</v>
      </c>
      <c r="C1049" s="1">
        <f t="shared" si="126"/>
        <v>2.764705882352871</v>
      </c>
      <c r="D1049" s="1">
        <f t="shared" si="124"/>
        <v>1</v>
      </c>
      <c r="E1049" s="1">
        <f t="shared" si="127"/>
        <v>0</v>
      </c>
      <c r="F1049" s="31">
        <f t="shared" si="125"/>
        <v>14.6</v>
      </c>
      <c r="G1049" s="31">
        <f t="shared" ca="1" si="129"/>
        <v>10.5</v>
      </c>
      <c r="H1049" s="30">
        <f t="shared" ca="1" si="130"/>
        <v>0</v>
      </c>
      <c r="I1049" s="31">
        <f t="shared" ca="1" si="131"/>
        <v>10.5</v>
      </c>
      <c r="Q1049" s="80"/>
      <c r="R1049" s="42"/>
      <c r="S1049" s="90">
        <f t="shared" si="128"/>
        <v>99.099999999998644</v>
      </c>
      <c r="T1049" s="42"/>
      <c r="U1049" s="42"/>
      <c r="V1049" s="42"/>
      <c r="W1049" s="42"/>
      <c r="X1049" s="81"/>
    </row>
    <row r="1050" spans="2:24" x14ac:dyDescent="0.25">
      <c r="B1050" s="2">
        <v>1</v>
      </c>
      <c r="C1050" s="1">
        <f t="shared" si="126"/>
        <v>3.764705882352871</v>
      </c>
      <c r="D1050" s="1">
        <f t="shared" si="124"/>
        <v>1</v>
      </c>
      <c r="E1050" s="1">
        <f t="shared" si="127"/>
        <v>0</v>
      </c>
      <c r="F1050" s="31">
        <f t="shared" si="125"/>
        <v>14.6</v>
      </c>
      <c r="G1050" s="31">
        <f t="shared" ca="1" si="129"/>
        <v>12.55</v>
      </c>
      <c r="H1050" s="30">
        <f t="shared" ca="1" si="130"/>
        <v>0</v>
      </c>
      <c r="I1050" s="31">
        <f t="shared" ca="1" si="131"/>
        <v>12.55</v>
      </c>
      <c r="Q1050" s="80"/>
      <c r="R1050" s="42"/>
      <c r="S1050" s="90">
        <f t="shared" si="128"/>
        <v>99.199999999998639</v>
      </c>
      <c r="T1050" s="42"/>
      <c r="U1050" s="42"/>
      <c r="V1050" s="42"/>
      <c r="W1050" s="42"/>
      <c r="X1050" s="81"/>
    </row>
    <row r="1051" spans="2:24" x14ac:dyDescent="0.25">
      <c r="B1051" s="2">
        <v>1</v>
      </c>
      <c r="C1051" s="1">
        <f t="shared" si="126"/>
        <v>4.764705882352871</v>
      </c>
      <c r="D1051" s="1">
        <f t="shared" si="124"/>
        <v>1</v>
      </c>
      <c r="E1051" s="1">
        <f t="shared" si="127"/>
        <v>0</v>
      </c>
      <c r="F1051" s="31">
        <f t="shared" si="125"/>
        <v>14.6</v>
      </c>
      <c r="G1051" s="31">
        <f t="shared" ca="1" si="129"/>
        <v>14.6</v>
      </c>
      <c r="H1051" s="30">
        <f t="shared" ca="1" si="130"/>
        <v>0</v>
      </c>
      <c r="I1051" s="31">
        <f t="shared" ca="1" si="131"/>
        <v>14.6</v>
      </c>
      <c r="Q1051" s="80"/>
      <c r="R1051" s="42"/>
      <c r="S1051" s="90">
        <f t="shared" si="128"/>
        <v>99.299999999998633</v>
      </c>
      <c r="T1051" s="42"/>
      <c r="U1051" s="42"/>
      <c r="V1051" s="42"/>
      <c r="W1051" s="42"/>
      <c r="X1051" s="81"/>
    </row>
    <row r="1052" spans="2:24" x14ac:dyDescent="0.25">
      <c r="B1052" s="2">
        <v>1</v>
      </c>
      <c r="C1052" s="1">
        <f t="shared" si="126"/>
        <v>5.764705882352871</v>
      </c>
      <c r="D1052" s="1">
        <f t="shared" si="124"/>
        <v>1</v>
      </c>
      <c r="E1052" s="1">
        <f t="shared" si="127"/>
        <v>0</v>
      </c>
      <c r="F1052" s="31">
        <f t="shared" si="125"/>
        <v>14.6</v>
      </c>
      <c r="G1052" s="31">
        <f t="shared" ca="1" si="129"/>
        <v>14.6</v>
      </c>
      <c r="H1052" s="30">
        <f t="shared" ca="1" si="130"/>
        <v>0</v>
      </c>
      <c r="I1052" s="31">
        <f t="shared" ca="1" si="131"/>
        <v>14.6</v>
      </c>
      <c r="Q1052" s="80"/>
      <c r="R1052" s="42"/>
      <c r="S1052" s="90">
        <f t="shared" si="128"/>
        <v>99.399999999998627</v>
      </c>
      <c r="T1052" s="42"/>
      <c r="U1052" s="42"/>
      <c r="V1052" s="42"/>
      <c r="W1052" s="42"/>
      <c r="X1052" s="81"/>
    </row>
    <row r="1053" spans="2:24" x14ac:dyDescent="0.25">
      <c r="B1053" s="2">
        <v>1</v>
      </c>
      <c r="C1053" s="1">
        <f t="shared" si="126"/>
        <v>6.764705882352871</v>
      </c>
      <c r="D1053" s="1">
        <f t="shared" si="124"/>
        <v>1</v>
      </c>
      <c r="E1053" s="1">
        <f t="shared" si="127"/>
        <v>0</v>
      </c>
      <c r="F1053" s="31">
        <f t="shared" si="125"/>
        <v>14.6</v>
      </c>
      <c r="G1053" s="31">
        <f t="shared" ca="1" si="129"/>
        <v>14.6</v>
      </c>
      <c r="H1053" s="30">
        <f t="shared" ca="1" si="130"/>
        <v>0</v>
      </c>
      <c r="I1053" s="31">
        <f t="shared" ca="1" si="131"/>
        <v>14.6</v>
      </c>
      <c r="Q1053" s="80"/>
      <c r="R1053" s="42"/>
      <c r="S1053" s="90">
        <f t="shared" si="128"/>
        <v>99.499999999998622</v>
      </c>
      <c r="T1053" s="42"/>
      <c r="U1053" s="42"/>
      <c r="V1053" s="42"/>
      <c r="W1053" s="42"/>
      <c r="X1053" s="81"/>
    </row>
    <row r="1054" spans="2:24" x14ac:dyDescent="0.25">
      <c r="B1054" s="2">
        <v>1</v>
      </c>
      <c r="C1054" s="1">
        <f t="shared" si="126"/>
        <v>7.764705882352871</v>
      </c>
      <c r="D1054" s="1">
        <f t="shared" si="124"/>
        <v>1</v>
      </c>
      <c r="E1054" s="1">
        <f t="shared" si="127"/>
        <v>0</v>
      </c>
      <c r="F1054" s="31">
        <f t="shared" si="125"/>
        <v>14.6</v>
      </c>
      <c r="G1054" s="31">
        <f t="shared" ca="1" si="129"/>
        <v>14.6</v>
      </c>
      <c r="H1054" s="30">
        <f t="shared" ca="1" si="130"/>
        <v>0</v>
      </c>
      <c r="I1054" s="31">
        <f t="shared" ca="1" si="131"/>
        <v>14.6</v>
      </c>
      <c r="Q1054" s="80"/>
      <c r="R1054" s="42"/>
      <c r="S1054" s="90">
        <f t="shared" si="128"/>
        <v>99.599999999998616</v>
      </c>
      <c r="T1054" s="42"/>
      <c r="U1054" s="42"/>
      <c r="V1054" s="42"/>
      <c r="W1054" s="42"/>
      <c r="X1054" s="81"/>
    </row>
    <row r="1055" spans="2:24" x14ac:dyDescent="0.25">
      <c r="B1055" s="2">
        <v>1</v>
      </c>
      <c r="C1055" s="1">
        <f t="shared" si="126"/>
        <v>8.764705882352871</v>
      </c>
      <c r="D1055" s="1">
        <f t="shared" si="124"/>
        <v>1</v>
      </c>
      <c r="E1055" s="1">
        <f t="shared" si="127"/>
        <v>0</v>
      </c>
      <c r="F1055" s="31">
        <f t="shared" si="125"/>
        <v>14.6</v>
      </c>
      <c r="G1055" s="31">
        <f t="shared" ca="1" si="129"/>
        <v>14.6</v>
      </c>
      <c r="H1055" s="30">
        <f t="shared" ca="1" si="130"/>
        <v>0</v>
      </c>
      <c r="I1055" s="31">
        <f t="shared" ca="1" si="131"/>
        <v>14.6</v>
      </c>
      <c r="Q1055" s="80"/>
      <c r="R1055" s="42"/>
      <c r="S1055" s="90">
        <f t="shared" si="128"/>
        <v>99.69999999999861</v>
      </c>
      <c r="T1055" s="42"/>
      <c r="U1055" s="42"/>
      <c r="V1055" s="42"/>
      <c r="W1055" s="42"/>
      <c r="X1055" s="81"/>
    </row>
    <row r="1056" spans="2:24" x14ac:dyDescent="0.25">
      <c r="B1056" s="2">
        <v>1</v>
      </c>
      <c r="C1056" s="1">
        <f t="shared" si="126"/>
        <v>9.764705882352871</v>
      </c>
      <c r="D1056" s="1">
        <f t="shared" si="124"/>
        <v>1</v>
      </c>
      <c r="E1056" s="1">
        <f t="shared" si="127"/>
        <v>0</v>
      </c>
      <c r="F1056" s="31">
        <f t="shared" si="125"/>
        <v>14.6</v>
      </c>
      <c r="G1056" s="31">
        <f t="shared" ca="1" si="129"/>
        <v>14.6</v>
      </c>
      <c r="H1056" s="30">
        <f t="shared" ca="1" si="130"/>
        <v>0</v>
      </c>
      <c r="I1056" s="31">
        <f t="shared" ca="1" si="131"/>
        <v>14.6</v>
      </c>
      <c r="Q1056" s="80"/>
      <c r="R1056" s="42"/>
      <c r="S1056" s="90">
        <f t="shared" si="128"/>
        <v>99.799999999998604</v>
      </c>
      <c r="T1056" s="42"/>
      <c r="U1056" s="42"/>
      <c r="V1056" s="42"/>
      <c r="W1056" s="42"/>
      <c r="X1056" s="81"/>
    </row>
    <row r="1057" spans="2:24" x14ac:dyDescent="0.25">
      <c r="B1057" s="2">
        <v>1</v>
      </c>
      <c r="C1057" s="1">
        <f t="shared" si="126"/>
        <v>10.764705882352871</v>
      </c>
      <c r="D1057" s="1">
        <f t="shared" si="124"/>
        <v>1</v>
      </c>
      <c r="E1057" s="1">
        <f t="shared" si="127"/>
        <v>0</v>
      </c>
      <c r="F1057" s="31">
        <f t="shared" si="125"/>
        <v>14.6</v>
      </c>
      <c r="G1057" s="31">
        <f t="shared" ca="1" si="129"/>
        <v>14.6</v>
      </c>
      <c r="H1057" s="30">
        <f t="shared" ca="1" si="130"/>
        <v>0</v>
      </c>
      <c r="I1057" s="31">
        <f t="shared" ca="1" si="131"/>
        <v>14.6</v>
      </c>
      <c r="Q1057" s="80"/>
      <c r="R1057" s="42"/>
      <c r="S1057" s="90">
        <f t="shared" si="128"/>
        <v>99.899999999998599</v>
      </c>
      <c r="T1057" s="42"/>
      <c r="U1057" s="42"/>
      <c r="V1057" s="42"/>
      <c r="W1057" s="42"/>
      <c r="X1057" s="81"/>
    </row>
    <row r="1058" spans="2:24" x14ac:dyDescent="0.25">
      <c r="B1058" s="2">
        <v>1</v>
      </c>
      <c r="C1058" s="1">
        <f t="shared" si="126"/>
        <v>11.764705882352871</v>
      </c>
      <c r="D1058" s="1">
        <f t="shared" si="124"/>
        <v>1</v>
      </c>
      <c r="E1058" s="1">
        <f t="shared" si="127"/>
        <v>0</v>
      </c>
      <c r="F1058" s="31">
        <f t="shared" si="125"/>
        <v>14.6</v>
      </c>
      <c r="G1058" s="31">
        <f t="shared" ca="1" si="129"/>
        <v>14.6</v>
      </c>
      <c r="H1058" s="30">
        <f t="shared" ca="1" si="130"/>
        <v>0</v>
      </c>
      <c r="I1058" s="31">
        <f t="shared" ca="1" si="131"/>
        <v>14.6</v>
      </c>
      <c r="Q1058" s="80"/>
      <c r="R1058" s="42"/>
      <c r="S1058" s="90">
        <f t="shared" si="128"/>
        <v>99.999999999998593</v>
      </c>
      <c r="T1058" s="42"/>
      <c r="U1058" s="42"/>
      <c r="V1058" s="42"/>
      <c r="W1058" s="42"/>
      <c r="X1058" s="81"/>
    </row>
    <row r="1059" spans="2:24" x14ac:dyDescent="0.25">
      <c r="B1059" s="2">
        <v>1</v>
      </c>
      <c r="C1059" s="1">
        <f t="shared" si="126"/>
        <v>12.764705882352871</v>
      </c>
      <c r="D1059" s="1">
        <f t="shared" si="124"/>
        <v>1</v>
      </c>
      <c r="E1059" s="1">
        <f t="shared" si="127"/>
        <v>0</v>
      </c>
      <c r="F1059" s="31">
        <f t="shared" si="125"/>
        <v>14.6</v>
      </c>
      <c r="G1059" s="31">
        <f t="shared" ca="1" si="129"/>
        <v>14.6</v>
      </c>
      <c r="H1059" s="30">
        <f t="shared" ca="1" si="130"/>
        <v>0</v>
      </c>
      <c r="I1059" s="31">
        <f t="shared" ca="1" si="131"/>
        <v>14.6</v>
      </c>
      <c r="Q1059" s="80"/>
      <c r="R1059" s="42"/>
      <c r="S1059" s="90">
        <f t="shared" si="128"/>
        <v>100.09999999999859</v>
      </c>
      <c r="T1059" s="42"/>
      <c r="U1059" s="42"/>
      <c r="V1059" s="42"/>
      <c r="W1059" s="42"/>
      <c r="X1059" s="81"/>
    </row>
    <row r="1060" spans="2:24" x14ac:dyDescent="0.25">
      <c r="B1060" s="2">
        <v>1</v>
      </c>
      <c r="C1060" s="1">
        <f t="shared" si="126"/>
        <v>13.764705882352871</v>
      </c>
      <c r="D1060" s="1">
        <f t="shared" si="124"/>
        <v>1</v>
      </c>
      <c r="E1060" s="1">
        <f t="shared" si="127"/>
        <v>0</v>
      </c>
      <c r="F1060" s="31">
        <f t="shared" si="125"/>
        <v>14.6</v>
      </c>
      <c r="G1060" s="31">
        <f t="shared" ca="1" si="129"/>
        <v>14.6</v>
      </c>
      <c r="H1060" s="30">
        <f t="shared" ca="1" si="130"/>
        <v>0</v>
      </c>
      <c r="I1060" s="31">
        <f t="shared" ca="1" si="131"/>
        <v>14.6</v>
      </c>
      <c r="Q1060" s="80"/>
      <c r="R1060" s="42"/>
      <c r="S1060" s="90">
        <f t="shared" si="128"/>
        <v>100.19999999999858</v>
      </c>
      <c r="T1060" s="42"/>
      <c r="U1060" s="42"/>
      <c r="V1060" s="42"/>
      <c r="W1060" s="42"/>
      <c r="X1060" s="81"/>
    </row>
    <row r="1061" spans="2:24" x14ac:dyDescent="0.25">
      <c r="B1061" s="2">
        <v>1</v>
      </c>
      <c r="C1061" s="1">
        <f t="shared" si="126"/>
        <v>14.764705882352871</v>
      </c>
      <c r="D1061" s="1">
        <f t="shared" si="124"/>
        <v>1</v>
      </c>
      <c r="E1061" s="1">
        <f t="shared" si="127"/>
        <v>0</v>
      </c>
      <c r="F1061" s="31">
        <f t="shared" si="125"/>
        <v>14.6</v>
      </c>
      <c r="G1061" s="31">
        <f t="shared" ca="1" si="129"/>
        <v>14.6</v>
      </c>
      <c r="H1061" s="30">
        <f t="shared" ca="1" si="130"/>
        <v>0</v>
      </c>
      <c r="I1061" s="31">
        <f t="shared" ca="1" si="131"/>
        <v>14.6</v>
      </c>
      <c r="Q1061" s="80"/>
      <c r="R1061" s="42"/>
      <c r="S1061" s="90">
        <f t="shared" si="128"/>
        <v>100.29999999999858</v>
      </c>
      <c r="T1061" s="42"/>
      <c r="U1061" s="42"/>
      <c r="V1061" s="42"/>
      <c r="W1061" s="42"/>
      <c r="X1061" s="81"/>
    </row>
    <row r="1062" spans="2:24" x14ac:dyDescent="0.25">
      <c r="B1062" s="2">
        <v>1</v>
      </c>
      <c r="C1062" s="1">
        <f t="shared" si="126"/>
        <v>15.764705882352871</v>
      </c>
      <c r="D1062" s="1">
        <f t="shared" si="124"/>
        <v>1</v>
      </c>
      <c r="E1062" s="1">
        <f t="shared" si="127"/>
        <v>0</v>
      </c>
      <c r="F1062" s="31">
        <f t="shared" si="125"/>
        <v>14.6</v>
      </c>
      <c r="G1062" s="31">
        <f t="shared" ca="1" si="129"/>
        <v>14.6</v>
      </c>
      <c r="H1062" s="30">
        <f t="shared" ca="1" si="130"/>
        <v>0</v>
      </c>
      <c r="I1062" s="31">
        <f t="shared" ca="1" si="131"/>
        <v>14.6</v>
      </c>
      <c r="Q1062" s="80"/>
      <c r="R1062" s="42"/>
      <c r="S1062" s="90">
        <f t="shared" si="128"/>
        <v>100.39999999999857</v>
      </c>
      <c r="T1062" s="42"/>
      <c r="U1062" s="42"/>
      <c r="V1062" s="42"/>
      <c r="W1062" s="42"/>
      <c r="X1062" s="81"/>
    </row>
    <row r="1063" spans="2:24" x14ac:dyDescent="0.25">
      <c r="B1063" s="2">
        <v>1</v>
      </c>
      <c r="C1063" s="1">
        <f t="shared" si="126"/>
        <v>16.764705882352871</v>
      </c>
      <c r="D1063" s="1">
        <f t="shared" si="124"/>
        <v>1</v>
      </c>
      <c r="E1063" s="1">
        <f t="shared" si="127"/>
        <v>0</v>
      </c>
      <c r="F1063" s="31">
        <f t="shared" si="125"/>
        <v>14.6</v>
      </c>
      <c r="G1063" s="31">
        <f t="shared" ca="1" si="129"/>
        <v>14.6</v>
      </c>
      <c r="H1063" s="30">
        <f t="shared" ca="1" si="130"/>
        <v>0</v>
      </c>
      <c r="I1063" s="31">
        <f t="shared" ca="1" si="131"/>
        <v>14.6</v>
      </c>
      <c r="Q1063" s="80"/>
      <c r="R1063" s="42"/>
      <c r="S1063" s="90">
        <f t="shared" si="128"/>
        <v>100.49999999999856</v>
      </c>
      <c r="T1063" s="42"/>
      <c r="U1063" s="42"/>
      <c r="V1063" s="42"/>
      <c r="W1063" s="42"/>
      <c r="X1063" s="81"/>
    </row>
    <row r="1064" spans="2:24" x14ac:dyDescent="0.25">
      <c r="B1064" s="2">
        <v>1</v>
      </c>
      <c r="C1064" s="1">
        <f t="shared" si="126"/>
        <v>17.764705882352871</v>
      </c>
      <c r="D1064" s="1">
        <f t="shared" si="124"/>
        <v>1</v>
      </c>
      <c r="E1064" s="1">
        <f t="shared" si="127"/>
        <v>0</v>
      </c>
      <c r="F1064" s="31">
        <f t="shared" si="125"/>
        <v>14.6</v>
      </c>
      <c r="G1064" s="31">
        <f t="shared" ca="1" si="129"/>
        <v>14.6</v>
      </c>
      <c r="H1064" s="30">
        <f t="shared" ca="1" si="130"/>
        <v>0</v>
      </c>
      <c r="I1064" s="31">
        <f t="shared" ca="1" si="131"/>
        <v>14.6</v>
      </c>
      <c r="Q1064" s="80"/>
      <c r="R1064" s="42"/>
      <c r="S1064" s="90">
        <f t="shared" si="128"/>
        <v>100.59999999999856</v>
      </c>
      <c r="T1064" s="42"/>
      <c r="U1064" s="42"/>
      <c r="V1064" s="42"/>
      <c r="W1064" s="42"/>
      <c r="X1064" s="81"/>
    </row>
    <row r="1065" spans="2:24" x14ac:dyDescent="0.25">
      <c r="B1065" s="2">
        <v>1</v>
      </c>
      <c r="C1065" s="1">
        <f t="shared" si="126"/>
        <v>18.764705882352871</v>
      </c>
      <c r="D1065" s="1">
        <f t="shared" si="124"/>
        <v>1</v>
      </c>
      <c r="E1065" s="1">
        <f t="shared" si="127"/>
        <v>0</v>
      </c>
      <c r="F1065" s="31">
        <f t="shared" si="125"/>
        <v>14.6</v>
      </c>
      <c r="G1065" s="31">
        <f t="shared" ca="1" si="129"/>
        <v>14.6</v>
      </c>
      <c r="H1065" s="30">
        <f t="shared" ca="1" si="130"/>
        <v>0</v>
      </c>
      <c r="I1065" s="31">
        <f t="shared" ca="1" si="131"/>
        <v>14.6</v>
      </c>
      <c r="Q1065" s="80"/>
      <c r="R1065" s="42"/>
      <c r="S1065" s="90">
        <f t="shared" si="128"/>
        <v>100.69999999999855</v>
      </c>
      <c r="T1065" s="42"/>
      <c r="U1065" s="42"/>
      <c r="V1065" s="42"/>
      <c r="W1065" s="42"/>
      <c r="X1065" s="81"/>
    </row>
    <row r="1066" spans="2:24" x14ac:dyDescent="0.25">
      <c r="B1066" s="2">
        <v>1</v>
      </c>
      <c r="C1066" s="1">
        <f t="shared" si="126"/>
        <v>19.764705882352871</v>
      </c>
      <c r="D1066" s="1">
        <f t="shared" si="124"/>
        <v>1</v>
      </c>
      <c r="E1066" s="1">
        <f t="shared" si="127"/>
        <v>0</v>
      </c>
      <c r="F1066" s="31">
        <f t="shared" si="125"/>
        <v>14.6</v>
      </c>
      <c r="G1066" s="31">
        <f t="shared" ca="1" si="129"/>
        <v>14.6</v>
      </c>
      <c r="H1066" s="30">
        <f t="shared" ca="1" si="130"/>
        <v>0</v>
      </c>
      <c r="I1066" s="31">
        <f t="shared" ca="1" si="131"/>
        <v>14.6</v>
      </c>
      <c r="Q1066" s="80"/>
      <c r="R1066" s="42"/>
      <c r="S1066" s="90">
        <f t="shared" si="128"/>
        <v>100.79999999999855</v>
      </c>
      <c r="T1066" s="42"/>
      <c r="U1066" s="42"/>
      <c r="V1066" s="42"/>
      <c r="W1066" s="42"/>
      <c r="X1066" s="81"/>
    </row>
    <row r="1067" spans="2:24" x14ac:dyDescent="0.25">
      <c r="B1067" s="2">
        <v>1</v>
      </c>
      <c r="C1067" s="1">
        <f t="shared" si="126"/>
        <v>20.764705882352871</v>
      </c>
      <c r="D1067" s="1">
        <f t="shared" si="124"/>
        <v>1</v>
      </c>
      <c r="E1067" s="1">
        <f t="shared" si="127"/>
        <v>0</v>
      </c>
      <c r="F1067" s="31">
        <f t="shared" si="125"/>
        <v>14.6</v>
      </c>
      <c r="G1067" s="31">
        <f t="shared" ca="1" si="129"/>
        <v>14.6</v>
      </c>
      <c r="H1067" s="30">
        <f t="shared" ca="1" si="130"/>
        <v>0</v>
      </c>
      <c r="I1067" s="31">
        <f t="shared" ca="1" si="131"/>
        <v>14.6</v>
      </c>
      <c r="Q1067" s="80"/>
      <c r="R1067" s="42"/>
      <c r="S1067" s="90">
        <f t="shared" si="128"/>
        <v>100.89999999999854</v>
      </c>
      <c r="T1067" s="42"/>
      <c r="U1067" s="42"/>
      <c r="V1067" s="42"/>
      <c r="W1067" s="42"/>
      <c r="X1067" s="81"/>
    </row>
    <row r="1068" spans="2:24" x14ac:dyDescent="0.25">
      <c r="B1068" s="2">
        <v>1</v>
      </c>
      <c r="C1068" s="1">
        <f t="shared" si="126"/>
        <v>21.764705882352871</v>
      </c>
      <c r="D1068" s="1">
        <f t="shared" si="124"/>
        <v>1</v>
      </c>
      <c r="E1068" s="1">
        <f t="shared" si="127"/>
        <v>0</v>
      </c>
      <c r="F1068" s="31">
        <f t="shared" si="125"/>
        <v>14.6</v>
      </c>
      <c r="G1068" s="31">
        <f t="shared" ca="1" si="129"/>
        <v>14.6</v>
      </c>
      <c r="H1068" s="30">
        <f t="shared" ca="1" si="130"/>
        <v>0</v>
      </c>
      <c r="I1068" s="31">
        <f t="shared" ca="1" si="131"/>
        <v>14.6</v>
      </c>
      <c r="Q1068" s="80"/>
      <c r="R1068" s="42"/>
      <c r="S1068" s="90">
        <f t="shared" si="128"/>
        <v>100.99999999999854</v>
      </c>
      <c r="T1068" s="42"/>
      <c r="U1068" s="42"/>
      <c r="V1068" s="42"/>
      <c r="W1068" s="42"/>
      <c r="X1068" s="81"/>
    </row>
    <row r="1069" spans="2:24" x14ac:dyDescent="0.25">
      <c r="B1069" s="2">
        <v>1</v>
      </c>
      <c r="C1069" s="1">
        <f t="shared" si="126"/>
        <v>22.764705882352871</v>
      </c>
      <c r="D1069" s="1">
        <f t="shared" si="124"/>
        <v>0</v>
      </c>
      <c r="E1069" s="1">
        <f t="shared" si="127"/>
        <v>1</v>
      </c>
      <c r="F1069" s="31">
        <f t="shared" si="125"/>
        <v>6.4</v>
      </c>
      <c r="G1069" s="31">
        <f t="shared" ca="1" si="129"/>
        <v>0</v>
      </c>
      <c r="H1069" s="30">
        <f t="shared" ca="1" si="130"/>
        <v>14.6</v>
      </c>
      <c r="I1069" s="31">
        <f t="shared" ca="1" si="131"/>
        <v>14.6</v>
      </c>
      <c r="Q1069" s="80"/>
      <c r="R1069" s="42"/>
      <c r="S1069" s="90">
        <f t="shared" si="128"/>
        <v>101.09999999999853</v>
      </c>
      <c r="T1069" s="42"/>
      <c r="U1069" s="42"/>
      <c r="V1069" s="42"/>
      <c r="W1069" s="42"/>
      <c r="X1069" s="81"/>
    </row>
    <row r="1070" spans="2:24" x14ac:dyDescent="0.25">
      <c r="B1070" s="2">
        <v>1</v>
      </c>
      <c r="C1070" s="1">
        <f t="shared" si="126"/>
        <v>23.764705882352871</v>
      </c>
      <c r="D1070" s="1">
        <f t="shared" si="124"/>
        <v>0</v>
      </c>
      <c r="E1070" s="1">
        <f t="shared" si="127"/>
        <v>1</v>
      </c>
      <c r="F1070" s="31">
        <f t="shared" si="125"/>
        <v>6.4</v>
      </c>
      <c r="G1070" s="31">
        <f t="shared" ca="1" si="129"/>
        <v>0</v>
      </c>
      <c r="H1070" s="30">
        <f t="shared" ca="1" si="130"/>
        <v>6.4</v>
      </c>
      <c r="I1070" s="31">
        <f t="shared" ca="1" si="131"/>
        <v>6.4</v>
      </c>
      <c r="Q1070" s="80"/>
      <c r="R1070" s="42"/>
      <c r="S1070" s="90">
        <f t="shared" si="128"/>
        <v>101.19999999999852</v>
      </c>
      <c r="T1070" s="42"/>
      <c r="U1070" s="42"/>
      <c r="V1070" s="42"/>
      <c r="W1070" s="42"/>
      <c r="X1070" s="81"/>
    </row>
    <row r="1071" spans="2:24" x14ac:dyDescent="0.25">
      <c r="B1071" s="2">
        <v>1</v>
      </c>
      <c r="C1071" s="1">
        <f t="shared" si="126"/>
        <v>24.764705882352871</v>
      </c>
      <c r="D1071" s="1">
        <f t="shared" si="124"/>
        <v>0</v>
      </c>
      <c r="E1071" s="1">
        <f t="shared" si="127"/>
        <v>1</v>
      </c>
      <c r="F1071" s="31">
        <f t="shared" si="125"/>
        <v>6.4</v>
      </c>
      <c r="G1071" s="31">
        <f t="shared" ca="1" si="129"/>
        <v>0</v>
      </c>
      <c r="H1071" s="30">
        <f t="shared" ca="1" si="130"/>
        <v>6.4</v>
      </c>
      <c r="I1071" s="31">
        <f t="shared" ca="1" si="131"/>
        <v>6.4</v>
      </c>
      <c r="Q1071" s="80"/>
      <c r="R1071" s="42"/>
      <c r="S1071" s="90">
        <f t="shared" si="128"/>
        <v>101.29999999999852</v>
      </c>
      <c r="T1071" s="42"/>
      <c r="U1071" s="42"/>
      <c r="V1071" s="42"/>
      <c r="W1071" s="42"/>
      <c r="X1071" s="81"/>
    </row>
    <row r="1072" spans="2:24" x14ac:dyDescent="0.25">
      <c r="B1072" s="2">
        <v>1</v>
      </c>
      <c r="C1072" s="1">
        <f t="shared" si="126"/>
        <v>25.764705882352871</v>
      </c>
      <c r="D1072" s="1">
        <f t="shared" si="124"/>
        <v>0</v>
      </c>
      <c r="E1072" s="1">
        <f t="shared" si="127"/>
        <v>1</v>
      </c>
      <c r="F1072" s="31">
        <f t="shared" si="125"/>
        <v>6.4</v>
      </c>
      <c r="G1072" s="31">
        <f t="shared" ca="1" si="129"/>
        <v>0</v>
      </c>
      <c r="H1072" s="30">
        <f t="shared" ca="1" si="130"/>
        <v>6.4</v>
      </c>
      <c r="I1072" s="31">
        <f t="shared" ca="1" si="131"/>
        <v>6.4</v>
      </c>
      <c r="Q1072" s="80"/>
      <c r="R1072" s="42"/>
      <c r="S1072" s="90">
        <f t="shared" si="128"/>
        <v>101.39999999999851</v>
      </c>
      <c r="T1072" s="42"/>
      <c r="U1072" s="42"/>
      <c r="V1072" s="42"/>
      <c r="W1072" s="42"/>
      <c r="X1072" s="81"/>
    </row>
    <row r="1073" spans="2:24" x14ac:dyDescent="0.25">
      <c r="B1073" s="2">
        <v>1</v>
      </c>
      <c r="C1073" s="1">
        <f t="shared" si="126"/>
        <v>26.764705882352871</v>
      </c>
      <c r="D1073" s="1">
        <f t="shared" si="124"/>
        <v>0</v>
      </c>
      <c r="E1073" s="1">
        <f t="shared" si="127"/>
        <v>1</v>
      </c>
      <c r="F1073" s="31">
        <f t="shared" si="125"/>
        <v>6.4</v>
      </c>
      <c r="G1073" s="31">
        <f t="shared" ca="1" si="129"/>
        <v>0</v>
      </c>
      <c r="H1073" s="30">
        <f t="shared" ca="1" si="130"/>
        <v>6.4</v>
      </c>
      <c r="I1073" s="31">
        <f t="shared" ca="1" si="131"/>
        <v>6.4</v>
      </c>
      <c r="Q1073" s="80"/>
      <c r="R1073" s="42"/>
      <c r="S1073" s="90">
        <f t="shared" si="128"/>
        <v>101.49999999999851</v>
      </c>
      <c r="T1073" s="42"/>
      <c r="U1073" s="42"/>
      <c r="V1073" s="42"/>
      <c r="W1073" s="42"/>
      <c r="X1073" s="81"/>
    </row>
    <row r="1074" spans="2:24" x14ac:dyDescent="0.25">
      <c r="B1074" s="2">
        <v>1</v>
      </c>
      <c r="C1074" s="1">
        <f t="shared" si="126"/>
        <v>27.764705882352871</v>
      </c>
      <c r="D1074" s="1">
        <f t="shared" si="124"/>
        <v>0</v>
      </c>
      <c r="E1074" s="1">
        <f t="shared" si="127"/>
        <v>1</v>
      </c>
      <c r="F1074" s="31">
        <f t="shared" si="125"/>
        <v>6.4</v>
      </c>
      <c r="G1074" s="31">
        <f t="shared" ca="1" si="129"/>
        <v>0</v>
      </c>
      <c r="H1074" s="30">
        <f t="shared" ca="1" si="130"/>
        <v>6.4</v>
      </c>
      <c r="I1074" s="31">
        <f t="shared" ca="1" si="131"/>
        <v>6.4</v>
      </c>
      <c r="Q1074" s="80"/>
      <c r="R1074" s="42"/>
      <c r="S1074" s="90">
        <f t="shared" si="128"/>
        <v>101.5999999999985</v>
      </c>
      <c r="T1074" s="42"/>
      <c r="U1074" s="42"/>
      <c r="V1074" s="42"/>
      <c r="W1074" s="42"/>
      <c r="X1074" s="81"/>
    </row>
    <row r="1075" spans="2:24" x14ac:dyDescent="0.25">
      <c r="B1075" s="2">
        <v>1</v>
      </c>
      <c r="C1075" s="1">
        <f t="shared" si="126"/>
        <v>28.764705882352871</v>
      </c>
      <c r="D1075" s="1">
        <f t="shared" si="124"/>
        <v>0</v>
      </c>
      <c r="E1075" s="1">
        <f t="shared" si="127"/>
        <v>1</v>
      </c>
      <c r="F1075" s="31">
        <f t="shared" si="125"/>
        <v>6.4</v>
      </c>
      <c r="G1075" s="31">
        <f t="shared" ca="1" si="129"/>
        <v>0</v>
      </c>
      <c r="H1075" s="30">
        <f t="shared" ca="1" si="130"/>
        <v>6.4</v>
      </c>
      <c r="I1075" s="31">
        <f t="shared" ca="1" si="131"/>
        <v>6.4</v>
      </c>
      <c r="Q1075" s="80"/>
      <c r="R1075" s="42"/>
      <c r="S1075" s="90">
        <f t="shared" si="128"/>
        <v>101.6999999999985</v>
      </c>
      <c r="T1075" s="42"/>
      <c r="U1075" s="42"/>
      <c r="V1075" s="42"/>
      <c r="W1075" s="42"/>
      <c r="X1075" s="81"/>
    </row>
    <row r="1076" spans="2:24" x14ac:dyDescent="0.25">
      <c r="B1076" s="2">
        <v>1</v>
      </c>
      <c r="C1076" s="1">
        <f t="shared" si="126"/>
        <v>29.764705882352871</v>
      </c>
      <c r="D1076" s="1">
        <f t="shared" si="124"/>
        <v>0</v>
      </c>
      <c r="E1076" s="1">
        <f t="shared" si="127"/>
        <v>1</v>
      </c>
      <c r="F1076" s="31">
        <f t="shared" si="125"/>
        <v>6.4</v>
      </c>
      <c r="G1076" s="31">
        <f t="shared" ca="1" si="129"/>
        <v>0</v>
      </c>
      <c r="H1076" s="30">
        <f t="shared" ca="1" si="130"/>
        <v>6.4</v>
      </c>
      <c r="I1076" s="31">
        <f t="shared" ca="1" si="131"/>
        <v>6.4</v>
      </c>
      <c r="Q1076" s="80"/>
      <c r="R1076" s="42"/>
      <c r="S1076" s="90">
        <f t="shared" si="128"/>
        <v>101.79999999999849</v>
      </c>
      <c r="T1076" s="42"/>
      <c r="U1076" s="42"/>
      <c r="V1076" s="42"/>
      <c r="W1076" s="42"/>
      <c r="X1076" s="81"/>
    </row>
    <row r="1077" spans="2:24" x14ac:dyDescent="0.25">
      <c r="B1077" s="2">
        <v>1</v>
      </c>
      <c r="C1077" s="1">
        <f t="shared" si="126"/>
        <v>30.764705882352871</v>
      </c>
      <c r="D1077" s="1">
        <f t="shared" si="124"/>
        <v>0</v>
      </c>
      <c r="E1077" s="1">
        <f t="shared" si="127"/>
        <v>1</v>
      </c>
      <c r="F1077" s="31">
        <f t="shared" si="125"/>
        <v>6.4</v>
      </c>
      <c r="G1077" s="31">
        <f t="shared" ca="1" si="129"/>
        <v>0</v>
      </c>
      <c r="H1077" s="30">
        <f t="shared" ca="1" si="130"/>
        <v>6.4</v>
      </c>
      <c r="I1077" s="31">
        <f t="shared" ca="1" si="131"/>
        <v>6.4</v>
      </c>
      <c r="Q1077" s="80"/>
      <c r="R1077" s="42"/>
      <c r="S1077" s="90">
        <f t="shared" si="128"/>
        <v>101.89999999999849</v>
      </c>
      <c r="T1077" s="42"/>
      <c r="U1077" s="42"/>
      <c r="V1077" s="42"/>
      <c r="W1077" s="42"/>
      <c r="X1077" s="81"/>
    </row>
    <row r="1078" spans="2:24" x14ac:dyDescent="0.25">
      <c r="B1078" s="2">
        <v>1</v>
      </c>
      <c r="C1078" s="1">
        <f t="shared" si="126"/>
        <v>31.764705882352871</v>
      </c>
      <c r="D1078" s="1">
        <f t="shared" si="124"/>
        <v>0</v>
      </c>
      <c r="E1078" s="1">
        <f t="shared" si="127"/>
        <v>1</v>
      </c>
      <c r="F1078" s="31">
        <f t="shared" si="125"/>
        <v>6.4</v>
      </c>
      <c r="G1078" s="31">
        <f t="shared" ca="1" si="129"/>
        <v>0</v>
      </c>
      <c r="H1078" s="30">
        <f t="shared" ca="1" si="130"/>
        <v>6.4</v>
      </c>
      <c r="I1078" s="31">
        <f t="shared" ca="1" si="131"/>
        <v>6.4</v>
      </c>
      <c r="Q1078" s="80"/>
      <c r="R1078" s="42"/>
      <c r="S1078" s="90">
        <f t="shared" si="128"/>
        <v>101.99999999999848</v>
      </c>
      <c r="T1078" s="42"/>
      <c r="U1078" s="42"/>
      <c r="V1078" s="42"/>
      <c r="W1078" s="42"/>
      <c r="X1078" s="81"/>
    </row>
    <row r="1079" spans="2:24" x14ac:dyDescent="0.25">
      <c r="B1079" s="2">
        <v>1</v>
      </c>
      <c r="C1079" s="1">
        <f t="shared" si="126"/>
        <v>32.764705882352871</v>
      </c>
      <c r="D1079" s="1">
        <f t="shared" si="124"/>
        <v>0</v>
      </c>
      <c r="E1079" s="1">
        <f t="shared" si="127"/>
        <v>1</v>
      </c>
      <c r="F1079" s="31">
        <f t="shared" si="125"/>
        <v>6.4</v>
      </c>
      <c r="G1079" s="31">
        <f t="shared" ca="1" si="129"/>
        <v>0</v>
      </c>
      <c r="H1079" s="30">
        <f t="shared" ca="1" si="130"/>
        <v>6.4</v>
      </c>
      <c r="I1079" s="31">
        <f t="shared" ca="1" si="131"/>
        <v>6.4</v>
      </c>
      <c r="Q1079" s="80"/>
      <c r="R1079" s="42"/>
      <c r="S1079" s="90">
        <f t="shared" si="128"/>
        <v>102.09999999999847</v>
      </c>
      <c r="T1079" s="42"/>
      <c r="U1079" s="42"/>
      <c r="V1079" s="42"/>
      <c r="W1079" s="42"/>
      <c r="X1079" s="81"/>
    </row>
    <row r="1080" spans="2:24" x14ac:dyDescent="0.25">
      <c r="B1080" s="2">
        <v>1</v>
      </c>
      <c r="C1080" s="1">
        <f t="shared" si="126"/>
        <v>33.764705882352871</v>
      </c>
      <c r="D1080" s="1">
        <f t="shared" si="124"/>
        <v>0</v>
      </c>
      <c r="E1080" s="1">
        <f t="shared" si="127"/>
        <v>1</v>
      </c>
      <c r="F1080" s="31">
        <f t="shared" si="125"/>
        <v>6.4</v>
      </c>
      <c r="G1080" s="31">
        <f t="shared" ca="1" si="129"/>
        <v>0</v>
      </c>
      <c r="H1080" s="30">
        <f t="shared" ca="1" si="130"/>
        <v>6.4</v>
      </c>
      <c r="I1080" s="31">
        <f t="shared" ca="1" si="131"/>
        <v>6.4</v>
      </c>
      <c r="Q1080" s="80"/>
      <c r="R1080" s="42"/>
      <c r="S1080" s="90">
        <f t="shared" si="128"/>
        <v>102.19999999999847</v>
      </c>
      <c r="T1080" s="42"/>
      <c r="U1080" s="42"/>
      <c r="V1080" s="42"/>
      <c r="W1080" s="42"/>
      <c r="X1080" s="81"/>
    </row>
    <row r="1081" spans="2:24" x14ac:dyDescent="0.25">
      <c r="B1081" s="2">
        <v>1</v>
      </c>
      <c r="C1081" s="1">
        <f t="shared" si="126"/>
        <v>34.764705882352871</v>
      </c>
      <c r="D1081" s="1">
        <f t="shared" si="124"/>
        <v>0</v>
      </c>
      <c r="E1081" s="1">
        <f t="shared" si="127"/>
        <v>1</v>
      </c>
      <c r="F1081" s="31">
        <f t="shared" si="125"/>
        <v>6.4</v>
      </c>
      <c r="G1081" s="31">
        <f t="shared" ca="1" si="129"/>
        <v>0</v>
      </c>
      <c r="H1081" s="30">
        <f t="shared" ca="1" si="130"/>
        <v>6.4</v>
      </c>
      <c r="I1081" s="31">
        <f t="shared" ca="1" si="131"/>
        <v>6.4</v>
      </c>
      <c r="Q1081" s="80"/>
      <c r="R1081" s="42"/>
      <c r="S1081" s="90">
        <f t="shared" si="128"/>
        <v>102.29999999999846</v>
      </c>
      <c r="T1081" s="42"/>
      <c r="U1081" s="42"/>
      <c r="V1081" s="42"/>
      <c r="W1081" s="42"/>
      <c r="X1081" s="81"/>
    </row>
    <row r="1082" spans="2:24" x14ac:dyDescent="0.25">
      <c r="B1082" s="2">
        <v>1</v>
      </c>
      <c r="C1082" s="1">
        <f t="shared" si="126"/>
        <v>0.47058823529404492</v>
      </c>
      <c r="D1082" s="1">
        <f t="shared" ref="D1082:D1145" si="132">IF(C1082&lt;=Inhelation_Time_RT,1,0)</f>
        <v>1</v>
      </c>
      <c r="E1082" s="1">
        <f t="shared" si="127"/>
        <v>0</v>
      </c>
      <c r="F1082" s="31">
        <f t="shared" ref="F1082:F1145" si="133">(D1082*Inspiratory_pressure_level) + (E1082*PEEP)</f>
        <v>14.6</v>
      </c>
      <c r="G1082" s="31">
        <f t="shared" ca="1" si="129"/>
        <v>6.4</v>
      </c>
      <c r="H1082" s="30">
        <f t="shared" ca="1" si="130"/>
        <v>0</v>
      </c>
      <c r="I1082" s="31">
        <f t="shared" ca="1" si="131"/>
        <v>6.4</v>
      </c>
      <c r="Q1082" s="80"/>
      <c r="R1082" s="42"/>
      <c r="S1082" s="90">
        <f t="shared" si="128"/>
        <v>102.39999999999846</v>
      </c>
      <c r="T1082" s="42"/>
      <c r="U1082" s="42"/>
      <c r="V1082" s="42"/>
      <c r="W1082" s="42"/>
      <c r="X1082" s="81"/>
    </row>
    <row r="1083" spans="2:24" x14ac:dyDescent="0.25">
      <c r="B1083" s="2">
        <v>1</v>
      </c>
      <c r="C1083" s="1">
        <f t="shared" ref="C1083:C1146" si="134">MOD(C1082+B1083,time_for_breath_RT)</f>
        <v>1.4705882352940449</v>
      </c>
      <c r="D1083" s="1">
        <f t="shared" si="132"/>
        <v>1</v>
      </c>
      <c r="E1083" s="1">
        <f t="shared" ref="E1083:E1146" si="135">IF(D1083=1,0,1)</f>
        <v>0</v>
      </c>
      <c r="F1083" s="31">
        <f t="shared" si="133"/>
        <v>14.6</v>
      </c>
      <c r="G1083" s="31">
        <f t="shared" ca="1" si="129"/>
        <v>8.4500000000000011</v>
      </c>
      <c r="H1083" s="30">
        <f t="shared" ca="1" si="130"/>
        <v>0</v>
      </c>
      <c r="I1083" s="31">
        <f t="shared" ca="1" si="131"/>
        <v>8.4500000000000011</v>
      </c>
      <c r="Q1083" s="80"/>
      <c r="R1083" s="42"/>
      <c r="S1083" s="90">
        <f t="shared" ref="S1083:S1146" si="136">S1082+(B1082 / RTC_to_seconds)</f>
        <v>102.49999999999845</v>
      </c>
      <c r="T1083" s="42"/>
      <c r="U1083" s="42"/>
      <c r="V1083" s="42"/>
      <c r="W1083" s="42"/>
      <c r="X1083" s="81"/>
    </row>
    <row r="1084" spans="2:24" x14ac:dyDescent="0.25">
      <c r="B1084" s="2">
        <v>1</v>
      </c>
      <c r="C1084" s="1">
        <f t="shared" si="134"/>
        <v>2.4705882352940449</v>
      </c>
      <c r="D1084" s="1">
        <f t="shared" si="132"/>
        <v>1</v>
      </c>
      <c r="E1084" s="1">
        <f t="shared" si="135"/>
        <v>0</v>
      </c>
      <c r="F1084" s="31">
        <f t="shared" si="133"/>
        <v>14.6</v>
      </c>
      <c r="G1084" s="31">
        <f t="shared" ca="1" si="129"/>
        <v>10.5</v>
      </c>
      <c r="H1084" s="30">
        <f t="shared" ca="1" si="130"/>
        <v>0</v>
      </c>
      <c r="I1084" s="31">
        <f t="shared" ca="1" si="131"/>
        <v>10.5</v>
      </c>
      <c r="Q1084" s="80"/>
      <c r="R1084" s="42"/>
      <c r="S1084" s="90">
        <f t="shared" si="136"/>
        <v>102.59999999999845</v>
      </c>
      <c r="T1084" s="42"/>
      <c r="U1084" s="42"/>
      <c r="V1084" s="42"/>
      <c r="W1084" s="42"/>
      <c r="X1084" s="81"/>
    </row>
    <row r="1085" spans="2:24" x14ac:dyDescent="0.25">
      <c r="B1085" s="2">
        <v>1</v>
      </c>
      <c r="C1085" s="1">
        <f t="shared" si="134"/>
        <v>3.4705882352940449</v>
      </c>
      <c r="D1085" s="1">
        <f t="shared" si="132"/>
        <v>1</v>
      </c>
      <c r="E1085" s="1">
        <f t="shared" si="135"/>
        <v>0</v>
      </c>
      <c r="F1085" s="31">
        <f t="shared" si="133"/>
        <v>14.6</v>
      </c>
      <c r="G1085" s="31">
        <f t="shared" ca="1" si="129"/>
        <v>12.55</v>
      </c>
      <c r="H1085" s="30">
        <f t="shared" ca="1" si="130"/>
        <v>0</v>
      </c>
      <c r="I1085" s="31">
        <f t="shared" ca="1" si="131"/>
        <v>12.55</v>
      </c>
      <c r="Q1085" s="80"/>
      <c r="R1085" s="42"/>
      <c r="S1085" s="90">
        <f t="shared" si="136"/>
        <v>102.69999999999844</v>
      </c>
      <c r="T1085" s="42"/>
      <c r="U1085" s="42"/>
      <c r="V1085" s="42"/>
      <c r="W1085" s="42"/>
      <c r="X1085" s="81"/>
    </row>
    <row r="1086" spans="2:24" x14ac:dyDescent="0.25">
      <c r="B1086" s="2">
        <v>1</v>
      </c>
      <c r="C1086" s="1">
        <f t="shared" si="134"/>
        <v>4.4705882352940449</v>
      </c>
      <c r="D1086" s="1">
        <f t="shared" si="132"/>
        <v>1</v>
      </c>
      <c r="E1086" s="1">
        <f t="shared" si="135"/>
        <v>0</v>
      </c>
      <c r="F1086" s="31">
        <f t="shared" si="133"/>
        <v>14.6</v>
      </c>
      <c r="G1086" s="31">
        <f t="shared" ca="1" si="129"/>
        <v>14.6</v>
      </c>
      <c r="H1086" s="30">
        <f t="shared" ca="1" si="130"/>
        <v>0</v>
      </c>
      <c r="I1086" s="31">
        <f t="shared" ca="1" si="131"/>
        <v>14.6</v>
      </c>
      <c r="Q1086" s="80"/>
      <c r="R1086" s="42"/>
      <c r="S1086" s="90">
        <f t="shared" si="136"/>
        <v>102.79999999999843</v>
      </c>
      <c r="T1086" s="42"/>
      <c r="U1086" s="42"/>
      <c r="V1086" s="42"/>
      <c r="W1086" s="42"/>
      <c r="X1086" s="81"/>
    </row>
    <row r="1087" spans="2:24" x14ac:dyDescent="0.25">
      <c r="B1087" s="2">
        <v>1</v>
      </c>
      <c r="C1087" s="1">
        <f t="shared" si="134"/>
        <v>5.4705882352940449</v>
      </c>
      <c r="D1087" s="1">
        <f t="shared" si="132"/>
        <v>1</v>
      </c>
      <c r="E1087" s="1">
        <f t="shared" si="135"/>
        <v>0</v>
      </c>
      <c r="F1087" s="31">
        <f t="shared" si="133"/>
        <v>14.6</v>
      </c>
      <c r="G1087" s="31">
        <f t="shared" ca="1" si="129"/>
        <v>14.6</v>
      </c>
      <c r="H1087" s="30">
        <f t="shared" ca="1" si="130"/>
        <v>0</v>
      </c>
      <c r="I1087" s="31">
        <f t="shared" ca="1" si="131"/>
        <v>14.6</v>
      </c>
      <c r="Q1087" s="80"/>
      <c r="R1087" s="42"/>
      <c r="S1087" s="90">
        <f t="shared" si="136"/>
        <v>102.89999999999843</v>
      </c>
      <c r="T1087" s="42"/>
      <c r="U1087" s="42"/>
      <c r="V1087" s="42"/>
      <c r="W1087" s="42"/>
      <c r="X1087" s="81"/>
    </row>
    <row r="1088" spans="2:24" x14ac:dyDescent="0.25">
      <c r="B1088" s="2">
        <v>1</v>
      </c>
      <c r="C1088" s="1">
        <f t="shared" si="134"/>
        <v>6.4705882352940449</v>
      </c>
      <c r="D1088" s="1">
        <f t="shared" si="132"/>
        <v>1</v>
      </c>
      <c r="E1088" s="1">
        <f t="shared" si="135"/>
        <v>0</v>
      </c>
      <c r="F1088" s="31">
        <f t="shared" si="133"/>
        <v>14.6</v>
      </c>
      <c r="G1088" s="31">
        <f t="shared" ca="1" si="129"/>
        <v>14.6</v>
      </c>
      <c r="H1088" s="30">
        <f t="shared" ca="1" si="130"/>
        <v>0</v>
      </c>
      <c r="I1088" s="31">
        <f t="shared" ca="1" si="131"/>
        <v>14.6</v>
      </c>
      <c r="Q1088" s="80"/>
      <c r="R1088" s="42"/>
      <c r="S1088" s="90">
        <f t="shared" si="136"/>
        <v>102.99999999999842</v>
      </c>
      <c r="T1088" s="42"/>
      <c r="U1088" s="42"/>
      <c r="V1088" s="42"/>
      <c r="W1088" s="42"/>
      <c r="X1088" s="81"/>
    </row>
    <row r="1089" spans="2:24" x14ac:dyDescent="0.25">
      <c r="B1089" s="2">
        <v>1</v>
      </c>
      <c r="C1089" s="1">
        <f t="shared" si="134"/>
        <v>7.4705882352940449</v>
      </c>
      <c r="D1089" s="1">
        <f t="shared" si="132"/>
        <v>1</v>
      </c>
      <c r="E1089" s="1">
        <f t="shared" si="135"/>
        <v>0</v>
      </c>
      <c r="F1089" s="31">
        <f t="shared" si="133"/>
        <v>14.6</v>
      </c>
      <c r="G1089" s="31">
        <f t="shared" ca="1" si="129"/>
        <v>14.6</v>
      </c>
      <c r="H1089" s="30">
        <f t="shared" ca="1" si="130"/>
        <v>0</v>
      </c>
      <c r="I1089" s="31">
        <f t="shared" ca="1" si="131"/>
        <v>14.6</v>
      </c>
      <c r="Q1089" s="80"/>
      <c r="R1089" s="42"/>
      <c r="S1089" s="90">
        <f t="shared" si="136"/>
        <v>103.09999999999842</v>
      </c>
      <c r="T1089" s="42"/>
      <c r="U1089" s="42"/>
      <c r="V1089" s="42"/>
      <c r="W1089" s="42"/>
      <c r="X1089" s="81"/>
    </row>
    <row r="1090" spans="2:24" x14ac:dyDescent="0.25">
      <c r="B1090" s="2">
        <v>1</v>
      </c>
      <c r="C1090" s="1">
        <f t="shared" si="134"/>
        <v>8.4705882352940449</v>
      </c>
      <c r="D1090" s="1">
        <f t="shared" si="132"/>
        <v>1</v>
      </c>
      <c r="E1090" s="1">
        <f t="shared" si="135"/>
        <v>0</v>
      </c>
      <c r="F1090" s="31">
        <f t="shared" si="133"/>
        <v>14.6</v>
      </c>
      <c r="G1090" s="31">
        <f t="shared" ca="1" si="129"/>
        <v>14.6</v>
      </c>
      <c r="H1090" s="30">
        <f t="shared" ca="1" si="130"/>
        <v>0</v>
      </c>
      <c r="I1090" s="31">
        <f t="shared" ca="1" si="131"/>
        <v>14.6</v>
      </c>
      <c r="Q1090" s="80"/>
      <c r="R1090" s="42"/>
      <c r="S1090" s="90">
        <f t="shared" si="136"/>
        <v>103.19999999999841</v>
      </c>
      <c r="T1090" s="42"/>
      <c r="U1090" s="42"/>
      <c r="V1090" s="42"/>
      <c r="W1090" s="42"/>
      <c r="X1090" s="81"/>
    </row>
    <row r="1091" spans="2:24" x14ac:dyDescent="0.25">
      <c r="B1091" s="2">
        <v>1</v>
      </c>
      <c r="C1091" s="1">
        <f t="shared" si="134"/>
        <v>9.4705882352940449</v>
      </c>
      <c r="D1091" s="1">
        <f t="shared" si="132"/>
        <v>1</v>
      </c>
      <c r="E1091" s="1">
        <f t="shared" si="135"/>
        <v>0</v>
      </c>
      <c r="F1091" s="31">
        <f t="shared" si="133"/>
        <v>14.6</v>
      </c>
      <c r="G1091" s="31">
        <f t="shared" ca="1" si="129"/>
        <v>14.6</v>
      </c>
      <c r="H1091" s="30">
        <f t="shared" ca="1" si="130"/>
        <v>0</v>
      </c>
      <c r="I1091" s="31">
        <f t="shared" ca="1" si="131"/>
        <v>14.6</v>
      </c>
      <c r="Q1091" s="80"/>
      <c r="R1091" s="42"/>
      <c r="S1091" s="90">
        <f t="shared" si="136"/>
        <v>103.29999999999841</v>
      </c>
      <c r="T1091" s="42"/>
      <c r="U1091" s="42"/>
      <c r="V1091" s="42"/>
      <c r="W1091" s="42"/>
      <c r="X1091" s="81"/>
    </row>
    <row r="1092" spans="2:24" x14ac:dyDescent="0.25">
      <c r="B1092" s="2">
        <v>1</v>
      </c>
      <c r="C1092" s="1">
        <f t="shared" si="134"/>
        <v>10.470588235294045</v>
      </c>
      <c r="D1092" s="1">
        <f t="shared" si="132"/>
        <v>1</v>
      </c>
      <c r="E1092" s="1">
        <f t="shared" si="135"/>
        <v>0</v>
      </c>
      <c r="F1092" s="31">
        <f t="shared" si="133"/>
        <v>14.6</v>
      </c>
      <c r="G1092" s="31">
        <f t="shared" ca="1" si="129"/>
        <v>14.6</v>
      </c>
      <c r="H1092" s="30">
        <f t="shared" ca="1" si="130"/>
        <v>0</v>
      </c>
      <c r="I1092" s="31">
        <f t="shared" ca="1" si="131"/>
        <v>14.6</v>
      </c>
      <c r="Q1092" s="80"/>
      <c r="R1092" s="42"/>
      <c r="S1092" s="90">
        <f t="shared" si="136"/>
        <v>103.3999999999984</v>
      </c>
      <c r="T1092" s="42"/>
      <c r="U1092" s="42"/>
      <c r="V1092" s="42"/>
      <c r="W1092" s="42"/>
      <c r="X1092" s="81"/>
    </row>
    <row r="1093" spans="2:24" x14ac:dyDescent="0.25">
      <c r="B1093" s="2">
        <v>1</v>
      </c>
      <c r="C1093" s="1">
        <f t="shared" si="134"/>
        <v>11.470588235294045</v>
      </c>
      <c r="D1093" s="1">
        <f t="shared" si="132"/>
        <v>1</v>
      </c>
      <c r="E1093" s="1">
        <f t="shared" si="135"/>
        <v>0</v>
      </c>
      <c r="F1093" s="31">
        <f t="shared" si="133"/>
        <v>14.6</v>
      </c>
      <c r="G1093" s="31">
        <f t="shared" ca="1" si="129"/>
        <v>14.6</v>
      </c>
      <c r="H1093" s="30">
        <f t="shared" ca="1" si="130"/>
        <v>0</v>
      </c>
      <c r="I1093" s="31">
        <f t="shared" ca="1" si="131"/>
        <v>14.6</v>
      </c>
      <c r="Q1093" s="80"/>
      <c r="R1093" s="42"/>
      <c r="S1093" s="90">
        <f t="shared" si="136"/>
        <v>103.49999999999839</v>
      </c>
      <c r="T1093" s="42"/>
      <c r="U1093" s="42"/>
      <c r="V1093" s="42"/>
      <c r="W1093" s="42"/>
      <c r="X1093" s="81"/>
    </row>
    <row r="1094" spans="2:24" x14ac:dyDescent="0.25">
      <c r="B1094" s="2">
        <v>1</v>
      </c>
      <c r="C1094" s="1">
        <f t="shared" si="134"/>
        <v>12.470588235294045</v>
      </c>
      <c r="D1094" s="1">
        <f t="shared" si="132"/>
        <v>1</v>
      </c>
      <c r="E1094" s="1">
        <f t="shared" si="135"/>
        <v>0</v>
      </c>
      <c r="F1094" s="31">
        <f t="shared" si="133"/>
        <v>14.6</v>
      </c>
      <c r="G1094" s="31">
        <f t="shared" ca="1" si="129"/>
        <v>14.6</v>
      </c>
      <c r="H1094" s="30">
        <f t="shared" ca="1" si="130"/>
        <v>0</v>
      </c>
      <c r="I1094" s="31">
        <f t="shared" ca="1" si="131"/>
        <v>14.6</v>
      </c>
      <c r="Q1094" s="80"/>
      <c r="R1094" s="42"/>
      <c r="S1094" s="90">
        <f t="shared" si="136"/>
        <v>103.59999999999839</v>
      </c>
      <c r="T1094" s="42"/>
      <c r="U1094" s="42"/>
      <c r="V1094" s="42"/>
      <c r="W1094" s="42"/>
      <c r="X1094" s="81"/>
    </row>
    <row r="1095" spans="2:24" x14ac:dyDescent="0.25">
      <c r="B1095" s="2">
        <v>1</v>
      </c>
      <c r="C1095" s="1">
        <f t="shared" si="134"/>
        <v>13.470588235294045</v>
      </c>
      <c r="D1095" s="1">
        <f t="shared" si="132"/>
        <v>1</v>
      </c>
      <c r="E1095" s="1">
        <f t="shared" si="135"/>
        <v>0</v>
      </c>
      <c r="F1095" s="31">
        <f t="shared" si="133"/>
        <v>14.6</v>
      </c>
      <c r="G1095" s="31">
        <f t="shared" ca="1" si="129"/>
        <v>14.6</v>
      </c>
      <c r="H1095" s="30">
        <f t="shared" ca="1" si="130"/>
        <v>0</v>
      </c>
      <c r="I1095" s="31">
        <f t="shared" ca="1" si="131"/>
        <v>14.6</v>
      </c>
      <c r="Q1095" s="80"/>
      <c r="R1095" s="42"/>
      <c r="S1095" s="90">
        <f t="shared" si="136"/>
        <v>103.69999999999838</v>
      </c>
      <c r="T1095" s="42"/>
      <c r="U1095" s="42"/>
      <c r="V1095" s="42"/>
      <c r="W1095" s="42"/>
      <c r="X1095" s="81"/>
    </row>
    <row r="1096" spans="2:24" x14ac:dyDescent="0.25">
      <c r="B1096" s="2">
        <v>1</v>
      </c>
      <c r="C1096" s="1">
        <f t="shared" si="134"/>
        <v>14.470588235294045</v>
      </c>
      <c r="D1096" s="1">
        <f t="shared" si="132"/>
        <v>1</v>
      </c>
      <c r="E1096" s="1">
        <f t="shared" si="135"/>
        <v>0</v>
      </c>
      <c r="F1096" s="31">
        <f t="shared" si="133"/>
        <v>14.6</v>
      </c>
      <c r="G1096" s="31">
        <f t="shared" ca="1" si="129"/>
        <v>14.6</v>
      </c>
      <c r="H1096" s="30">
        <f t="shared" ca="1" si="130"/>
        <v>0</v>
      </c>
      <c r="I1096" s="31">
        <f t="shared" ca="1" si="131"/>
        <v>14.6</v>
      </c>
      <c r="Q1096" s="80"/>
      <c r="R1096" s="42"/>
      <c r="S1096" s="90">
        <f t="shared" si="136"/>
        <v>103.79999999999838</v>
      </c>
      <c r="T1096" s="42"/>
      <c r="U1096" s="42"/>
      <c r="V1096" s="42"/>
      <c r="W1096" s="42"/>
      <c r="X1096" s="81"/>
    </row>
    <row r="1097" spans="2:24" x14ac:dyDescent="0.25">
      <c r="B1097" s="2">
        <v>1</v>
      </c>
      <c r="C1097" s="1">
        <f t="shared" si="134"/>
        <v>15.470588235294045</v>
      </c>
      <c r="D1097" s="1">
        <f t="shared" si="132"/>
        <v>1</v>
      </c>
      <c r="E1097" s="1">
        <f t="shared" si="135"/>
        <v>0</v>
      </c>
      <c r="F1097" s="31">
        <f t="shared" si="133"/>
        <v>14.6</v>
      </c>
      <c r="G1097" s="31">
        <f t="shared" ca="1" si="129"/>
        <v>14.6</v>
      </c>
      <c r="H1097" s="30">
        <f t="shared" ca="1" si="130"/>
        <v>0</v>
      </c>
      <c r="I1097" s="31">
        <f t="shared" ca="1" si="131"/>
        <v>14.6</v>
      </c>
      <c r="Q1097" s="80"/>
      <c r="R1097" s="42"/>
      <c r="S1097" s="90">
        <f t="shared" si="136"/>
        <v>103.89999999999837</v>
      </c>
      <c r="T1097" s="42"/>
      <c r="U1097" s="42"/>
      <c r="V1097" s="42"/>
      <c r="W1097" s="42"/>
      <c r="X1097" s="81"/>
    </row>
    <row r="1098" spans="2:24" x14ac:dyDescent="0.25">
      <c r="B1098" s="2">
        <v>1</v>
      </c>
      <c r="C1098" s="1">
        <f t="shared" si="134"/>
        <v>16.470588235294045</v>
      </c>
      <c r="D1098" s="1">
        <f t="shared" si="132"/>
        <v>1</v>
      </c>
      <c r="E1098" s="1">
        <f t="shared" si="135"/>
        <v>0</v>
      </c>
      <c r="F1098" s="31">
        <f t="shared" si="133"/>
        <v>14.6</v>
      </c>
      <c r="G1098" s="31">
        <f t="shared" ca="1" si="129"/>
        <v>14.6</v>
      </c>
      <c r="H1098" s="30">
        <f t="shared" ca="1" si="130"/>
        <v>0</v>
      </c>
      <c r="I1098" s="31">
        <f t="shared" ca="1" si="131"/>
        <v>14.6</v>
      </c>
      <c r="Q1098" s="80"/>
      <c r="R1098" s="42"/>
      <c r="S1098" s="90">
        <f t="shared" si="136"/>
        <v>103.99999999999837</v>
      </c>
      <c r="T1098" s="42"/>
      <c r="U1098" s="42"/>
      <c r="V1098" s="42"/>
      <c r="W1098" s="42"/>
      <c r="X1098" s="81"/>
    </row>
    <row r="1099" spans="2:24" x14ac:dyDescent="0.25">
      <c r="B1099" s="2">
        <v>1</v>
      </c>
      <c r="C1099" s="1">
        <f t="shared" si="134"/>
        <v>17.470588235294045</v>
      </c>
      <c r="D1099" s="1">
        <f t="shared" si="132"/>
        <v>1</v>
      </c>
      <c r="E1099" s="1">
        <f t="shared" si="135"/>
        <v>0</v>
      </c>
      <c r="F1099" s="31">
        <f t="shared" si="133"/>
        <v>14.6</v>
      </c>
      <c r="G1099" s="31">
        <f t="shared" ref="G1099:G1162" ca="1" si="137">IF(D1099=1, AVERAGE(OFFSET(F1099,-$L$27,0,$L$27,1)),0)</f>
        <v>14.6</v>
      </c>
      <c r="H1099" s="30">
        <f t="shared" ref="H1099:H1162" ca="1" si="138">IF(D1099=0, AVERAGE(OFFSET(F1099,-$L$28,0,$L$28,1)),0)</f>
        <v>0</v>
      </c>
      <c r="I1099" s="31">
        <f t="shared" ref="I1099:I1162" ca="1" si="139">G1099+H1099</f>
        <v>14.6</v>
      </c>
      <c r="Q1099" s="80"/>
      <c r="R1099" s="42"/>
      <c r="S1099" s="90">
        <f t="shared" si="136"/>
        <v>104.09999999999836</v>
      </c>
      <c r="T1099" s="42"/>
      <c r="U1099" s="42"/>
      <c r="V1099" s="42"/>
      <c r="W1099" s="42"/>
      <c r="X1099" s="81"/>
    </row>
    <row r="1100" spans="2:24" x14ac:dyDescent="0.25">
      <c r="B1100" s="2">
        <v>1</v>
      </c>
      <c r="C1100" s="1">
        <f t="shared" si="134"/>
        <v>18.470588235294045</v>
      </c>
      <c r="D1100" s="1">
        <f t="shared" si="132"/>
        <v>1</v>
      </c>
      <c r="E1100" s="1">
        <f t="shared" si="135"/>
        <v>0</v>
      </c>
      <c r="F1100" s="31">
        <f t="shared" si="133"/>
        <v>14.6</v>
      </c>
      <c r="G1100" s="31">
        <f t="shared" ca="1" si="137"/>
        <v>14.6</v>
      </c>
      <c r="H1100" s="30">
        <f t="shared" ca="1" si="138"/>
        <v>0</v>
      </c>
      <c r="I1100" s="31">
        <f t="shared" ca="1" si="139"/>
        <v>14.6</v>
      </c>
      <c r="Q1100" s="80"/>
      <c r="R1100" s="42"/>
      <c r="S1100" s="90">
        <f t="shared" si="136"/>
        <v>104.19999999999835</v>
      </c>
      <c r="T1100" s="42"/>
      <c r="U1100" s="42"/>
      <c r="V1100" s="42"/>
      <c r="W1100" s="42"/>
      <c r="X1100" s="81"/>
    </row>
    <row r="1101" spans="2:24" x14ac:dyDescent="0.25">
      <c r="B1101" s="2">
        <v>1</v>
      </c>
      <c r="C1101" s="1">
        <f t="shared" si="134"/>
        <v>19.470588235294045</v>
      </c>
      <c r="D1101" s="1">
        <f t="shared" si="132"/>
        <v>1</v>
      </c>
      <c r="E1101" s="1">
        <f t="shared" si="135"/>
        <v>0</v>
      </c>
      <c r="F1101" s="31">
        <f t="shared" si="133"/>
        <v>14.6</v>
      </c>
      <c r="G1101" s="31">
        <f t="shared" ca="1" si="137"/>
        <v>14.6</v>
      </c>
      <c r="H1101" s="30">
        <f t="shared" ca="1" si="138"/>
        <v>0</v>
      </c>
      <c r="I1101" s="31">
        <f t="shared" ca="1" si="139"/>
        <v>14.6</v>
      </c>
      <c r="Q1101" s="80"/>
      <c r="R1101" s="42"/>
      <c r="S1101" s="90">
        <f t="shared" si="136"/>
        <v>104.29999999999835</v>
      </c>
      <c r="T1101" s="42"/>
      <c r="U1101" s="42"/>
      <c r="V1101" s="42"/>
      <c r="W1101" s="42"/>
      <c r="X1101" s="81"/>
    </row>
    <row r="1102" spans="2:24" x14ac:dyDescent="0.25">
      <c r="B1102" s="2">
        <v>1</v>
      </c>
      <c r="C1102" s="1">
        <f t="shared" si="134"/>
        <v>20.470588235294045</v>
      </c>
      <c r="D1102" s="1">
        <f t="shared" si="132"/>
        <v>1</v>
      </c>
      <c r="E1102" s="1">
        <f t="shared" si="135"/>
        <v>0</v>
      </c>
      <c r="F1102" s="31">
        <f t="shared" si="133"/>
        <v>14.6</v>
      </c>
      <c r="G1102" s="31">
        <f t="shared" ca="1" si="137"/>
        <v>14.6</v>
      </c>
      <c r="H1102" s="30">
        <f t="shared" ca="1" si="138"/>
        <v>0</v>
      </c>
      <c r="I1102" s="31">
        <f t="shared" ca="1" si="139"/>
        <v>14.6</v>
      </c>
      <c r="Q1102" s="80"/>
      <c r="R1102" s="42"/>
      <c r="S1102" s="90">
        <f t="shared" si="136"/>
        <v>104.39999999999834</v>
      </c>
      <c r="T1102" s="42"/>
      <c r="U1102" s="42"/>
      <c r="V1102" s="42"/>
      <c r="W1102" s="42"/>
      <c r="X1102" s="81"/>
    </row>
    <row r="1103" spans="2:24" x14ac:dyDescent="0.25">
      <c r="B1103" s="2">
        <v>1</v>
      </c>
      <c r="C1103" s="1">
        <f t="shared" si="134"/>
        <v>21.470588235294045</v>
      </c>
      <c r="D1103" s="1">
        <f t="shared" si="132"/>
        <v>1</v>
      </c>
      <c r="E1103" s="1">
        <f t="shared" si="135"/>
        <v>0</v>
      </c>
      <c r="F1103" s="31">
        <f t="shared" si="133"/>
        <v>14.6</v>
      </c>
      <c r="G1103" s="31">
        <f t="shared" ca="1" si="137"/>
        <v>14.6</v>
      </c>
      <c r="H1103" s="30">
        <f t="shared" ca="1" si="138"/>
        <v>0</v>
      </c>
      <c r="I1103" s="31">
        <f t="shared" ca="1" si="139"/>
        <v>14.6</v>
      </c>
      <c r="Q1103" s="80"/>
      <c r="R1103" s="42"/>
      <c r="S1103" s="90">
        <f t="shared" si="136"/>
        <v>104.49999999999834</v>
      </c>
      <c r="T1103" s="42"/>
      <c r="U1103" s="42"/>
      <c r="V1103" s="42"/>
      <c r="W1103" s="42"/>
      <c r="X1103" s="81"/>
    </row>
    <row r="1104" spans="2:24" x14ac:dyDescent="0.25">
      <c r="B1104" s="2">
        <v>1</v>
      </c>
      <c r="C1104" s="1">
        <f t="shared" si="134"/>
        <v>22.470588235294045</v>
      </c>
      <c r="D1104" s="1">
        <f t="shared" si="132"/>
        <v>1</v>
      </c>
      <c r="E1104" s="1">
        <f t="shared" si="135"/>
        <v>0</v>
      </c>
      <c r="F1104" s="31">
        <f t="shared" si="133"/>
        <v>14.6</v>
      </c>
      <c r="G1104" s="31">
        <f t="shared" ca="1" si="137"/>
        <v>14.6</v>
      </c>
      <c r="H1104" s="30">
        <f t="shared" ca="1" si="138"/>
        <v>0</v>
      </c>
      <c r="I1104" s="31">
        <f t="shared" ca="1" si="139"/>
        <v>14.6</v>
      </c>
      <c r="Q1104" s="80"/>
      <c r="R1104" s="42"/>
      <c r="S1104" s="90">
        <f t="shared" si="136"/>
        <v>104.59999999999833</v>
      </c>
      <c r="T1104" s="42"/>
      <c r="U1104" s="42"/>
      <c r="V1104" s="42"/>
      <c r="W1104" s="42"/>
      <c r="X1104" s="81"/>
    </row>
    <row r="1105" spans="2:24" x14ac:dyDescent="0.25">
      <c r="B1105" s="2">
        <v>1</v>
      </c>
      <c r="C1105" s="1">
        <f t="shared" si="134"/>
        <v>23.470588235294045</v>
      </c>
      <c r="D1105" s="1">
        <f t="shared" si="132"/>
        <v>0</v>
      </c>
      <c r="E1105" s="1">
        <f t="shared" si="135"/>
        <v>1</v>
      </c>
      <c r="F1105" s="31">
        <f t="shared" si="133"/>
        <v>6.4</v>
      </c>
      <c r="G1105" s="31">
        <f t="shared" ca="1" si="137"/>
        <v>0</v>
      </c>
      <c r="H1105" s="30">
        <f t="shared" ca="1" si="138"/>
        <v>14.6</v>
      </c>
      <c r="I1105" s="31">
        <f t="shared" ca="1" si="139"/>
        <v>14.6</v>
      </c>
      <c r="Q1105" s="80"/>
      <c r="R1105" s="42"/>
      <c r="S1105" s="90">
        <f t="shared" si="136"/>
        <v>104.69999999999833</v>
      </c>
      <c r="T1105" s="42"/>
      <c r="U1105" s="42"/>
      <c r="V1105" s="42"/>
      <c r="W1105" s="42"/>
      <c r="X1105" s="81"/>
    </row>
    <row r="1106" spans="2:24" x14ac:dyDescent="0.25">
      <c r="B1106" s="2">
        <v>1</v>
      </c>
      <c r="C1106" s="1">
        <f t="shared" si="134"/>
        <v>24.470588235294045</v>
      </c>
      <c r="D1106" s="1">
        <f t="shared" si="132"/>
        <v>0</v>
      </c>
      <c r="E1106" s="1">
        <f t="shared" si="135"/>
        <v>1</v>
      </c>
      <c r="F1106" s="31">
        <f t="shared" si="133"/>
        <v>6.4</v>
      </c>
      <c r="G1106" s="31">
        <f t="shared" ca="1" si="137"/>
        <v>0</v>
      </c>
      <c r="H1106" s="30">
        <f t="shared" ca="1" si="138"/>
        <v>6.4</v>
      </c>
      <c r="I1106" s="31">
        <f t="shared" ca="1" si="139"/>
        <v>6.4</v>
      </c>
      <c r="Q1106" s="80"/>
      <c r="R1106" s="42"/>
      <c r="S1106" s="90">
        <f t="shared" si="136"/>
        <v>104.79999999999832</v>
      </c>
      <c r="T1106" s="42"/>
      <c r="U1106" s="42"/>
      <c r="V1106" s="42"/>
      <c r="W1106" s="42"/>
      <c r="X1106" s="81"/>
    </row>
    <row r="1107" spans="2:24" x14ac:dyDescent="0.25">
      <c r="B1107" s="2">
        <v>1</v>
      </c>
      <c r="C1107" s="1">
        <f t="shared" si="134"/>
        <v>25.470588235294045</v>
      </c>
      <c r="D1107" s="1">
        <f t="shared" si="132"/>
        <v>0</v>
      </c>
      <c r="E1107" s="1">
        <f t="shared" si="135"/>
        <v>1</v>
      </c>
      <c r="F1107" s="31">
        <f t="shared" si="133"/>
        <v>6.4</v>
      </c>
      <c r="G1107" s="31">
        <f t="shared" ca="1" si="137"/>
        <v>0</v>
      </c>
      <c r="H1107" s="30">
        <f t="shared" ca="1" si="138"/>
        <v>6.4</v>
      </c>
      <c r="I1107" s="31">
        <f t="shared" ca="1" si="139"/>
        <v>6.4</v>
      </c>
      <c r="Q1107" s="80"/>
      <c r="R1107" s="42"/>
      <c r="S1107" s="90">
        <f t="shared" si="136"/>
        <v>104.89999999999831</v>
      </c>
      <c r="T1107" s="42"/>
      <c r="U1107" s="42"/>
      <c r="V1107" s="42"/>
      <c r="W1107" s="42"/>
      <c r="X1107" s="81"/>
    </row>
    <row r="1108" spans="2:24" x14ac:dyDescent="0.25">
      <c r="B1108" s="2">
        <v>1</v>
      </c>
      <c r="C1108" s="1">
        <f t="shared" si="134"/>
        <v>26.470588235294045</v>
      </c>
      <c r="D1108" s="1">
        <f t="shared" si="132"/>
        <v>0</v>
      </c>
      <c r="E1108" s="1">
        <f t="shared" si="135"/>
        <v>1</v>
      </c>
      <c r="F1108" s="31">
        <f t="shared" si="133"/>
        <v>6.4</v>
      </c>
      <c r="G1108" s="31">
        <f t="shared" ca="1" si="137"/>
        <v>0</v>
      </c>
      <c r="H1108" s="30">
        <f t="shared" ca="1" si="138"/>
        <v>6.4</v>
      </c>
      <c r="I1108" s="31">
        <f t="shared" ca="1" si="139"/>
        <v>6.4</v>
      </c>
      <c r="Q1108" s="80"/>
      <c r="R1108" s="42"/>
      <c r="S1108" s="90">
        <f t="shared" si="136"/>
        <v>104.99999999999831</v>
      </c>
      <c r="T1108" s="42"/>
      <c r="U1108" s="42"/>
      <c r="V1108" s="42"/>
      <c r="W1108" s="42"/>
      <c r="X1108" s="81"/>
    </row>
    <row r="1109" spans="2:24" x14ac:dyDescent="0.25">
      <c r="B1109" s="2">
        <v>1</v>
      </c>
      <c r="C1109" s="1">
        <f t="shared" si="134"/>
        <v>27.470588235294045</v>
      </c>
      <c r="D1109" s="1">
        <f t="shared" si="132"/>
        <v>0</v>
      </c>
      <c r="E1109" s="1">
        <f t="shared" si="135"/>
        <v>1</v>
      </c>
      <c r="F1109" s="31">
        <f t="shared" si="133"/>
        <v>6.4</v>
      </c>
      <c r="G1109" s="31">
        <f t="shared" ca="1" si="137"/>
        <v>0</v>
      </c>
      <c r="H1109" s="30">
        <f t="shared" ca="1" si="138"/>
        <v>6.4</v>
      </c>
      <c r="I1109" s="31">
        <f t="shared" ca="1" si="139"/>
        <v>6.4</v>
      </c>
      <c r="Q1109" s="80"/>
      <c r="R1109" s="42"/>
      <c r="S1109" s="90">
        <f t="shared" si="136"/>
        <v>105.0999999999983</v>
      </c>
      <c r="T1109" s="42"/>
      <c r="U1109" s="42"/>
      <c r="V1109" s="42"/>
      <c r="W1109" s="42"/>
      <c r="X1109" s="81"/>
    </row>
    <row r="1110" spans="2:24" x14ac:dyDescent="0.25">
      <c r="B1110" s="2">
        <v>1</v>
      </c>
      <c r="C1110" s="1">
        <f t="shared" si="134"/>
        <v>28.470588235294045</v>
      </c>
      <c r="D1110" s="1">
        <f t="shared" si="132"/>
        <v>0</v>
      </c>
      <c r="E1110" s="1">
        <f t="shared" si="135"/>
        <v>1</v>
      </c>
      <c r="F1110" s="31">
        <f t="shared" si="133"/>
        <v>6.4</v>
      </c>
      <c r="G1110" s="31">
        <f t="shared" ca="1" si="137"/>
        <v>0</v>
      </c>
      <c r="H1110" s="30">
        <f t="shared" ca="1" si="138"/>
        <v>6.4</v>
      </c>
      <c r="I1110" s="31">
        <f t="shared" ca="1" si="139"/>
        <v>6.4</v>
      </c>
      <c r="Q1110" s="80"/>
      <c r="R1110" s="42"/>
      <c r="S1110" s="90">
        <f t="shared" si="136"/>
        <v>105.1999999999983</v>
      </c>
      <c r="T1110" s="42"/>
      <c r="U1110" s="42"/>
      <c r="V1110" s="42"/>
      <c r="W1110" s="42"/>
      <c r="X1110" s="81"/>
    </row>
    <row r="1111" spans="2:24" x14ac:dyDescent="0.25">
      <c r="B1111" s="2">
        <v>1</v>
      </c>
      <c r="C1111" s="1">
        <f t="shared" si="134"/>
        <v>29.470588235294045</v>
      </c>
      <c r="D1111" s="1">
        <f t="shared" si="132"/>
        <v>0</v>
      </c>
      <c r="E1111" s="1">
        <f t="shared" si="135"/>
        <v>1</v>
      </c>
      <c r="F1111" s="31">
        <f t="shared" si="133"/>
        <v>6.4</v>
      </c>
      <c r="G1111" s="31">
        <f t="shared" ca="1" si="137"/>
        <v>0</v>
      </c>
      <c r="H1111" s="30">
        <f t="shared" ca="1" si="138"/>
        <v>6.4</v>
      </c>
      <c r="I1111" s="31">
        <f t="shared" ca="1" si="139"/>
        <v>6.4</v>
      </c>
      <c r="Q1111" s="80"/>
      <c r="R1111" s="42"/>
      <c r="S1111" s="90">
        <f t="shared" si="136"/>
        <v>105.29999999999829</v>
      </c>
      <c r="T1111" s="42"/>
      <c r="U1111" s="42"/>
      <c r="V1111" s="42"/>
      <c r="W1111" s="42"/>
      <c r="X1111" s="81"/>
    </row>
    <row r="1112" spans="2:24" x14ac:dyDescent="0.25">
      <c r="B1112" s="2">
        <v>1</v>
      </c>
      <c r="C1112" s="1">
        <f t="shared" si="134"/>
        <v>30.470588235294045</v>
      </c>
      <c r="D1112" s="1">
        <f t="shared" si="132"/>
        <v>0</v>
      </c>
      <c r="E1112" s="1">
        <f t="shared" si="135"/>
        <v>1</v>
      </c>
      <c r="F1112" s="31">
        <f t="shared" si="133"/>
        <v>6.4</v>
      </c>
      <c r="G1112" s="31">
        <f t="shared" ca="1" si="137"/>
        <v>0</v>
      </c>
      <c r="H1112" s="30">
        <f t="shared" ca="1" si="138"/>
        <v>6.4</v>
      </c>
      <c r="I1112" s="31">
        <f t="shared" ca="1" si="139"/>
        <v>6.4</v>
      </c>
      <c r="Q1112" s="80"/>
      <c r="R1112" s="42"/>
      <c r="S1112" s="90">
        <f t="shared" si="136"/>
        <v>105.39999999999829</v>
      </c>
      <c r="T1112" s="42"/>
      <c r="U1112" s="42"/>
      <c r="V1112" s="42"/>
      <c r="W1112" s="42"/>
      <c r="X1112" s="81"/>
    </row>
    <row r="1113" spans="2:24" x14ac:dyDescent="0.25">
      <c r="B1113" s="2">
        <v>1</v>
      </c>
      <c r="C1113" s="1">
        <f t="shared" si="134"/>
        <v>31.470588235294045</v>
      </c>
      <c r="D1113" s="1">
        <f t="shared" si="132"/>
        <v>0</v>
      </c>
      <c r="E1113" s="1">
        <f t="shared" si="135"/>
        <v>1</v>
      </c>
      <c r="F1113" s="31">
        <f t="shared" si="133"/>
        <v>6.4</v>
      </c>
      <c r="G1113" s="31">
        <f t="shared" ca="1" si="137"/>
        <v>0</v>
      </c>
      <c r="H1113" s="30">
        <f t="shared" ca="1" si="138"/>
        <v>6.4</v>
      </c>
      <c r="I1113" s="31">
        <f t="shared" ca="1" si="139"/>
        <v>6.4</v>
      </c>
      <c r="Q1113" s="80"/>
      <c r="R1113" s="42"/>
      <c r="S1113" s="90">
        <f t="shared" si="136"/>
        <v>105.49999999999828</v>
      </c>
      <c r="T1113" s="42"/>
      <c r="U1113" s="42"/>
      <c r="V1113" s="42"/>
      <c r="W1113" s="42"/>
      <c r="X1113" s="81"/>
    </row>
    <row r="1114" spans="2:24" x14ac:dyDescent="0.25">
      <c r="B1114" s="2">
        <v>1</v>
      </c>
      <c r="C1114" s="1">
        <f t="shared" si="134"/>
        <v>32.470588235294045</v>
      </c>
      <c r="D1114" s="1">
        <f t="shared" si="132"/>
        <v>0</v>
      </c>
      <c r="E1114" s="1">
        <f t="shared" si="135"/>
        <v>1</v>
      </c>
      <c r="F1114" s="31">
        <f t="shared" si="133"/>
        <v>6.4</v>
      </c>
      <c r="G1114" s="31">
        <f t="shared" ca="1" si="137"/>
        <v>0</v>
      </c>
      <c r="H1114" s="30">
        <f t="shared" ca="1" si="138"/>
        <v>6.4</v>
      </c>
      <c r="I1114" s="31">
        <f t="shared" ca="1" si="139"/>
        <v>6.4</v>
      </c>
      <c r="Q1114" s="80"/>
      <c r="R1114" s="42"/>
      <c r="S1114" s="90">
        <f t="shared" si="136"/>
        <v>105.59999999999827</v>
      </c>
      <c r="T1114" s="42"/>
      <c r="U1114" s="42"/>
      <c r="V1114" s="42"/>
      <c r="W1114" s="42"/>
      <c r="X1114" s="81"/>
    </row>
    <row r="1115" spans="2:24" x14ac:dyDescent="0.25">
      <c r="B1115" s="2">
        <v>1</v>
      </c>
      <c r="C1115" s="1">
        <f t="shared" si="134"/>
        <v>33.470588235294045</v>
      </c>
      <c r="D1115" s="1">
        <f t="shared" si="132"/>
        <v>0</v>
      </c>
      <c r="E1115" s="1">
        <f t="shared" si="135"/>
        <v>1</v>
      </c>
      <c r="F1115" s="31">
        <f t="shared" si="133"/>
        <v>6.4</v>
      </c>
      <c r="G1115" s="31">
        <f t="shared" ca="1" si="137"/>
        <v>0</v>
      </c>
      <c r="H1115" s="30">
        <f t="shared" ca="1" si="138"/>
        <v>6.4</v>
      </c>
      <c r="I1115" s="31">
        <f t="shared" ca="1" si="139"/>
        <v>6.4</v>
      </c>
      <c r="Q1115" s="80"/>
      <c r="R1115" s="42"/>
      <c r="S1115" s="90">
        <f t="shared" si="136"/>
        <v>105.69999999999827</v>
      </c>
      <c r="T1115" s="42"/>
      <c r="U1115" s="42"/>
      <c r="V1115" s="42"/>
      <c r="W1115" s="42"/>
      <c r="X1115" s="81"/>
    </row>
    <row r="1116" spans="2:24" x14ac:dyDescent="0.25">
      <c r="B1116" s="2">
        <v>1</v>
      </c>
      <c r="C1116" s="1">
        <f t="shared" si="134"/>
        <v>34.470588235294045</v>
      </c>
      <c r="D1116" s="1">
        <f t="shared" si="132"/>
        <v>0</v>
      </c>
      <c r="E1116" s="1">
        <f t="shared" si="135"/>
        <v>1</v>
      </c>
      <c r="F1116" s="31">
        <f t="shared" si="133"/>
        <v>6.4</v>
      </c>
      <c r="G1116" s="31">
        <f t="shared" ca="1" si="137"/>
        <v>0</v>
      </c>
      <c r="H1116" s="30">
        <f t="shared" ca="1" si="138"/>
        <v>6.4</v>
      </c>
      <c r="I1116" s="31">
        <f t="shared" ca="1" si="139"/>
        <v>6.4</v>
      </c>
      <c r="Q1116" s="80"/>
      <c r="R1116" s="42"/>
      <c r="S1116" s="90">
        <f t="shared" si="136"/>
        <v>105.79999999999826</v>
      </c>
      <c r="T1116" s="42"/>
      <c r="U1116" s="42"/>
      <c r="V1116" s="42"/>
      <c r="W1116" s="42"/>
      <c r="X1116" s="81"/>
    </row>
    <row r="1117" spans="2:24" x14ac:dyDescent="0.25">
      <c r="B1117" s="2">
        <v>1</v>
      </c>
      <c r="C1117" s="1">
        <f t="shared" si="134"/>
        <v>0.17647058823521888</v>
      </c>
      <c r="D1117" s="1">
        <f t="shared" si="132"/>
        <v>1</v>
      </c>
      <c r="E1117" s="1">
        <f t="shared" si="135"/>
        <v>0</v>
      </c>
      <c r="F1117" s="31">
        <f t="shared" si="133"/>
        <v>14.6</v>
      </c>
      <c r="G1117" s="31">
        <f t="shared" ca="1" si="137"/>
        <v>6.4</v>
      </c>
      <c r="H1117" s="30">
        <f t="shared" ca="1" si="138"/>
        <v>0</v>
      </c>
      <c r="I1117" s="31">
        <f t="shared" ca="1" si="139"/>
        <v>6.4</v>
      </c>
      <c r="Q1117" s="80"/>
      <c r="R1117" s="42"/>
      <c r="S1117" s="90">
        <f t="shared" si="136"/>
        <v>105.89999999999826</v>
      </c>
      <c r="T1117" s="42"/>
      <c r="U1117" s="42"/>
      <c r="V1117" s="42"/>
      <c r="W1117" s="42"/>
      <c r="X1117" s="81"/>
    </row>
    <row r="1118" spans="2:24" x14ac:dyDescent="0.25">
      <c r="B1118" s="2">
        <v>1</v>
      </c>
      <c r="C1118" s="1">
        <f t="shared" si="134"/>
        <v>1.1764705882352189</v>
      </c>
      <c r="D1118" s="1">
        <f t="shared" si="132"/>
        <v>1</v>
      </c>
      <c r="E1118" s="1">
        <f t="shared" si="135"/>
        <v>0</v>
      </c>
      <c r="F1118" s="31">
        <f t="shared" si="133"/>
        <v>14.6</v>
      </c>
      <c r="G1118" s="31">
        <f t="shared" ca="1" si="137"/>
        <v>8.4500000000000011</v>
      </c>
      <c r="H1118" s="30">
        <f t="shared" ca="1" si="138"/>
        <v>0</v>
      </c>
      <c r="I1118" s="31">
        <f t="shared" ca="1" si="139"/>
        <v>8.4500000000000011</v>
      </c>
      <c r="Q1118" s="80"/>
      <c r="R1118" s="42"/>
      <c r="S1118" s="90">
        <f t="shared" si="136"/>
        <v>105.99999999999825</v>
      </c>
      <c r="T1118" s="42"/>
      <c r="U1118" s="42"/>
      <c r="V1118" s="42"/>
      <c r="W1118" s="42"/>
      <c r="X1118" s="81"/>
    </row>
    <row r="1119" spans="2:24" x14ac:dyDescent="0.25">
      <c r="B1119" s="2">
        <v>1</v>
      </c>
      <c r="C1119" s="1">
        <f t="shared" si="134"/>
        <v>2.1764705882352189</v>
      </c>
      <c r="D1119" s="1">
        <f t="shared" si="132"/>
        <v>1</v>
      </c>
      <c r="E1119" s="1">
        <f t="shared" si="135"/>
        <v>0</v>
      </c>
      <c r="F1119" s="31">
        <f t="shared" si="133"/>
        <v>14.6</v>
      </c>
      <c r="G1119" s="31">
        <f t="shared" ca="1" si="137"/>
        <v>10.5</v>
      </c>
      <c r="H1119" s="30">
        <f t="shared" ca="1" si="138"/>
        <v>0</v>
      </c>
      <c r="I1119" s="31">
        <f t="shared" ca="1" si="139"/>
        <v>10.5</v>
      </c>
      <c r="Q1119" s="80"/>
      <c r="R1119" s="42"/>
      <c r="S1119" s="90">
        <f t="shared" si="136"/>
        <v>106.09999999999825</v>
      </c>
      <c r="T1119" s="42"/>
      <c r="U1119" s="42"/>
      <c r="V1119" s="42"/>
      <c r="W1119" s="42"/>
      <c r="X1119" s="81"/>
    </row>
    <row r="1120" spans="2:24" x14ac:dyDescent="0.25">
      <c r="B1120" s="2">
        <v>1</v>
      </c>
      <c r="C1120" s="1">
        <f t="shared" si="134"/>
        <v>3.1764705882352189</v>
      </c>
      <c r="D1120" s="1">
        <f t="shared" si="132"/>
        <v>1</v>
      </c>
      <c r="E1120" s="1">
        <f t="shared" si="135"/>
        <v>0</v>
      </c>
      <c r="F1120" s="31">
        <f t="shared" si="133"/>
        <v>14.6</v>
      </c>
      <c r="G1120" s="31">
        <f t="shared" ca="1" si="137"/>
        <v>12.55</v>
      </c>
      <c r="H1120" s="30">
        <f t="shared" ca="1" si="138"/>
        <v>0</v>
      </c>
      <c r="I1120" s="31">
        <f t="shared" ca="1" si="139"/>
        <v>12.55</v>
      </c>
      <c r="Q1120" s="80"/>
      <c r="R1120" s="42"/>
      <c r="S1120" s="90">
        <f t="shared" si="136"/>
        <v>106.19999999999824</v>
      </c>
      <c r="T1120" s="42"/>
      <c r="U1120" s="42"/>
      <c r="V1120" s="42"/>
      <c r="W1120" s="42"/>
      <c r="X1120" s="81"/>
    </row>
    <row r="1121" spans="2:24" x14ac:dyDescent="0.25">
      <c r="B1121" s="2">
        <v>1</v>
      </c>
      <c r="C1121" s="1">
        <f t="shared" si="134"/>
        <v>4.1764705882352189</v>
      </c>
      <c r="D1121" s="1">
        <f t="shared" si="132"/>
        <v>1</v>
      </c>
      <c r="E1121" s="1">
        <f t="shared" si="135"/>
        <v>0</v>
      </c>
      <c r="F1121" s="31">
        <f t="shared" si="133"/>
        <v>14.6</v>
      </c>
      <c r="G1121" s="31">
        <f t="shared" ca="1" si="137"/>
        <v>14.6</v>
      </c>
      <c r="H1121" s="30">
        <f t="shared" ca="1" si="138"/>
        <v>0</v>
      </c>
      <c r="I1121" s="31">
        <f t="shared" ca="1" si="139"/>
        <v>14.6</v>
      </c>
      <c r="Q1121" s="80"/>
      <c r="R1121" s="42"/>
      <c r="S1121" s="90">
        <f t="shared" si="136"/>
        <v>106.29999999999824</v>
      </c>
      <c r="T1121" s="42"/>
      <c r="U1121" s="42"/>
      <c r="V1121" s="42"/>
      <c r="W1121" s="42"/>
      <c r="X1121" s="81"/>
    </row>
    <row r="1122" spans="2:24" x14ac:dyDescent="0.25">
      <c r="B1122" s="2">
        <v>1</v>
      </c>
      <c r="C1122" s="1">
        <f t="shared" si="134"/>
        <v>5.1764705882352189</v>
      </c>
      <c r="D1122" s="1">
        <f t="shared" si="132"/>
        <v>1</v>
      </c>
      <c r="E1122" s="1">
        <f t="shared" si="135"/>
        <v>0</v>
      </c>
      <c r="F1122" s="31">
        <f t="shared" si="133"/>
        <v>14.6</v>
      </c>
      <c r="G1122" s="31">
        <f t="shared" ca="1" si="137"/>
        <v>14.6</v>
      </c>
      <c r="H1122" s="30">
        <f t="shared" ca="1" si="138"/>
        <v>0</v>
      </c>
      <c r="I1122" s="31">
        <f t="shared" ca="1" si="139"/>
        <v>14.6</v>
      </c>
      <c r="Q1122" s="80"/>
      <c r="R1122" s="42"/>
      <c r="S1122" s="90">
        <f t="shared" si="136"/>
        <v>106.39999999999823</v>
      </c>
      <c r="T1122" s="42"/>
      <c r="U1122" s="42"/>
      <c r="V1122" s="42"/>
      <c r="W1122" s="42"/>
      <c r="X1122" s="81"/>
    </row>
    <row r="1123" spans="2:24" x14ac:dyDescent="0.25">
      <c r="B1123" s="2">
        <v>1</v>
      </c>
      <c r="C1123" s="1">
        <f t="shared" si="134"/>
        <v>6.1764705882352189</v>
      </c>
      <c r="D1123" s="1">
        <f t="shared" si="132"/>
        <v>1</v>
      </c>
      <c r="E1123" s="1">
        <f t="shared" si="135"/>
        <v>0</v>
      </c>
      <c r="F1123" s="31">
        <f t="shared" si="133"/>
        <v>14.6</v>
      </c>
      <c r="G1123" s="31">
        <f t="shared" ca="1" si="137"/>
        <v>14.6</v>
      </c>
      <c r="H1123" s="30">
        <f t="shared" ca="1" si="138"/>
        <v>0</v>
      </c>
      <c r="I1123" s="31">
        <f t="shared" ca="1" si="139"/>
        <v>14.6</v>
      </c>
      <c r="Q1123" s="80"/>
      <c r="R1123" s="42"/>
      <c r="S1123" s="90">
        <f t="shared" si="136"/>
        <v>106.49999999999822</v>
      </c>
      <c r="T1123" s="42"/>
      <c r="U1123" s="42"/>
      <c r="V1123" s="42"/>
      <c r="W1123" s="42"/>
      <c r="X1123" s="81"/>
    </row>
    <row r="1124" spans="2:24" x14ac:dyDescent="0.25">
      <c r="B1124" s="2">
        <v>1</v>
      </c>
      <c r="C1124" s="1">
        <f t="shared" si="134"/>
        <v>7.1764705882352189</v>
      </c>
      <c r="D1124" s="1">
        <f t="shared" si="132"/>
        <v>1</v>
      </c>
      <c r="E1124" s="1">
        <f t="shared" si="135"/>
        <v>0</v>
      </c>
      <c r="F1124" s="31">
        <f t="shared" si="133"/>
        <v>14.6</v>
      </c>
      <c r="G1124" s="31">
        <f t="shared" ca="1" si="137"/>
        <v>14.6</v>
      </c>
      <c r="H1124" s="30">
        <f t="shared" ca="1" si="138"/>
        <v>0</v>
      </c>
      <c r="I1124" s="31">
        <f t="shared" ca="1" si="139"/>
        <v>14.6</v>
      </c>
      <c r="Q1124" s="80"/>
      <c r="R1124" s="42"/>
      <c r="S1124" s="90">
        <f t="shared" si="136"/>
        <v>106.59999999999822</v>
      </c>
      <c r="T1124" s="42"/>
      <c r="U1124" s="42"/>
      <c r="V1124" s="42"/>
      <c r="W1124" s="42"/>
      <c r="X1124" s="81"/>
    </row>
    <row r="1125" spans="2:24" x14ac:dyDescent="0.25">
      <c r="B1125" s="2">
        <v>1</v>
      </c>
      <c r="C1125" s="1">
        <f t="shared" si="134"/>
        <v>8.1764705882352189</v>
      </c>
      <c r="D1125" s="1">
        <f t="shared" si="132"/>
        <v>1</v>
      </c>
      <c r="E1125" s="1">
        <f t="shared" si="135"/>
        <v>0</v>
      </c>
      <c r="F1125" s="31">
        <f t="shared" si="133"/>
        <v>14.6</v>
      </c>
      <c r="G1125" s="31">
        <f t="shared" ca="1" si="137"/>
        <v>14.6</v>
      </c>
      <c r="H1125" s="30">
        <f t="shared" ca="1" si="138"/>
        <v>0</v>
      </c>
      <c r="I1125" s="31">
        <f t="shared" ca="1" si="139"/>
        <v>14.6</v>
      </c>
      <c r="Q1125" s="80"/>
      <c r="R1125" s="42"/>
      <c r="S1125" s="90">
        <f t="shared" si="136"/>
        <v>106.69999999999821</v>
      </c>
      <c r="T1125" s="42"/>
      <c r="U1125" s="42"/>
      <c r="V1125" s="42"/>
      <c r="W1125" s="42"/>
      <c r="X1125" s="81"/>
    </row>
    <row r="1126" spans="2:24" x14ac:dyDescent="0.25">
      <c r="B1126" s="2">
        <v>1</v>
      </c>
      <c r="C1126" s="1">
        <f t="shared" si="134"/>
        <v>9.1764705882352189</v>
      </c>
      <c r="D1126" s="1">
        <f t="shared" si="132"/>
        <v>1</v>
      </c>
      <c r="E1126" s="1">
        <f t="shared" si="135"/>
        <v>0</v>
      </c>
      <c r="F1126" s="31">
        <f t="shared" si="133"/>
        <v>14.6</v>
      </c>
      <c r="G1126" s="31">
        <f t="shared" ca="1" si="137"/>
        <v>14.6</v>
      </c>
      <c r="H1126" s="30">
        <f t="shared" ca="1" si="138"/>
        <v>0</v>
      </c>
      <c r="I1126" s="31">
        <f t="shared" ca="1" si="139"/>
        <v>14.6</v>
      </c>
      <c r="Q1126" s="80"/>
      <c r="R1126" s="42"/>
      <c r="S1126" s="90">
        <f t="shared" si="136"/>
        <v>106.79999999999821</v>
      </c>
      <c r="T1126" s="42"/>
      <c r="U1126" s="42"/>
      <c r="V1126" s="42"/>
      <c r="W1126" s="42"/>
      <c r="X1126" s="81"/>
    </row>
    <row r="1127" spans="2:24" x14ac:dyDescent="0.25">
      <c r="B1127" s="2">
        <v>1</v>
      </c>
      <c r="C1127" s="1">
        <f t="shared" si="134"/>
        <v>10.176470588235219</v>
      </c>
      <c r="D1127" s="1">
        <f t="shared" si="132"/>
        <v>1</v>
      </c>
      <c r="E1127" s="1">
        <f t="shared" si="135"/>
        <v>0</v>
      </c>
      <c r="F1127" s="31">
        <f t="shared" si="133"/>
        <v>14.6</v>
      </c>
      <c r="G1127" s="31">
        <f t="shared" ca="1" si="137"/>
        <v>14.6</v>
      </c>
      <c r="H1127" s="30">
        <f t="shared" ca="1" si="138"/>
        <v>0</v>
      </c>
      <c r="I1127" s="31">
        <f t="shared" ca="1" si="139"/>
        <v>14.6</v>
      </c>
      <c r="Q1127" s="80"/>
      <c r="R1127" s="42"/>
      <c r="S1127" s="90">
        <f t="shared" si="136"/>
        <v>106.8999999999982</v>
      </c>
      <c r="T1127" s="42"/>
      <c r="U1127" s="42"/>
      <c r="V1127" s="42"/>
      <c r="W1127" s="42"/>
      <c r="X1127" s="81"/>
    </row>
    <row r="1128" spans="2:24" x14ac:dyDescent="0.25">
      <c r="B1128" s="2">
        <v>1</v>
      </c>
      <c r="C1128" s="1">
        <f t="shared" si="134"/>
        <v>11.176470588235219</v>
      </c>
      <c r="D1128" s="1">
        <f t="shared" si="132"/>
        <v>1</v>
      </c>
      <c r="E1128" s="1">
        <f t="shared" si="135"/>
        <v>0</v>
      </c>
      <c r="F1128" s="31">
        <f t="shared" si="133"/>
        <v>14.6</v>
      </c>
      <c r="G1128" s="31">
        <f t="shared" ca="1" si="137"/>
        <v>14.6</v>
      </c>
      <c r="H1128" s="30">
        <f t="shared" ca="1" si="138"/>
        <v>0</v>
      </c>
      <c r="I1128" s="31">
        <f t="shared" ca="1" si="139"/>
        <v>14.6</v>
      </c>
      <c r="Q1128" s="80"/>
      <c r="R1128" s="42"/>
      <c r="S1128" s="90">
        <f t="shared" si="136"/>
        <v>106.9999999999982</v>
      </c>
      <c r="T1128" s="42"/>
      <c r="U1128" s="42"/>
      <c r="V1128" s="42"/>
      <c r="W1128" s="42"/>
      <c r="X1128" s="81"/>
    </row>
    <row r="1129" spans="2:24" x14ac:dyDescent="0.25">
      <c r="B1129" s="2">
        <v>1</v>
      </c>
      <c r="C1129" s="1">
        <f t="shared" si="134"/>
        <v>12.176470588235219</v>
      </c>
      <c r="D1129" s="1">
        <f t="shared" si="132"/>
        <v>1</v>
      </c>
      <c r="E1129" s="1">
        <f t="shared" si="135"/>
        <v>0</v>
      </c>
      <c r="F1129" s="31">
        <f t="shared" si="133"/>
        <v>14.6</v>
      </c>
      <c r="G1129" s="31">
        <f t="shared" ca="1" si="137"/>
        <v>14.6</v>
      </c>
      <c r="H1129" s="30">
        <f t="shared" ca="1" si="138"/>
        <v>0</v>
      </c>
      <c r="I1129" s="31">
        <f t="shared" ca="1" si="139"/>
        <v>14.6</v>
      </c>
      <c r="Q1129" s="80"/>
      <c r="R1129" s="42"/>
      <c r="S1129" s="90">
        <f t="shared" si="136"/>
        <v>107.09999999999819</v>
      </c>
      <c r="T1129" s="42"/>
      <c r="U1129" s="42"/>
      <c r="V1129" s="42"/>
      <c r="W1129" s="42"/>
      <c r="X1129" s="81"/>
    </row>
    <row r="1130" spans="2:24" x14ac:dyDescent="0.25">
      <c r="B1130" s="2">
        <v>1</v>
      </c>
      <c r="C1130" s="1">
        <f t="shared" si="134"/>
        <v>13.176470588235219</v>
      </c>
      <c r="D1130" s="1">
        <f t="shared" si="132"/>
        <v>1</v>
      </c>
      <c r="E1130" s="1">
        <f t="shared" si="135"/>
        <v>0</v>
      </c>
      <c r="F1130" s="31">
        <f t="shared" si="133"/>
        <v>14.6</v>
      </c>
      <c r="G1130" s="31">
        <f t="shared" ca="1" si="137"/>
        <v>14.6</v>
      </c>
      <c r="H1130" s="30">
        <f t="shared" ca="1" si="138"/>
        <v>0</v>
      </c>
      <c r="I1130" s="31">
        <f t="shared" ca="1" si="139"/>
        <v>14.6</v>
      </c>
      <c r="Q1130" s="80"/>
      <c r="R1130" s="42"/>
      <c r="S1130" s="90">
        <f t="shared" si="136"/>
        <v>107.19999999999818</v>
      </c>
      <c r="T1130" s="42"/>
      <c r="U1130" s="42"/>
      <c r="V1130" s="42"/>
      <c r="W1130" s="42"/>
      <c r="X1130" s="81"/>
    </row>
    <row r="1131" spans="2:24" x14ac:dyDescent="0.25">
      <c r="B1131" s="2">
        <v>1</v>
      </c>
      <c r="C1131" s="1">
        <f t="shared" si="134"/>
        <v>14.176470588235219</v>
      </c>
      <c r="D1131" s="1">
        <f t="shared" si="132"/>
        <v>1</v>
      </c>
      <c r="E1131" s="1">
        <f t="shared" si="135"/>
        <v>0</v>
      </c>
      <c r="F1131" s="31">
        <f t="shared" si="133"/>
        <v>14.6</v>
      </c>
      <c r="G1131" s="31">
        <f t="shared" ca="1" si="137"/>
        <v>14.6</v>
      </c>
      <c r="H1131" s="30">
        <f t="shared" ca="1" si="138"/>
        <v>0</v>
      </c>
      <c r="I1131" s="31">
        <f t="shared" ca="1" si="139"/>
        <v>14.6</v>
      </c>
      <c r="Q1131" s="80"/>
      <c r="R1131" s="42"/>
      <c r="S1131" s="90">
        <f t="shared" si="136"/>
        <v>107.29999999999818</v>
      </c>
      <c r="T1131" s="42"/>
      <c r="U1131" s="42"/>
      <c r="V1131" s="42"/>
      <c r="W1131" s="42"/>
      <c r="X1131" s="81"/>
    </row>
    <row r="1132" spans="2:24" x14ac:dyDescent="0.25">
      <c r="B1132" s="2">
        <v>1</v>
      </c>
      <c r="C1132" s="1">
        <f t="shared" si="134"/>
        <v>15.176470588235219</v>
      </c>
      <c r="D1132" s="1">
        <f t="shared" si="132"/>
        <v>1</v>
      </c>
      <c r="E1132" s="1">
        <f t="shared" si="135"/>
        <v>0</v>
      </c>
      <c r="F1132" s="31">
        <f t="shared" si="133"/>
        <v>14.6</v>
      </c>
      <c r="G1132" s="31">
        <f t="shared" ca="1" si="137"/>
        <v>14.6</v>
      </c>
      <c r="H1132" s="30">
        <f t="shared" ca="1" si="138"/>
        <v>0</v>
      </c>
      <c r="I1132" s="31">
        <f t="shared" ca="1" si="139"/>
        <v>14.6</v>
      </c>
      <c r="Q1132" s="80"/>
      <c r="R1132" s="42"/>
      <c r="S1132" s="90">
        <f t="shared" si="136"/>
        <v>107.39999999999817</v>
      </c>
      <c r="T1132" s="42"/>
      <c r="U1132" s="42"/>
      <c r="V1132" s="42"/>
      <c r="W1132" s="42"/>
      <c r="X1132" s="81"/>
    </row>
    <row r="1133" spans="2:24" x14ac:dyDescent="0.25">
      <c r="B1133" s="2">
        <v>1</v>
      </c>
      <c r="C1133" s="1">
        <f t="shared" si="134"/>
        <v>16.176470588235219</v>
      </c>
      <c r="D1133" s="1">
        <f t="shared" si="132"/>
        <v>1</v>
      </c>
      <c r="E1133" s="1">
        <f t="shared" si="135"/>
        <v>0</v>
      </c>
      <c r="F1133" s="31">
        <f t="shared" si="133"/>
        <v>14.6</v>
      </c>
      <c r="G1133" s="31">
        <f t="shared" ca="1" si="137"/>
        <v>14.6</v>
      </c>
      <c r="H1133" s="30">
        <f t="shared" ca="1" si="138"/>
        <v>0</v>
      </c>
      <c r="I1133" s="31">
        <f t="shared" ca="1" si="139"/>
        <v>14.6</v>
      </c>
      <c r="Q1133" s="80"/>
      <c r="R1133" s="42"/>
      <c r="S1133" s="90">
        <f t="shared" si="136"/>
        <v>107.49999999999817</v>
      </c>
      <c r="T1133" s="42"/>
      <c r="U1133" s="42"/>
      <c r="V1133" s="42"/>
      <c r="W1133" s="42"/>
      <c r="X1133" s="81"/>
    </row>
    <row r="1134" spans="2:24" x14ac:dyDescent="0.25">
      <c r="B1134" s="2">
        <v>1</v>
      </c>
      <c r="C1134" s="1">
        <f t="shared" si="134"/>
        <v>17.176470588235219</v>
      </c>
      <c r="D1134" s="1">
        <f t="shared" si="132"/>
        <v>1</v>
      </c>
      <c r="E1134" s="1">
        <f t="shared" si="135"/>
        <v>0</v>
      </c>
      <c r="F1134" s="31">
        <f t="shared" si="133"/>
        <v>14.6</v>
      </c>
      <c r="G1134" s="31">
        <f t="shared" ca="1" si="137"/>
        <v>14.6</v>
      </c>
      <c r="H1134" s="30">
        <f t="shared" ca="1" si="138"/>
        <v>0</v>
      </c>
      <c r="I1134" s="31">
        <f t="shared" ca="1" si="139"/>
        <v>14.6</v>
      </c>
      <c r="Q1134" s="80"/>
      <c r="R1134" s="42"/>
      <c r="S1134" s="90">
        <f t="shared" si="136"/>
        <v>107.59999999999816</v>
      </c>
      <c r="T1134" s="42"/>
      <c r="U1134" s="42"/>
      <c r="V1134" s="42"/>
      <c r="W1134" s="42"/>
      <c r="X1134" s="81"/>
    </row>
    <row r="1135" spans="2:24" x14ac:dyDescent="0.25">
      <c r="B1135" s="2">
        <v>1</v>
      </c>
      <c r="C1135" s="1">
        <f t="shared" si="134"/>
        <v>18.176470588235219</v>
      </c>
      <c r="D1135" s="1">
        <f t="shared" si="132"/>
        <v>1</v>
      </c>
      <c r="E1135" s="1">
        <f t="shared" si="135"/>
        <v>0</v>
      </c>
      <c r="F1135" s="31">
        <f t="shared" si="133"/>
        <v>14.6</v>
      </c>
      <c r="G1135" s="31">
        <f t="shared" ca="1" si="137"/>
        <v>14.6</v>
      </c>
      <c r="H1135" s="30">
        <f t="shared" ca="1" si="138"/>
        <v>0</v>
      </c>
      <c r="I1135" s="31">
        <f t="shared" ca="1" si="139"/>
        <v>14.6</v>
      </c>
      <c r="Q1135" s="80"/>
      <c r="R1135" s="42"/>
      <c r="S1135" s="90">
        <f t="shared" si="136"/>
        <v>107.69999999999816</v>
      </c>
      <c r="T1135" s="42"/>
      <c r="U1135" s="42"/>
      <c r="V1135" s="42"/>
      <c r="W1135" s="42"/>
      <c r="X1135" s="81"/>
    </row>
    <row r="1136" spans="2:24" x14ac:dyDescent="0.25">
      <c r="B1136" s="2">
        <v>1</v>
      </c>
      <c r="C1136" s="1">
        <f t="shared" si="134"/>
        <v>19.176470588235219</v>
      </c>
      <c r="D1136" s="1">
        <f t="shared" si="132"/>
        <v>1</v>
      </c>
      <c r="E1136" s="1">
        <f t="shared" si="135"/>
        <v>0</v>
      </c>
      <c r="F1136" s="31">
        <f t="shared" si="133"/>
        <v>14.6</v>
      </c>
      <c r="G1136" s="31">
        <f t="shared" ca="1" si="137"/>
        <v>14.6</v>
      </c>
      <c r="H1136" s="30">
        <f t="shared" ca="1" si="138"/>
        <v>0</v>
      </c>
      <c r="I1136" s="31">
        <f t="shared" ca="1" si="139"/>
        <v>14.6</v>
      </c>
      <c r="Q1136" s="80"/>
      <c r="R1136" s="42"/>
      <c r="S1136" s="90">
        <f t="shared" si="136"/>
        <v>107.79999999999815</v>
      </c>
      <c r="T1136" s="42"/>
      <c r="U1136" s="42"/>
      <c r="V1136" s="42"/>
      <c r="W1136" s="42"/>
      <c r="X1136" s="81"/>
    </row>
    <row r="1137" spans="2:24" x14ac:dyDescent="0.25">
      <c r="B1137" s="2">
        <v>1</v>
      </c>
      <c r="C1137" s="1">
        <f t="shared" si="134"/>
        <v>20.176470588235219</v>
      </c>
      <c r="D1137" s="1">
        <f t="shared" si="132"/>
        <v>1</v>
      </c>
      <c r="E1137" s="1">
        <f t="shared" si="135"/>
        <v>0</v>
      </c>
      <c r="F1137" s="31">
        <f t="shared" si="133"/>
        <v>14.6</v>
      </c>
      <c r="G1137" s="31">
        <f t="shared" ca="1" si="137"/>
        <v>14.6</v>
      </c>
      <c r="H1137" s="30">
        <f t="shared" ca="1" si="138"/>
        <v>0</v>
      </c>
      <c r="I1137" s="31">
        <f t="shared" ca="1" si="139"/>
        <v>14.6</v>
      </c>
      <c r="Q1137" s="80"/>
      <c r="R1137" s="42"/>
      <c r="S1137" s="90">
        <f t="shared" si="136"/>
        <v>107.89999999999814</v>
      </c>
      <c r="T1137" s="42"/>
      <c r="U1137" s="42"/>
      <c r="V1137" s="42"/>
      <c r="W1137" s="42"/>
      <c r="X1137" s="81"/>
    </row>
    <row r="1138" spans="2:24" x14ac:dyDescent="0.25">
      <c r="B1138" s="2">
        <v>1</v>
      </c>
      <c r="C1138" s="1">
        <f t="shared" si="134"/>
        <v>21.176470588235219</v>
      </c>
      <c r="D1138" s="1">
        <f t="shared" si="132"/>
        <v>1</v>
      </c>
      <c r="E1138" s="1">
        <f t="shared" si="135"/>
        <v>0</v>
      </c>
      <c r="F1138" s="31">
        <f t="shared" si="133"/>
        <v>14.6</v>
      </c>
      <c r="G1138" s="31">
        <f t="shared" ca="1" si="137"/>
        <v>14.6</v>
      </c>
      <c r="H1138" s="30">
        <f t="shared" ca="1" si="138"/>
        <v>0</v>
      </c>
      <c r="I1138" s="31">
        <f t="shared" ca="1" si="139"/>
        <v>14.6</v>
      </c>
      <c r="Q1138" s="80"/>
      <c r="R1138" s="42"/>
      <c r="S1138" s="90">
        <f t="shared" si="136"/>
        <v>107.99999999999814</v>
      </c>
      <c r="T1138" s="42"/>
      <c r="U1138" s="42"/>
      <c r="V1138" s="42"/>
      <c r="W1138" s="42"/>
      <c r="X1138" s="81"/>
    </row>
    <row r="1139" spans="2:24" x14ac:dyDescent="0.25">
      <c r="B1139" s="2">
        <v>1</v>
      </c>
      <c r="C1139" s="1">
        <f t="shared" si="134"/>
        <v>22.176470588235219</v>
      </c>
      <c r="D1139" s="1">
        <f t="shared" si="132"/>
        <v>1</v>
      </c>
      <c r="E1139" s="1">
        <f t="shared" si="135"/>
        <v>0</v>
      </c>
      <c r="F1139" s="31">
        <f t="shared" si="133"/>
        <v>14.6</v>
      </c>
      <c r="G1139" s="31">
        <f t="shared" ca="1" si="137"/>
        <v>14.6</v>
      </c>
      <c r="H1139" s="30">
        <f t="shared" ca="1" si="138"/>
        <v>0</v>
      </c>
      <c r="I1139" s="31">
        <f t="shared" ca="1" si="139"/>
        <v>14.6</v>
      </c>
      <c r="Q1139" s="80"/>
      <c r="R1139" s="42"/>
      <c r="S1139" s="90">
        <f t="shared" si="136"/>
        <v>108.09999999999813</v>
      </c>
      <c r="T1139" s="42"/>
      <c r="U1139" s="42"/>
      <c r="V1139" s="42"/>
      <c r="W1139" s="42"/>
      <c r="X1139" s="81"/>
    </row>
    <row r="1140" spans="2:24" x14ac:dyDescent="0.25">
      <c r="B1140" s="2">
        <v>1</v>
      </c>
      <c r="C1140" s="1">
        <f t="shared" si="134"/>
        <v>23.176470588235219</v>
      </c>
      <c r="D1140" s="1">
        <f t="shared" si="132"/>
        <v>0</v>
      </c>
      <c r="E1140" s="1">
        <f t="shared" si="135"/>
        <v>1</v>
      </c>
      <c r="F1140" s="31">
        <f t="shared" si="133"/>
        <v>6.4</v>
      </c>
      <c r="G1140" s="31">
        <f t="shared" ca="1" si="137"/>
        <v>0</v>
      </c>
      <c r="H1140" s="30">
        <f t="shared" ca="1" si="138"/>
        <v>14.6</v>
      </c>
      <c r="I1140" s="31">
        <f t="shared" ca="1" si="139"/>
        <v>14.6</v>
      </c>
      <c r="Q1140" s="80"/>
      <c r="R1140" s="42"/>
      <c r="S1140" s="90">
        <f t="shared" si="136"/>
        <v>108.19999999999813</v>
      </c>
      <c r="T1140" s="42"/>
      <c r="U1140" s="42"/>
      <c r="V1140" s="42"/>
      <c r="W1140" s="42"/>
      <c r="X1140" s="81"/>
    </row>
    <row r="1141" spans="2:24" x14ac:dyDescent="0.25">
      <c r="B1141" s="2">
        <v>1</v>
      </c>
      <c r="C1141" s="1">
        <f t="shared" si="134"/>
        <v>24.176470588235219</v>
      </c>
      <c r="D1141" s="1">
        <f t="shared" si="132"/>
        <v>0</v>
      </c>
      <c r="E1141" s="1">
        <f t="shared" si="135"/>
        <v>1</v>
      </c>
      <c r="F1141" s="31">
        <f t="shared" si="133"/>
        <v>6.4</v>
      </c>
      <c r="G1141" s="31">
        <f t="shared" ca="1" si="137"/>
        <v>0</v>
      </c>
      <c r="H1141" s="30">
        <f t="shared" ca="1" si="138"/>
        <v>6.4</v>
      </c>
      <c r="I1141" s="31">
        <f t="shared" ca="1" si="139"/>
        <v>6.4</v>
      </c>
      <c r="Q1141" s="80"/>
      <c r="R1141" s="42"/>
      <c r="S1141" s="90">
        <f t="shared" si="136"/>
        <v>108.29999999999812</v>
      </c>
      <c r="T1141" s="42"/>
      <c r="U1141" s="42"/>
      <c r="V1141" s="42"/>
      <c r="W1141" s="42"/>
      <c r="X1141" s="81"/>
    </row>
    <row r="1142" spans="2:24" x14ac:dyDescent="0.25">
      <c r="B1142" s="2">
        <v>1</v>
      </c>
      <c r="C1142" s="1">
        <f t="shared" si="134"/>
        <v>25.176470588235219</v>
      </c>
      <c r="D1142" s="1">
        <f t="shared" si="132"/>
        <v>0</v>
      </c>
      <c r="E1142" s="1">
        <f t="shared" si="135"/>
        <v>1</v>
      </c>
      <c r="F1142" s="31">
        <f t="shared" si="133"/>
        <v>6.4</v>
      </c>
      <c r="G1142" s="31">
        <f t="shared" ca="1" si="137"/>
        <v>0</v>
      </c>
      <c r="H1142" s="30">
        <f t="shared" ca="1" si="138"/>
        <v>6.4</v>
      </c>
      <c r="I1142" s="31">
        <f t="shared" ca="1" si="139"/>
        <v>6.4</v>
      </c>
      <c r="Q1142" s="80"/>
      <c r="R1142" s="42"/>
      <c r="S1142" s="90">
        <f t="shared" si="136"/>
        <v>108.39999999999812</v>
      </c>
      <c r="T1142" s="42"/>
      <c r="U1142" s="42"/>
      <c r="V1142" s="42"/>
      <c r="W1142" s="42"/>
      <c r="X1142" s="81"/>
    </row>
    <row r="1143" spans="2:24" x14ac:dyDescent="0.25">
      <c r="B1143" s="2">
        <v>1</v>
      </c>
      <c r="C1143" s="1">
        <f t="shared" si="134"/>
        <v>26.176470588235219</v>
      </c>
      <c r="D1143" s="1">
        <f t="shared" si="132"/>
        <v>0</v>
      </c>
      <c r="E1143" s="1">
        <f t="shared" si="135"/>
        <v>1</v>
      </c>
      <c r="F1143" s="31">
        <f t="shared" si="133"/>
        <v>6.4</v>
      </c>
      <c r="G1143" s="31">
        <f t="shared" ca="1" si="137"/>
        <v>0</v>
      </c>
      <c r="H1143" s="30">
        <f t="shared" ca="1" si="138"/>
        <v>6.4</v>
      </c>
      <c r="I1143" s="31">
        <f t="shared" ca="1" si="139"/>
        <v>6.4</v>
      </c>
      <c r="Q1143" s="80"/>
      <c r="R1143" s="42"/>
      <c r="S1143" s="90">
        <f t="shared" si="136"/>
        <v>108.49999999999811</v>
      </c>
      <c r="T1143" s="42"/>
      <c r="U1143" s="42"/>
      <c r="V1143" s="42"/>
      <c r="W1143" s="42"/>
      <c r="X1143" s="81"/>
    </row>
    <row r="1144" spans="2:24" x14ac:dyDescent="0.25">
      <c r="B1144" s="2">
        <v>1</v>
      </c>
      <c r="C1144" s="1">
        <f t="shared" si="134"/>
        <v>27.176470588235219</v>
      </c>
      <c r="D1144" s="1">
        <f t="shared" si="132"/>
        <v>0</v>
      </c>
      <c r="E1144" s="1">
        <f t="shared" si="135"/>
        <v>1</v>
      </c>
      <c r="F1144" s="31">
        <f t="shared" si="133"/>
        <v>6.4</v>
      </c>
      <c r="G1144" s="31">
        <f t="shared" ca="1" si="137"/>
        <v>0</v>
      </c>
      <c r="H1144" s="30">
        <f t="shared" ca="1" si="138"/>
        <v>6.4</v>
      </c>
      <c r="I1144" s="31">
        <f t="shared" ca="1" si="139"/>
        <v>6.4</v>
      </c>
      <c r="Q1144" s="80"/>
      <c r="R1144" s="42"/>
      <c r="S1144" s="90">
        <f t="shared" si="136"/>
        <v>108.5999999999981</v>
      </c>
      <c r="T1144" s="42"/>
      <c r="U1144" s="42"/>
      <c r="V1144" s="42"/>
      <c r="W1144" s="42"/>
      <c r="X1144" s="81"/>
    </row>
    <row r="1145" spans="2:24" x14ac:dyDescent="0.25">
      <c r="B1145" s="2">
        <v>1</v>
      </c>
      <c r="C1145" s="1">
        <f t="shared" si="134"/>
        <v>28.176470588235219</v>
      </c>
      <c r="D1145" s="1">
        <f t="shared" si="132"/>
        <v>0</v>
      </c>
      <c r="E1145" s="1">
        <f t="shared" si="135"/>
        <v>1</v>
      </c>
      <c r="F1145" s="31">
        <f t="shared" si="133"/>
        <v>6.4</v>
      </c>
      <c r="G1145" s="31">
        <f t="shared" ca="1" si="137"/>
        <v>0</v>
      </c>
      <c r="H1145" s="30">
        <f t="shared" ca="1" si="138"/>
        <v>6.4</v>
      </c>
      <c r="I1145" s="31">
        <f t="shared" ca="1" si="139"/>
        <v>6.4</v>
      </c>
      <c r="Q1145" s="80"/>
      <c r="R1145" s="42"/>
      <c r="S1145" s="90">
        <f t="shared" si="136"/>
        <v>108.6999999999981</v>
      </c>
      <c r="T1145" s="42"/>
      <c r="U1145" s="42"/>
      <c r="V1145" s="42"/>
      <c r="W1145" s="42"/>
      <c r="X1145" s="81"/>
    </row>
    <row r="1146" spans="2:24" x14ac:dyDescent="0.25">
      <c r="B1146" s="2">
        <v>1</v>
      </c>
      <c r="C1146" s="1">
        <f t="shared" si="134"/>
        <v>29.176470588235219</v>
      </c>
      <c r="D1146" s="1">
        <f t="shared" ref="D1146:D1209" si="140">IF(C1146&lt;=Inhelation_Time_RT,1,0)</f>
        <v>0</v>
      </c>
      <c r="E1146" s="1">
        <f t="shared" si="135"/>
        <v>1</v>
      </c>
      <c r="F1146" s="31">
        <f t="shared" ref="F1146:F1209" si="141">(D1146*Inspiratory_pressure_level) + (E1146*PEEP)</f>
        <v>6.4</v>
      </c>
      <c r="G1146" s="31">
        <f t="shared" ca="1" si="137"/>
        <v>0</v>
      </c>
      <c r="H1146" s="30">
        <f t="shared" ca="1" si="138"/>
        <v>6.4</v>
      </c>
      <c r="I1146" s="31">
        <f t="shared" ca="1" si="139"/>
        <v>6.4</v>
      </c>
      <c r="Q1146" s="80"/>
      <c r="R1146" s="42"/>
      <c r="S1146" s="90">
        <f t="shared" si="136"/>
        <v>108.79999999999809</v>
      </c>
      <c r="T1146" s="42"/>
      <c r="U1146" s="42"/>
      <c r="V1146" s="42"/>
      <c r="W1146" s="42"/>
      <c r="X1146" s="81"/>
    </row>
    <row r="1147" spans="2:24" x14ac:dyDescent="0.25">
      <c r="B1147" s="2">
        <v>1</v>
      </c>
      <c r="C1147" s="1">
        <f t="shared" ref="C1147:C1210" si="142">MOD(C1146+B1147,time_for_breath_RT)</f>
        <v>30.176470588235219</v>
      </c>
      <c r="D1147" s="1">
        <f t="shared" si="140"/>
        <v>0</v>
      </c>
      <c r="E1147" s="1">
        <f t="shared" ref="E1147:E1210" si="143">IF(D1147=1,0,1)</f>
        <v>1</v>
      </c>
      <c r="F1147" s="31">
        <f t="shared" si="141"/>
        <v>6.4</v>
      </c>
      <c r="G1147" s="31">
        <f t="shared" ca="1" si="137"/>
        <v>0</v>
      </c>
      <c r="H1147" s="30">
        <f t="shared" ca="1" si="138"/>
        <v>6.4</v>
      </c>
      <c r="I1147" s="31">
        <f t="shared" ca="1" si="139"/>
        <v>6.4</v>
      </c>
      <c r="Q1147" s="80"/>
      <c r="R1147" s="42"/>
      <c r="S1147" s="90">
        <f t="shared" ref="S1147:S1210" si="144">S1146+(B1146 / RTC_to_seconds)</f>
        <v>108.89999999999809</v>
      </c>
      <c r="T1147" s="42"/>
      <c r="U1147" s="42"/>
      <c r="V1147" s="42"/>
      <c r="W1147" s="42"/>
      <c r="X1147" s="81"/>
    </row>
    <row r="1148" spans="2:24" x14ac:dyDescent="0.25">
      <c r="B1148" s="2">
        <v>1</v>
      </c>
      <c r="C1148" s="1">
        <f t="shared" si="142"/>
        <v>31.176470588235219</v>
      </c>
      <c r="D1148" s="1">
        <f t="shared" si="140"/>
        <v>0</v>
      </c>
      <c r="E1148" s="1">
        <f t="shared" si="143"/>
        <v>1</v>
      </c>
      <c r="F1148" s="31">
        <f t="shared" si="141"/>
        <v>6.4</v>
      </c>
      <c r="G1148" s="31">
        <f t="shared" ca="1" si="137"/>
        <v>0</v>
      </c>
      <c r="H1148" s="30">
        <f t="shared" ca="1" si="138"/>
        <v>6.4</v>
      </c>
      <c r="I1148" s="31">
        <f t="shared" ca="1" si="139"/>
        <v>6.4</v>
      </c>
      <c r="Q1148" s="80"/>
      <c r="R1148" s="42"/>
      <c r="S1148" s="90">
        <f t="shared" si="144"/>
        <v>108.99999999999808</v>
      </c>
      <c r="T1148" s="42"/>
      <c r="U1148" s="42"/>
      <c r="V1148" s="42"/>
      <c r="W1148" s="42"/>
      <c r="X1148" s="81"/>
    </row>
    <row r="1149" spans="2:24" x14ac:dyDescent="0.25">
      <c r="B1149" s="2">
        <v>1</v>
      </c>
      <c r="C1149" s="1">
        <f t="shared" si="142"/>
        <v>32.176470588235219</v>
      </c>
      <c r="D1149" s="1">
        <f t="shared" si="140"/>
        <v>0</v>
      </c>
      <c r="E1149" s="1">
        <f t="shared" si="143"/>
        <v>1</v>
      </c>
      <c r="F1149" s="31">
        <f t="shared" si="141"/>
        <v>6.4</v>
      </c>
      <c r="G1149" s="31">
        <f t="shared" ca="1" si="137"/>
        <v>0</v>
      </c>
      <c r="H1149" s="30">
        <f t="shared" ca="1" si="138"/>
        <v>6.4</v>
      </c>
      <c r="I1149" s="31">
        <f t="shared" ca="1" si="139"/>
        <v>6.4</v>
      </c>
      <c r="Q1149" s="80"/>
      <c r="R1149" s="42"/>
      <c r="S1149" s="90">
        <f t="shared" si="144"/>
        <v>109.09999999999808</v>
      </c>
      <c r="T1149" s="42"/>
      <c r="U1149" s="42"/>
      <c r="V1149" s="42"/>
      <c r="W1149" s="42"/>
      <c r="X1149" s="81"/>
    </row>
    <row r="1150" spans="2:24" x14ac:dyDescent="0.25">
      <c r="B1150" s="2">
        <v>1</v>
      </c>
      <c r="C1150" s="1">
        <f t="shared" si="142"/>
        <v>33.176470588235219</v>
      </c>
      <c r="D1150" s="1">
        <f t="shared" si="140"/>
        <v>0</v>
      </c>
      <c r="E1150" s="1">
        <f t="shared" si="143"/>
        <v>1</v>
      </c>
      <c r="F1150" s="31">
        <f t="shared" si="141"/>
        <v>6.4</v>
      </c>
      <c r="G1150" s="31">
        <f t="shared" ca="1" si="137"/>
        <v>0</v>
      </c>
      <c r="H1150" s="30">
        <f t="shared" ca="1" si="138"/>
        <v>6.4</v>
      </c>
      <c r="I1150" s="31">
        <f t="shared" ca="1" si="139"/>
        <v>6.4</v>
      </c>
      <c r="Q1150" s="80"/>
      <c r="R1150" s="42"/>
      <c r="S1150" s="90">
        <f t="shared" si="144"/>
        <v>109.19999999999807</v>
      </c>
      <c r="T1150" s="42"/>
      <c r="U1150" s="42"/>
      <c r="V1150" s="42"/>
      <c r="W1150" s="42"/>
      <c r="X1150" s="81"/>
    </row>
    <row r="1151" spans="2:24" x14ac:dyDescent="0.25">
      <c r="B1151" s="2">
        <v>1</v>
      </c>
      <c r="C1151" s="1">
        <f t="shared" si="142"/>
        <v>34.176470588235219</v>
      </c>
      <c r="D1151" s="1">
        <f t="shared" si="140"/>
        <v>0</v>
      </c>
      <c r="E1151" s="1">
        <f t="shared" si="143"/>
        <v>1</v>
      </c>
      <c r="F1151" s="31">
        <f t="shared" si="141"/>
        <v>6.4</v>
      </c>
      <c r="G1151" s="31">
        <f t="shared" ca="1" si="137"/>
        <v>0</v>
      </c>
      <c r="H1151" s="30">
        <f t="shared" ca="1" si="138"/>
        <v>6.4</v>
      </c>
      <c r="I1151" s="31">
        <f t="shared" ca="1" si="139"/>
        <v>6.4</v>
      </c>
      <c r="Q1151" s="80"/>
      <c r="R1151" s="42"/>
      <c r="S1151" s="90">
        <f t="shared" si="144"/>
        <v>109.29999999999806</v>
      </c>
      <c r="T1151" s="42"/>
      <c r="U1151" s="42"/>
      <c r="V1151" s="42"/>
      <c r="W1151" s="42"/>
      <c r="X1151" s="81"/>
    </row>
    <row r="1152" spans="2:24" x14ac:dyDescent="0.25">
      <c r="B1152" s="2">
        <v>1</v>
      </c>
      <c r="C1152" s="1">
        <f t="shared" si="142"/>
        <v>35.176470588235219</v>
      </c>
      <c r="D1152" s="1">
        <f t="shared" si="140"/>
        <v>0</v>
      </c>
      <c r="E1152" s="1">
        <f t="shared" si="143"/>
        <v>1</v>
      </c>
      <c r="F1152" s="31">
        <f t="shared" si="141"/>
        <v>6.4</v>
      </c>
      <c r="G1152" s="31">
        <f t="shared" ca="1" si="137"/>
        <v>0</v>
      </c>
      <c r="H1152" s="30">
        <f t="shared" ca="1" si="138"/>
        <v>6.4</v>
      </c>
      <c r="I1152" s="31">
        <f t="shared" ca="1" si="139"/>
        <v>6.4</v>
      </c>
      <c r="Q1152" s="80"/>
      <c r="R1152" s="42"/>
      <c r="S1152" s="90">
        <f t="shared" si="144"/>
        <v>109.39999999999806</v>
      </c>
      <c r="T1152" s="42"/>
      <c r="U1152" s="42"/>
      <c r="V1152" s="42"/>
      <c r="W1152" s="42"/>
      <c r="X1152" s="81"/>
    </row>
    <row r="1153" spans="2:24" x14ac:dyDescent="0.25">
      <c r="B1153" s="2">
        <v>1</v>
      </c>
      <c r="C1153" s="1">
        <f t="shared" si="142"/>
        <v>0.88235294117639285</v>
      </c>
      <c r="D1153" s="1">
        <f t="shared" si="140"/>
        <v>1</v>
      </c>
      <c r="E1153" s="1">
        <f t="shared" si="143"/>
        <v>0</v>
      </c>
      <c r="F1153" s="31">
        <f t="shared" si="141"/>
        <v>14.6</v>
      </c>
      <c r="G1153" s="31">
        <f t="shared" ca="1" si="137"/>
        <v>6.4</v>
      </c>
      <c r="H1153" s="30">
        <f t="shared" ca="1" si="138"/>
        <v>0</v>
      </c>
      <c r="I1153" s="31">
        <f t="shared" ca="1" si="139"/>
        <v>6.4</v>
      </c>
      <c r="Q1153" s="80"/>
      <c r="R1153" s="42"/>
      <c r="S1153" s="90">
        <f t="shared" si="144"/>
        <v>109.49999999999805</v>
      </c>
      <c r="T1153" s="42"/>
      <c r="U1153" s="42"/>
      <c r="V1153" s="42"/>
      <c r="W1153" s="42"/>
      <c r="X1153" s="81"/>
    </row>
    <row r="1154" spans="2:24" x14ac:dyDescent="0.25">
      <c r="B1154" s="2">
        <v>1</v>
      </c>
      <c r="C1154" s="1">
        <f t="shared" si="142"/>
        <v>1.8823529411763928</v>
      </c>
      <c r="D1154" s="1">
        <f t="shared" si="140"/>
        <v>1</v>
      </c>
      <c r="E1154" s="1">
        <f t="shared" si="143"/>
        <v>0</v>
      </c>
      <c r="F1154" s="31">
        <f t="shared" si="141"/>
        <v>14.6</v>
      </c>
      <c r="G1154" s="31">
        <f t="shared" ca="1" si="137"/>
        <v>8.4500000000000011</v>
      </c>
      <c r="H1154" s="30">
        <f t="shared" ca="1" si="138"/>
        <v>0</v>
      </c>
      <c r="I1154" s="31">
        <f t="shared" ca="1" si="139"/>
        <v>8.4500000000000011</v>
      </c>
      <c r="Q1154" s="80"/>
      <c r="R1154" s="42"/>
      <c r="S1154" s="90">
        <f t="shared" si="144"/>
        <v>109.59999999999805</v>
      </c>
      <c r="T1154" s="42"/>
      <c r="U1154" s="42"/>
      <c r="V1154" s="42"/>
      <c r="W1154" s="42"/>
      <c r="X1154" s="81"/>
    </row>
    <row r="1155" spans="2:24" x14ac:dyDescent="0.25">
      <c r="B1155" s="2">
        <v>1</v>
      </c>
      <c r="C1155" s="1">
        <f t="shared" si="142"/>
        <v>2.8823529411763928</v>
      </c>
      <c r="D1155" s="1">
        <f t="shared" si="140"/>
        <v>1</v>
      </c>
      <c r="E1155" s="1">
        <f t="shared" si="143"/>
        <v>0</v>
      </c>
      <c r="F1155" s="31">
        <f t="shared" si="141"/>
        <v>14.6</v>
      </c>
      <c r="G1155" s="31">
        <f t="shared" ca="1" si="137"/>
        <v>10.5</v>
      </c>
      <c r="H1155" s="30">
        <f t="shared" ca="1" si="138"/>
        <v>0</v>
      </c>
      <c r="I1155" s="31">
        <f t="shared" ca="1" si="139"/>
        <v>10.5</v>
      </c>
      <c r="Q1155" s="80"/>
      <c r="R1155" s="42"/>
      <c r="S1155" s="90">
        <f t="shared" si="144"/>
        <v>109.69999999999804</v>
      </c>
      <c r="T1155" s="42"/>
      <c r="U1155" s="42"/>
      <c r="V1155" s="42"/>
      <c r="W1155" s="42"/>
      <c r="X1155" s="81"/>
    </row>
    <row r="1156" spans="2:24" x14ac:dyDescent="0.25">
      <c r="B1156" s="2">
        <v>1</v>
      </c>
      <c r="C1156" s="1">
        <f t="shared" si="142"/>
        <v>3.8823529411763928</v>
      </c>
      <c r="D1156" s="1">
        <f t="shared" si="140"/>
        <v>1</v>
      </c>
      <c r="E1156" s="1">
        <f t="shared" si="143"/>
        <v>0</v>
      </c>
      <c r="F1156" s="31">
        <f t="shared" si="141"/>
        <v>14.6</v>
      </c>
      <c r="G1156" s="31">
        <f t="shared" ca="1" si="137"/>
        <v>12.55</v>
      </c>
      <c r="H1156" s="30">
        <f t="shared" ca="1" si="138"/>
        <v>0</v>
      </c>
      <c r="I1156" s="31">
        <f t="shared" ca="1" si="139"/>
        <v>12.55</v>
      </c>
      <c r="Q1156" s="80"/>
      <c r="R1156" s="42"/>
      <c r="S1156" s="90">
        <f t="shared" si="144"/>
        <v>109.79999999999804</v>
      </c>
      <c r="T1156" s="42"/>
      <c r="U1156" s="42"/>
      <c r="V1156" s="42"/>
      <c r="W1156" s="42"/>
      <c r="X1156" s="81"/>
    </row>
    <row r="1157" spans="2:24" x14ac:dyDescent="0.25">
      <c r="B1157" s="2">
        <v>1</v>
      </c>
      <c r="C1157" s="1">
        <f t="shared" si="142"/>
        <v>4.8823529411763928</v>
      </c>
      <c r="D1157" s="1">
        <f t="shared" si="140"/>
        <v>1</v>
      </c>
      <c r="E1157" s="1">
        <f t="shared" si="143"/>
        <v>0</v>
      </c>
      <c r="F1157" s="31">
        <f t="shared" si="141"/>
        <v>14.6</v>
      </c>
      <c r="G1157" s="31">
        <f t="shared" ca="1" si="137"/>
        <v>14.6</v>
      </c>
      <c r="H1157" s="30">
        <f t="shared" ca="1" si="138"/>
        <v>0</v>
      </c>
      <c r="I1157" s="31">
        <f t="shared" ca="1" si="139"/>
        <v>14.6</v>
      </c>
      <c r="Q1157" s="80"/>
      <c r="R1157" s="42"/>
      <c r="S1157" s="90">
        <f t="shared" si="144"/>
        <v>109.89999999999803</v>
      </c>
      <c r="T1157" s="42"/>
      <c r="U1157" s="42"/>
      <c r="V1157" s="42"/>
      <c r="W1157" s="42"/>
      <c r="X1157" s="81"/>
    </row>
    <row r="1158" spans="2:24" x14ac:dyDescent="0.25">
      <c r="B1158" s="2">
        <v>1</v>
      </c>
      <c r="C1158" s="1">
        <f t="shared" si="142"/>
        <v>5.8823529411763928</v>
      </c>
      <c r="D1158" s="1">
        <f t="shared" si="140"/>
        <v>1</v>
      </c>
      <c r="E1158" s="1">
        <f t="shared" si="143"/>
        <v>0</v>
      </c>
      <c r="F1158" s="31">
        <f t="shared" si="141"/>
        <v>14.6</v>
      </c>
      <c r="G1158" s="31">
        <f t="shared" ca="1" si="137"/>
        <v>14.6</v>
      </c>
      <c r="H1158" s="30">
        <f t="shared" ca="1" si="138"/>
        <v>0</v>
      </c>
      <c r="I1158" s="31">
        <f t="shared" ca="1" si="139"/>
        <v>14.6</v>
      </c>
      <c r="Q1158" s="80"/>
      <c r="R1158" s="42"/>
      <c r="S1158" s="90">
        <f t="shared" si="144"/>
        <v>109.99999999999802</v>
      </c>
      <c r="T1158" s="42"/>
      <c r="U1158" s="42"/>
      <c r="V1158" s="42"/>
      <c r="W1158" s="42"/>
      <c r="X1158" s="81"/>
    </row>
    <row r="1159" spans="2:24" x14ac:dyDescent="0.25">
      <c r="B1159" s="2">
        <v>1</v>
      </c>
      <c r="C1159" s="1">
        <f t="shared" si="142"/>
        <v>6.8823529411763928</v>
      </c>
      <c r="D1159" s="1">
        <f t="shared" si="140"/>
        <v>1</v>
      </c>
      <c r="E1159" s="1">
        <f t="shared" si="143"/>
        <v>0</v>
      </c>
      <c r="F1159" s="31">
        <f t="shared" si="141"/>
        <v>14.6</v>
      </c>
      <c r="G1159" s="31">
        <f t="shared" ca="1" si="137"/>
        <v>14.6</v>
      </c>
      <c r="H1159" s="30">
        <f t="shared" ca="1" si="138"/>
        <v>0</v>
      </c>
      <c r="I1159" s="31">
        <f t="shared" ca="1" si="139"/>
        <v>14.6</v>
      </c>
      <c r="Q1159" s="80"/>
      <c r="R1159" s="42"/>
      <c r="S1159" s="90">
        <f t="shared" si="144"/>
        <v>110.09999999999802</v>
      </c>
      <c r="T1159" s="42"/>
      <c r="U1159" s="42"/>
      <c r="V1159" s="42"/>
      <c r="W1159" s="42"/>
      <c r="X1159" s="81"/>
    </row>
    <row r="1160" spans="2:24" x14ac:dyDescent="0.25">
      <c r="B1160" s="2">
        <v>1</v>
      </c>
      <c r="C1160" s="1">
        <f t="shared" si="142"/>
        <v>7.8823529411763928</v>
      </c>
      <c r="D1160" s="1">
        <f t="shared" si="140"/>
        <v>1</v>
      </c>
      <c r="E1160" s="1">
        <f t="shared" si="143"/>
        <v>0</v>
      </c>
      <c r="F1160" s="31">
        <f t="shared" si="141"/>
        <v>14.6</v>
      </c>
      <c r="G1160" s="31">
        <f t="shared" ca="1" si="137"/>
        <v>14.6</v>
      </c>
      <c r="H1160" s="30">
        <f t="shared" ca="1" si="138"/>
        <v>0</v>
      </c>
      <c r="I1160" s="31">
        <f t="shared" ca="1" si="139"/>
        <v>14.6</v>
      </c>
      <c r="Q1160" s="80"/>
      <c r="R1160" s="42"/>
      <c r="S1160" s="90">
        <f t="shared" si="144"/>
        <v>110.19999999999801</v>
      </c>
      <c r="T1160" s="42"/>
      <c r="U1160" s="42"/>
      <c r="V1160" s="42"/>
      <c r="W1160" s="42"/>
      <c r="X1160" s="81"/>
    </row>
    <row r="1161" spans="2:24" x14ac:dyDescent="0.25">
      <c r="B1161" s="2">
        <v>1</v>
      </c>
      <c r="C1161" s="1">
        <f t="shared" si="142"/>
        <v>8.8823529411763928</v>
      </c>
      <c r="D1161" s="1">
        <f t="shared" si="140"/>
        <v>1</v>
      </c>
      <c r="E1161" s="1">
        <f t="shared" si="143"/>
        <v>0</v>
      </c>
      <c r="F1161" s="31">
        <f t="shared" si="141"/>
        <v>14.6</v>
      </c>
      <c r="G1161" s="31">
        <f t="shared" ca="1" si="137"/>
        <v>14.6</v>
      </c>
      <c r="H1161" s="30">
        <f t="shared" ca="1" si="138"/>
        <v>0</v>
      </c>
      <c r="I1161" s="31">
        <f t="shared" ca="1" si="139"/>
        <v>14.6</v>
      </c>
      <c r="Q1161" s="80"/>
      <c r="R1161" s="42"/>
      <c r="S1161" s="90">
        <f t="shared" si="144"/>
        <v>110.29999999999801</v>
      </c>
      <c r="T1161" s="42"/>
      <c r="U1161" s="42"/>
      <c r="V1161" s="42"/>
      <c r="W1161" s="42"/>
      <c r="X1161" s="81"/>
    </row>
    <row r="1162" spans="2:24" x14ac:dyDescent="0.25">
      <c r="B1162" s="2">
        <v>1</v>
      </c>
      <c r="C1162" s="1">
        <f t="shared" si="142"/>
        <v>9.8823529411763928</v>
      </c>
      <c r="D1162" s="1">
        <f t="shared" si="140"/>
        <v>1</v>
      </c>
      <c r="E1162" s="1">
        <f t="shared" si="143"/>
        <v>0</v>
      </c>
      <c r="F1162" s="31">
        <f t="shared" si="141"/>
        <v>14.6</v>
      </c>
      <c r="G1162" s="31">
        <f t="shared" ca="1" si="137"/>
        <v>14.6</v>
      </c>
      <c r="H1162" s="30">
        <f t="shared" ca="1" si="138"/>
        <v>0</v>
      </c>
      <c r="I1162" s="31">
        <f t="shared" ca="1" si="139"/>
        <v>14.6</v>
      </c>
      <c r="Q1162" s="80"/>
      <c r="R1162" s="42"/>
      <c r="S1162" s="90">
        <f t="shared" si="144"/>
        <v>110.399999999998</v>
      </c>
      <c r="T1162" s="42"/>
      <c r="U1162" s="42"/>
      <c r="V1162" s="42"/>
      <c r="W1162" s="42"/>
      <c r="X1162" s="81"/>
    </row>
    <row r="1163" spans="2:24" x14ac:dyDescent="0.25">
      <c r="B1163" s="2">
        <v>1</v>
      </c>
      <c r="C1163" s="1">
        <f t="shared" si="142"/>
        <v>10.882352941176393</v>
      </c>
      <c r="D1163" s="1">
        <f t="shared" si="140"/>
        <v>1</v>
      </c>
      <c r="E1163" s="1">
        <f t="shared" si="143"/>
        <v>0</v>
      </c>
      <c r="F1163" s="31">
        <f t="shared" si="141"/>
        <v>14.6</v>
      </c>
      <c r="G1163" s="31">
        <f t="shared" ref="G1163:G1226" ca="1" si="145">IF(D1163=1, AVERAGE(OFFSET(F1163,-$L$27,0,$L$27,1)),0)</f>
        <v>14.6</v>
      </c>
      <c r="H1163" s="30">
        <f t="shared" ref="H1163:H1226" ca="1" si="146">IF(D1163=0, AVERAGE(OFFSET(F1163,-$L$28,0,$L$28,1)),0)</f>
        <v>0</v>
      </c>
      <c r="I1163" s="31">
        <f t="shared" ref="I1163:I1226" ca="1" si="147">G1163+H1163</f>
        <v>14.6</v>
      </c>
      <c r="Q1163" s="80"/>
      <c r="R1163" s="42"/>
      <c r="S1163" s="90">
        <f t="shared" si="144"/>
        <v>110.499999999998</v>
      </c>
      <c r="T1163" s="42"/>
      <c r="U1163" s="42"/>
      <c r="V1163" s="42"/>
      <c r="W1163" s="42"/>
      <c r="X1163" s="81"/>
    </row>
    <row r="1164" spans="2:24" x14ac:dyDescent="0.25">
      <c r="B1164" s="2">
        <v>1</v>
      </c>
      <c r="C1164" s="1">
        <f t="shared" si="142"/>
        <v>11.882352941176393</v>
      </c>
      <c r="D1164" s="1">
        <f t="shared" si="140"/>
        <v>1</v>
      </c>
      <c r="E1164" s="1">
        <f t="shared" si="143"/>
        <v>0</v>
      </c>
      <c r="F1164" s="31">
        <f t="shared" si="141"/>
        <v>14.6</v>
      </c>
      <c r="G1164" s="31">
        <f t="shared" ca="1" si="145"/>
        <v>14.6</v>
      </c>
      <c r="H1164" s="30">
        <f t="shared" ca="1" si="146"/>
        <v>0</v>
      </c>
      <c r="I1164" s="31">
        <f t="shared" ca="1" si="147"/>
        <v>14.6</v>
      </c>
      <c r="Q1164" s="80"/>
      <c r="R1164" s="42"/>
      <c r="S1164" s="90">
        <f t="shared" si="144"/>
        <v>110.59999999999799</v>
      </c>
      <c r="T1164" s="42"/>
      <c r="U1164" s="42"/>
      <c r="V1164" s="42"/>
      <c r="W1164" s="42"/>
      <c r="X1164" s="81"/>
    </row>
    <row r="1165" spans="2:24" x14ac:dyDescent="0.25">
      <c r="B1165" s="2">
        <v>1</v>
      </c>
      <c r="C1165" s="1">
        <f t="shared" si="142"/>
        <v>12.882352941176393</v>
      </c>
      <c r="D1165" s="1">
        <f t="shared" si="140"/>
        <v>1</v>
      </c>
      <c r="E1165" s="1">
        <f t="shared" si="143"/>
        <v>0</v>
      </c>
      <c r="F1165" s="31">
        <f t="shared" si="141"/>
        <v>14.6</v>
      </c>
      <c r="G1165" s="31">
        <f t="shared" ca="1" si="145"/>
        <v>14.6</v>
      </c>
      <c r="H1165" s="30">
        <f t="shared" ca="1" si="146"/>
        <v>0</v>
      </c>
      <c r="I1165" s="31">
        <f t="shared" ca="1" si="147"/>
        <v>14.6</v>
      </c>
      <c r="Q1165" s="80"/>
      <c r="R1165" s="42"/>
      <c r="S1165" s="90">
        <f t="shared" si="144"/>
        <v>110.69999999999798</v>
      </c>
      <c r="T1165" s="42"/>
      <c r="U1165" s="42"/>
      <c r="V1165" s="42"/>
      <c r="W1165" s="42"/>
      <c r="X1165" s="81"/>
    </row>
    <row r="1166" spans="2:24" x14ac:dyDescent="0.25">
      <c r="B1166" s="2">
        <v>1</v>
      </c>
      <c r="C1166" s="1">
        <f t="shared" si="142"/>
        <v>13.882352941176393</v>
      </c>
      <c r="D1166" s="1">
        <f t="shared" si="140"/>
        <v>1</v>
      </c>
      <c r="E1166" s="1">
        <f t="shared" si="143"/>
        <v>0</v>
      </c>
      <c r="F1166" s="31">
        <f t="shared" si="141"/>
        <v>14.6</v>
      </c>
      <c r="G1166" s="31">
        <f t="shared" ca="1" si="145"/>
        <v>14.6</v>
      </c>
      <c r="H1166" s="30">
        <f t="shared" ca="1" si="146"/>
        <v>0</v>
      </c>
      <c r="I1166" s="31">
        <f t="shared" ca="1" si="147"/>
        <v>14.6</v>
      </c>
      <c r="Q1166" s="80"/>
      <c r="R1166" s="42"/>
      <c r="S1166" s="90">
        <f t="shared" si="144"/>
        <v>110.79999999999798</v>
      </c>
      <c r="T1166" s="42"/>
      <c r="U1166" s="42"/>
      <c r="V1166" s="42"/>
      <c r="W1166" s="42"/>
      <c r="X1166" s="81"/>
    </row>
    <row r="1167" spans="2:24" x14ac:dyDescent="0.25">
      <c r="B1167" s="2">
        <v>1</v>
      </c>
      <c r="C1167" s="1">
        <f t="shared" si="142"/>
        <v>14.882352941176393</v>
      </c>
      <c r="D1167" s="1">
        <f t="shared" si="140"/>
        <v>1</v>
      </c>
      <c r="E1167" s="1">
        <f t="shared" si="143"/>
        <v>0</v>
      </c>
      <c r="F1167" s="31">
        <f t="shared" si="141"/>
        <v>14.6</v>
      </c>
      <c r="G1167" s="31">
        <f t="shared" ca="1" si="145"/>
        <v>14.6</v>
      </c>
      <c r="H1167" s="30">
        <f t="shared" ca="1" si="146"/>
        <v>0</v>
      </c>
      <c r="I1167" s="31">
        <f t="shared" ca="1" si="147"/>
        <v>14.6</v>
      </c>
      <c r="Q1167" s="80"/>
      <c r="R1167" s="42"/>
      <c r="S1167" s="90">
        <f t="shared" si="144"/>
        <v>110.89999999999797</v>
      </c>
      <c r="T1167" s="42"/>
      <c r="U1167" s="42"/>
      <c r="V1167" s="42"/>
      <c r="W1167" s="42"/>
      <c r="X1167" s="81"/>
    </row>
    <row r="1168" spans="2:24" x14ac:dyDescent="0.25">
      <c r="B1168" s="2">
        <v>1</v>
      </c>
      <c r="C1168" s="1">
        <f t="shared" si="142"/>
        <v>15.882352941176393</v>
      </c>
      <c r="D1168" s="1">
        <f t="shared" si="140"/>
        <v>1</v>
      </c>
      <c r="E1168" s="1">
        <f t="shared" si="143"/>
        <v>0</v>
      </c>
      <c r="F1168" s="31">
        <f t="shared" si="141"/>
        <v>14.6</v>
      </c>
      <c r="G1168" s="31">
        <f t="shared" ca="1" si="145"/>
        <v>14.6</v>
      </c>
      <c r="H1168" s="30">
        <f t="shared" ca="1" si="146"/>
        <v>0</v>
      </c>
      <c r="I1168" s="31">
        <f t="shared" ca="1" si="147"/>
        <v>14.6</v>
      </c>
      <c r="Q1168" s="80"/>
      <c r="R1168" s="42"/>
      <c r="S1168" s="90">
        <f t="shared" si="144"/>
        <v>110.99999999999797</v>
      </c>
      <c r="T1168" s="42"/>
      <c r="U1168" s="42"/>
      <c r="V1168" s="42"/>
      <c r="W1168" s="42"/>
      <c r="X1168" s="81"/>
    </row>
    <row r="1169" spans="2:24" x14ac:dyDescent="0.25">
      <c r="B1169" s="2">
        <v>1</v>
      </c>
      <c r="C1169" s="1">
        <f t="shared" si="142"/>
        <v>16.882352941176393</v>
      </c>
      <c r="D1169" s="1">
        <f t="shared" si="140"/>
        <v>1</v>
      </c>
      <c r="E1169" s="1">
        <f t="shared" si="143"/>
        <v>0</v>
      </c>
      <c r="F1169" s="31">
        <f t="shared" si="141"/>
        <v>14.6</v>
      </c>
      <c r="G1169" s="31">
        <f t="shared" ca="1" si="145"/>
        <v>14.6</v>
      </c>
      <c r="H1169" s="30">
        <f t="shared" ca="1" si="146"/>
        <v>0</v>
      </c>
      <c r="I1169" s="31">
        <f t="shared" ca="1" si="147"/>
        <v>14.6</v>
      </c>
      <c r="Q1169" s="80"/>
      <c r="R1169" s="42"/>
      <c r="S1169" s="90">
        <f t="shared" si="144"/>
        <v>111.09999999999796</v>
      </c>
      <c r="T1169" s="42"/>
      <c r="U1169" s="42"/>
      <c r="V1169" s="42"/>
      <c r="W1169" s="42"/>
      <c r="X1169" s="81"/>
    </row>
    <row r="1170" spans="2:24" x14ac:dyDescent="0.25">
      <c r="B1170" s="2">
        <v>1</v>
      </c>
      <c r="C1170" s="1">
        <f t="shared" si="142"/>
        <v>17.882352941176393</v>
      </c>
      <c r="D1170" s="1">
        <f t="shared" si="140"/>
        <v>1</v>
      </c>
      <c r="E1170" s="1">
        <f t="shared" si="143"/>
        <v>0</v>
      </c>
      <c r="F1170" s="31">
        <f t="shared" si="141"/>
        <v>14.6</v>
      </c>
      <c r="G1170" s="31">
        <f t="shared" ca="1" si="145"/>
        <v>14.6</v>
      </c>
      <c r="H1170" s="30">
        <f t="shared" ca="1" si="146"/>
        <v>0</v>
      </c>
      <c r="I1170" s="31">
        <f t="shared" ca="1" si="147"/>
        <v>14.6</v>
      </c>
      <c r="Q1170" s="80"/>
      <c r="R1170" s="42"/>
      <c r="S1170" s="90">
        <f t="shared" si="144"/>
        <v>111.19999999999796</v>
      </c>
      <c r="T1170" s="42"/>
      <c r="U1170" s="42"/>
      <c r="V1170" s="42"/>
      <c r="W1170" s="42"/>
      <c r="X1170" s="81"/>
    </row>
    <row r="1171" spans="2:24" x14ac:dyDescent="0.25">
      <c r="B1171" s="2">
        <v>1</v>
      </c>
      <c r="C1171" s="1">
        <f t="shared" si="142"/>
        <v>18.882352941176393</v>
      </c>
      <c r="D1171" s="1">
        <f t="shared" si="140"/>
        <v>1</v>
      </c>
      <c r="E1171" s="1">
        <f t="shared" si="143"/>
        <v>0</v>
      </c>
      <c r="F1171" s="31">
        <f t="shared" si="141"/>
        <v>14.6</v>
      </c>
      <c r="G1171" s="31">
        <f t="shared" ca="1" si="145"/>
        <v>14.6</v>
      </c>
      <c r="H1171" s="30">
        <f t="shared" ca="1" si="146"/>
        <v>0</v>
      </c>
      <c r="I1171" s="31">
        <f t="shared" ca="1" si="147"/>
        <v>14.6</v>
      </c>
      <c r="Q1171" s="80"/>
      <c r="R1171" s="42"/>
      <c r="S1171" s="90">
        <f t="shared" si="144"/>
        <v>111.29999999999795</v>
      </c>
      <c r="T1171" s="42"/>
      <c r="U1171" s="42"/>
      <c r="V1171" s="42"/>
      <c r="W1171" s="42"/>
      <c r="X1171" s="81"/>
    </row>
    <row r="1172" spans="2:24" x14ac:dyDescent="0.25">
      <c r="B1172" s="2">
        <v>1</v>
      </c>
      <c r="C1172" s="1">
        <f t="shared" si="142"/>
        <v>19.882352941176393</v>
      </c>
      <c r="D1172" s="1">
        <f t="shared" si="140"/>
        <v>1</v>
      </c>
      <c r="E1172" s="1">
        <f t="shared" si="143"/>
        <v>0</v>
      </c>
      <c r="F1172" s="31">
        <f t="shared" si="141"/>
        <v>14.6</v>
      </c>
      <c r="G1172" s="31">
        <f t="shared" ca="1" si="145"/>
        <v>14.6</v>
      </c>
      <c r="H1172" s="30">
        <f t="shared" ca="1" si="146"/>
        <v>0</v>
      </c>
      <c r="I1172" s="31">
        <f t="shared" ca="1" si="147"/>
        <v>14.6</v>
      </c>
      <c r="Q1172" s="80"/>
      <c r="R1172" s="42"/>
      <c r="S1172" s="90">
        <f t="shared" si="144"/>
        <v>111.39999999999795</v>
      </c>
      <c r="T1172" s="42"/>
      <c r="U1172" s="42"/>
      <c r="V1172" s="42"/>
      <c r="W1172" s="42"/>
      <c r="X1172" s="81"/>
    </row>
    <row r="1173" spans="2:24" x14ac:dyDescent="0.25">
      <c r="B1173" s="2">
        <v>1</v>
      </c>
      <c r="C1173" s="1">
        <f t="shared" si="142"/>
        <v>20.882352941176393</v>
      </c>
      <c r="D1173" s="1">
        <f t="shared" si="140"/>
        <v>1</v>
      </c>
      <c r="E1173" s="1">
        <f t="shared" si="143"/>
        <v>0</v>
      </c>
      <c r="F1173" s="31">
        <f t="shared" si="141"/>
        <v>14.6</v>
      </c>
      <c r="G1173" s="31">
        <f t="shared" ca="1" si="145"/>
        <v>14.6</v>
      </c>
      <c r="H1173" s="30">
        <f t="shared" ca="1" si="146"/>
        <v>0</v>
      </c>
      <c r="I1173" s="31">
        <f t="shared" ca="1" si="147"/>
        <v>14.6</v>
      </c>
      <c r="Q1173" s="80"/>
      <c r="R1173" s="42"/>
      <c r="S1173" s="90">
        <f t="shared" si="144"/>
        <v>111.49999999999794</v>
      </c>
      <c r="T1173" s="42"/>
      <c r="U1173" s="42"/>
      <c r="V1173" s="42"/>
      <c r="W1173" s="42"/>
      <c r="X1173" s="81"/>
    </row>
    <row r="1174" spans="2:24" x14ac:dyDescent="0.25">
      <c r="B1174" s="2">
        <v>1</v>
      </c>
      <c r="C1174" s="1">
        <f t="shared" si="142"/>
        <v>21.882352941176393</v>
      </c>
      <c r="D1174" s="1">
        <f t="shared" si="140"/>
        <v>1</v>
      </c>
      <c r="E1174" s="1">
        <f t="shared" si="143"/>
        <v>0</v>
      </c>
      <c r="F1174" s="31">
        <f t="shared" si="141"/>
        <v>14.6</v>
      </c>
      <c r="G1174" s="31">
        <f t="shared" ca="1" si="145"/>
        <v>14.6</v>
      </c>
      <c r="H1174" s="30">
        <f t="shared" ca="1" si="146"/>
        <v>0</v>
      </c>
      <c r="I1174" s="31">
        <f t="shared" ca="1" si="147"/>
        <v>14.6</v>
      </c>
      <c r="Q1174" s="80"/>
      <c r="R1174" s="42"/>
      <c r="S1174" s="90">
        <f t="shared" si="144"/>
        <v>111.59999999999793</v>
      </c>
      <c r="T1174" s="42"/>
      <c r="U1174" s="42"/>
      <c r="V1174" s="42"/>
      <c r="W1174" s="42"/>
      <c r="X1174" s="81"/>
    </row>
    <row r="1175" spans="2:24" x14ac:dyDescent="0.25">
      <c r="B1175" s="2">
        <v>1</v>
      </c>
      <c r="C1175" s="1">
        <f t="shared" si="142"/>
        <v>22.882352941176393</v>
      </c>
      <c r="D1175" s="1">
        <f t="shared" si="140"/>
        <v>0</v>
      </c>
      <c r="E1175" s="1">
        <f t="shared" si="143"/>
        <v>1</v>
      </c>
      <c r="F1175" s="31">
        <f t="shared" si="141"/>
        <v>6.4</v>
      </c>
      <c r="G1175" s="31">
        <f t="shared" ca="1" si="145"/>
        <v>0</v>
      </c>
      <c r="H1175" s="30">
        <f t="shared" ca="1" si="146"/>
        <v>14.6</v>
      </c>
      <c r="I1175" s="31">
        <f t="shared" ca="1" si="147"/>
        <v>14.6</v>
      </c>
      <c r="Q1175" s="80"/>
      <c r="R1175" s="42"/>
      <c r="S1175" s="90">
        <f t="shared" si="144"/>
        <v>111.69999999999793</v>
      </c>
      <c r="T1175" s="42"/>
      <c r="U1175" s="42"/>
      <c r="V1175" s="42"/>
      <c r="W1175" s="42"/>
      <c r="X1175" s="81"/>
    </row>
    <row r="1176" spans="2:24" x14ac:dyDescent="0.25">
      <c r="B1176" s="2">
        <v>1</v>
      </c>
      <c r="C1176" s="1">
        <f t="shared" si="142"/>
        <v>23.882352941176393</v>
      </c>
      <c r="D1176" s="1">
        <f t="shared" si="140"/>
        <v>0</v>
      </c>
      <c r="E1176" s="1">
        <f t="shared" si="143"/>
        <v>1</v>
      </c>
      <c r="F1176" s="31">
        <f t="shared" si="141"/>
        <v>6.4</v>
      </c>
      <c r="G1176" s="31">
        <f t="shared" ca="1" si="145"/>
        <v>0</v>
      </c>
      <c r="H1176" s="30">
        <f t="shared" ca="1" si="146"/>
        <v>6.4</v>
      </c>
      <c r="I1176" s="31">
        <f t="shared" ca="1" si="147"/>
        <v>6.4</v>
      </c>
      <c r="Q1176" s="80"/>
      <c r="R1176" s="42"/>
      <c r="S1176" s="90">
        <f t="shared" si="144"/>
        <v>111.79999999999792</v>
      </c>
      <c r="T1176" s="42"/>
      <c r="U1176" s="42"/>
      <c r="V1176" s="42"/>
      <c r="W1176" s="42"/>
      <c r="X1176" s="81"/>
    </row>
    <row r="1177" spans="2:24" x14ac:dyDescent="0.25">
      <c r="B1177" s="2">
        <v>1</v>
      </c>
      <c r="C1177" s="1">
        <f t="shared" si="142"/>
        <v>24.882352941176393</v>
      </c>
      <c r="D1177" s="1">
        <f t="shared" si="140"/>
        <v>0</v>
      </c>
      <c r="E1177" s="1">
        <f t="shared" si="143"/>
        <v>1</v>
      </c>
      <c r="F1177" s="31">
        <f t="shared" si="141"/>
        <v>6.4</v>
      </c>
      <c r="G1177" s="31">
        <f t="shared" ca="1" si="145"/>
        <v>0</v>
      </c>
      <c r="H1177" s="30">
        <f t="shared" ca="1" si="146"/>
        <v>6.4</v>
      </c>
      <c r="I1177" s="31">
        <f t="shared" ca="1" si="147"/>
        <v>6.4</v>
      </c>
      <c r="Q1177" s="80"/>
      <c r="R1177" s="42"/>
      <c r="S1177" s="90">
        <f t="shared" si="144"/>
        <v>111.89999999999792</v>
      </c>
      <c r="T1177" s="42"/>
      <c r="U1177" s="42"/>
      <c r="V1177" s="42"/>
      <c r="W1177" s="42"/>
      <c r="X1177" s="81"/>
    </row>
    <row r="1178" spans="2:24" x14ac:dyDescent="0.25">
      <c r="B1178" s="2">
        <v>1</v>
      </c>
      <c r="C1178" s="1">
        <f t="shared" si="142"/>
        <v>25.882352941176393</v>
      </c>
      <c r="D1178" s="1">
        <f t="shared" si="140"/>
        <v>0</v>
      </c>
      <c r="E1178" s="1">
        <f t="shared" si="143"/>
        <v>1</v>
      </c>
      <c r="F1178" s="31">
        <f t="shared" si="141"/>
        <v>6.4</v>
      </c>
      <c r="G1178" s="31">
        <f t="shared" ca="1" si="145"/>
        <v>0</v>
      </c>
      <c r="H1178" s="30">
        <f t="shared" ca="1" si="146"/>
        <v>6.4</v>
      </c>
      <c r="I1178" s="31">
        <f t="shared" ca="1" si="147"/>
        <v>6.4</v>
      </c>
      <c r="Q1178" s="80"/>
      <c r="R1178" s="42"/>
      <c r="S1178" s="90">
        <f t="shared" si="144"/>
        <v>111.99999999999791</v>
      </c>
      <c r="T1178" s="42"/>
      <c r="U1178" s="42"/>
      <c r="V1178" s="42"/>
      <c r="W1178" s="42"/>
      <c r="X1178" s="81"/>
    </row>
    <row r="1179" spans="2:24" x14ac:dyDescent="0.25">
      <c r="B1179" s="2">
        <v>1</v>
      </c>
      <c r="C1179" s="1">
        <f t="shared" si="142"/>
        <v>26.882352941176393</v>
      </c>
      <c r="D1179" s="1">
        <f t="shared" si="140"/>
        <v>0</v>
      </c>
      <c r="E1179" s="1">
        <f t="shared" si="143"/>
        <v>1</v>
      </c>
      <c r="F1179" s="31">
        <f t="shared" si="141"/>
        <v>6.4</v>
      </c>
      <c r="G1179" s="31">
        <f t="shared" ca="1" si="145"/>
        <v>0</v>
      </c>
      <c r="H1179" s="30">
        <f t="shared" ca="1" si="146"/>
        <v>6.4</v>
      </c>
      <c r="I1179" s="31">
        <f t="shared" ca="1" si="147"/>
        <v>6.4</v>
      </c>
      <c r="Q1179" s="80"/>
      <c r="R1179" s="42"/>
      <c r="S1179" s="90">
        <f t="shared" si="144"/>
        <v>112.09999999999791</v>
      </c>
      <c r="T1179" s="42"/>
      <c r="U1179" s="42"/>
      <c r="V1179" s="42"/>
      <c r="W1179" s="42"/>
      <c r="X1179" s="81"/>
    </row>
    <row r="1180" spans="2:24" x14ac:dyDescent="0.25">
      <c r="B1180" s="2">
        <v>1</v>
      </c>
      <c r="C1180" s="1">
        <f t="shared" si="142"/>
        <v>27.882352941176393</v>
      </c>
      <c r="D1180" s="1">
        <f t="shared" si="140"/>
        <v>0</v>
      </c>
      <c r="E1180" s="1">
        <f t="shared" si="143"/>
        <v>1</v>
      </c>
      <c r="F1180" s="31">
        <f t="shared" si="141"/>
        <v>6.4</v>
      </c>
      <c r="G1180" s="31">
        <f t="shared" ca="1" si="145"/>
        <v>0</v>
      </c>
      <c r="H1180" s="30">
        <f t="shared" ca="1" si="146"/>
        <v>6.4</v>
      </c>
      <c r="I1180" s="31">
        <f t="shared" ca="1" si="147"/>
        <v>6.4</v>
      </c>
      <c r="Q1180" s="80"/>
      <c r="R1180" s="42"/>
      <c r="S1180" s="90">
        <f t="shared" si="144"/>
        <v>112.1999999999979</v>
      </c>
      <c r="T1180" s="42"/>
      <c r="U1180" s="42"/>
      <c r="V1180" s="42"/>
      <c r="W1180" s="42"/>
      <c r="X1180" s="81"/>
    </row>
    <row r="1181" spans="2:24" x14ac:dyDescent="0.25">
      <c r="B1181" s="2">
        <v>1</v>
      </c>
      <c r="C1181" s="1">
        <f t="shared" si="142"/>
        <v>28.882352941176393</v>
      </c>
      <c r="D1181" s="1">
        <f t="shared" si="140"/>
        <v>0</v>
      </c>
      <c r="E1181" s="1">
        <f t="shared" si="143"/>
        <v>1</v>
      </c>
      <c r="F1181" s="31">
        <f t="shared" si="141"/>
        <v>6.4</v>
      </c>
      <c r="G1181" s="31">
        <f t="shared" ca="1" si="145"/>
        <v>0</v>
      </c>
      <c r="H1181" s="30">
        <f t="shared" ca="1" si="146"/>
        <v>6.4</v>
      </c>
      <c r="I1181" s="31">
        <f t="shared" ca="1" si="147"/>
        <v>6.4</v>
      </c>
      <c r="Q1181" s="80"/>
      <c r="R1181" s="42"/>
      <c r="S1181" s="90">
        <f t="shared" si="144"/>
        <v>112.29999999999789</v>
      </c>
      <c r="T1181" s="42"/>
      <c r="U1181" s="42"/>
      <c r="V1181" s="42"/>
      <c r="W1181" s="42"/>
      <c r="X1181" s="81"/>
    </row>
    <row r="1182" spans="2:24" x14ac:dyDescent="0.25">
      <c r="B1182" s="2">
        <v>1</v>
      </c>
      <c r="C1182" s="1">
        <f t="shared" si="142"/>
        <v>29.882352941176393</v>
      </c>
      <c r="D1182" s="1">
        <f t="shared" si="140"/>
        <v>0</v>
      </c>
      <c r="E1182" s="1">
        <f t="shared" si="143"/>
        <v>1</v>
      </c>
      <c r="F1182" s="31">
        <f t="shared" si="141"/>
        <v>6.4</v>
      </c>
      <c r="G1182" s="31">
        <f t="shared" ca="1" si="145"/>
        <v>0</v>
      </c>
      <c r="H1182" s="30">
        <f t="shared" ca="1" si="146"/>
        <v>6.4</v>
      </c>
      <c r="I1182" s="31">
        <f t="shared" ca="1" si="147"/>
        <v>6.4</v>
      </c>
      <c r="Q1182" s="80"/>
      <c r="R1182" s="42"/>
      <c r="S1182" s="90">
        <f t="shared" si="144"/>
        <v>112.39999999999789</v>
      </c>
      <c r="T1182" s="42"/>
      <c r="U1182" s="42"/>
      <c r="V1182" s="42"/>
      <c r="W1182" s="42"/>
      <c r="X1182" s="81"/>
    </row>
    <row r="1183" spans="2:24" x14ac:dyDescent="0.25">
      <c r="B1183" s="2">
        <v>1</v>
      </c>
      <c r="C1183" s="1">
        <f t="shared" si="142"/>
        <v>30.882352941176393</v>
      </c>
      <c r="D1183" s="1">
        <f t="shared" si="140"/>
        <v>0</v>
      </c>
      <c r="E1183" s="1">
        <f t="shared" si="143"/>
        <v>1</v>
      </c>
      <c r="F1183" s="31">
        <f t="shared" si="141"/>
        <v>6.4</v>
      </c>
      <c r="G1183" s="31">
        <f t="shared" ca="1" si="145"/>
        <v>0</v>
      </c>
      <c r="H1183" s="30">
        <f t="shared" ca="1" si="146"/>
        <v>6.4</v>
      </c>
      <c r="I1183" s="31">
        <f t="shared" ca="1" si="147"/>
        <v>6.4</v>
      </c>
      <c r="Q1183" s="80"/>
      <c r="R1183" s="42"/>
      <c r="S1183" s="90">
        <f t="shared" si="144"/>
        <v>112.49999999999788</v>
      </c>
      <c r="T1183" s="42"/>
      <c r="U1183" s="42"/>
      <c r="V1183" s="42"/>
      <c r="W1183" s="42"/>
      <c r="X1183" s="81"/>
    </row>
    <row r="1184" spans="2:24" x14ac:dyDescent="0.25">
      <c r="B1184" s="2">
        <v>1</v>
      </c>
      <c r="C1184" s="1">
        <f t="shared" si="142"/>
        <v>31.882352941176393</v>
      </c>
      <c r="D1184" s="1">
        <f t="shared" si="140"/>
        <v>0</v>
      </c>
      <c r="E1184" s="1">
        <f t="shared" si="143"/>
        <v>1</v>
      </c>
      <c r="F1184" s="31">
        <f t="shared" si="141"/>
        <v>6.4</v>
      </c>
      <c r="G1184" s="31">
        <f t="shared" ca="1" si="145"/>
        <v>0</v>
      </c>
      <c r="H1184" s="30">
        <f t="shared" ca="1" si="146"/>
        <v>6.4</v>
      </c>
      <c r="I1184" s="31">
        <f t="shared" ca="1" si="147"/>
        <v>6.4</v>
      </c>
      <c r="Q1184" s="80"/>
      <c r="R1184" s="42"/>
      <c r="S1184" s="90">
        <f t="shared" si="144"/>
        <v>112.59999999999788</v>
      </c>
      <c r="T1184" s="42"/>
      <c r="U1184" s="42"/>
      <c r="V1184" s="42"/>
      <c r="W1184" s="42"/>
      <c r="X1184" s="81"/>
    </row>
    <row r="1185" spans="2:24" x14ac:dyDescent="0.25">
      <c r="B1185" s="2">
        <v>1</v>
      </c>
      <c r="C1185" s="1">
        <f t="shared" si="142"/>
        <v>32.882352941176393</v>
      </c>
      <c r="D1185" s="1">
        <f t="shared" si="140"/>
        <v>0</v>
      </c>
      <c r="E1185" s="1">
        <f t="shared" si="143"/>
        <v>1</v>
      </c>
      <c r="F1185" s="31">
        <f t="shared" si="141"/>
        <v>6.4</v>
      </c>
      <c r="G1185" s="31">
        <f t="shared" ca="1" si="145"/>
        <v>0</v>
      </c>
      <c r="H1185" s="30">
        <f t="shared" ca="1" si="146"/>
        <v>6.4</v>
      </c>
      <c r="I1185" s="31">
        <f t="shared" ca="1" si="147"/>
        <v>6.4</v>
      </c>
      <c r="Q1185" s="80"/>
      <c r="R1185" s="42"/>
      <c r="S1185" s="90">
        <f t="shared" si="144"/>
        <v>112.69999999999787</v>
      </c>
      <c r="T1185" s="42"/>
      <c r="U1185" s="42"/>
      <c r="V1185" s="42"/>
      <c r="W1185" s="42"/>
      <c r="X1185" s="81"/>
    </row>
    <row r="1186" spans="2:24" x14ac:dyDescent="0.25">
      <c r="B1186" s="2">
        <v>1</v>
      </c>
      <c r="C1186" s="1">
        <f t="shared" si="142"/>
        <v>33.882352941176393</v>
      </c>
      <c r="D1186" s="1">
        <f t="shared" si="140"/>
        <v>0</v>
      </c>
      <c r="E1186" s="1">
        <f t="shared" si="143"/>
        <v>1</v>
      </c>
      <c r="F1186" s="31">
        <f t="shared" si="141"/>
        <v>6.4</v>
      </c>
      <c r="G1186" s="31">
        <f t="shared" ca="1" si="145"/>
        <v>0</v>
      </c>
      <c r="H1186" s="30">
        <f t="shared" ca="1" si="146"/>
        <v>6.4</v>
      </c>
      <c r="I1186" s="31">
        <f t="shared" ca="1" si="147"/>
        <v>6.4</v>
      </c>
      <c r="Q1186" s="80"/>
      <c r="R1186" s="42"/>
      <c r="S1186" s="90">
        <f t="shared" si="144"/>
        <v>112.79999999999787</v>
      </c>
      <c r="T1186" s="42"/>
      <c r="U1186" s="42"/>
      <c r="V1186" s="42"/>
      <c r="W1186" s="42"/>
      <c r="X1186" s="81"/>
    </row>
    <row r="1187" spans="2:24" x14ac:dyDescent="0.25">
      <c r="B1187" s="2">
        <v>1</v>
      </c>
      <c r="C1187" s="1">
        <f t="shared" si="142"/>
        <v>34.882352941176393</v>
      </c>
      <c r="D1187" s="1">
        <f t="shared" si="140"/>
        <v>0</v>
      </c>
      <c r="E1187" s="1">
        <f t="shared" si="143"/>
        <v>1</v>
      </c>
      <c r="F1187" s="31">
        <f t="shared" si="141"/>
        <v>6.4</v>
      </c>
      <c r="G1187" s="31">
        <f t="shared" ca="1" si="145"/>
        <v>0</v>
      </c>
      <c r="H1187" s="30">
        <f t="shared" ca="1" si="146"/>
        <v>6.4</v>
      </c>
      <c r="I1187" s="31">
        <f t="shared" ca="1" si="147"/>
        <v>6.4</v>
      </c>
      <c r="Q1187" s="80"/>
      <c r="R1187" s="42"/>
      <c r="S1187" s="90">
        <f t="shared" si="144"/>
        <v>112.89999999999786</v>
      </c>
      <c r="T1187" s="42"/>
      <c r="U1187" s="42"/>
      <c r="V1187" s="42"/>
      <c r="W1187" s="42"/>
      <c r="X1187" s="81"/>
    </row>
    <row r="1188" spans="2:24" x14ac:dyDescent="0.25">
      <c r="B1188" s="2">
        <v>1</v>
      </c>
      <c r="C1188" s="1">
        <f t="shared" si="142"/>
        <v>0.58823529411756681</v>
      </c>
      <c r="D1188" s="1">
        <f t="shared" si="140"/>
        <v>1</v>
      </c>
      <c r="E1188" s="1">
        <f t="shared" si="143"/>
        <v>0</v>
      </c>
      <c r="F1188" s="31">
        <f t="shared" si="141"/>
        <v>14.6</v>
      </c>
      <c r="G1188" s="31">
        <f t="shared" ca="1" si="145"/>
        <v>6.4</v>
      </c>
      <c r="H1188" s="30">
        <f t="shared" ca="1" si="146"/>
        <v>0</v>
      </c>
      <c r="I1188" s="31">
        <f t="shared" ca="1" si="147"/>
        <v>6.4</v>
      </c>
      <c r="Q1188" s="80"/>
      <c r="R1188" s="42"/>
      <c r="S1188" s="90">
        <f t="shared" si="144"/>
        <v>112.99999999999785</v>
      </c>
      <c r="T1188" s="42"/>
      <c r="U1188" s="42"/>
      <c r="V1188" s="42"/>
      <c r="W1188" s="42"/>
      <c r="X1188" s="81"/>
    </row>
    <row r="1189" spans="2:24" x14ac:dyDescent="0.25">
      <c r="B1189" s="2">
        <v>1</v>
      </c>
      <c r="C1189" s="1">
        <f t="shared" si="142"/>
        <v>1.5882352941175668</v>
      </c>
      <c r="D1189" s="1">
        <f t="shared" si="140"/>
        <v>1</v>
      </c>
      <c r="E1189" s="1">
        <f t="shared" si="143"/>
        <v>0</v>
      </c>
      <c r="F1189" s="31">
        <f t="shared" si="141"/>
        <v>14.6</v>
      </c>
      <c r="G1189" s="31">
        <f t="shared" ca="1" si="145"/>
        <v>8.4500000000000011</v>
      </c>
      <c r="H1189" s="30">
        <f t="shared" ca="1" si="146"/>
        <v>0</v>
      </c>
      <c r="I1189" s="31">
        <f t="shared" ca="1" si="147"/>
        <v>8.4500000000000011</v>
      </c>
      <c r="Q1189" s="80"/>
      <c r="R1189" s="42"/>
      <c r="S1189" s="90">
        <f t="shared" si="144"/>
        <v>113.09999999999785</v>
      </c>
      <c r="T1189" s="42"/>
      <c r="U1189" s="42"/>
      <c r="V1189" s="42"/>
      <c r="W1189" s="42"/>
      <c r="X1189" s="81"/>
    </row>
    <row r="1190" spans="2:24" x14ac:dyDescent="0.25">
      <c r="B1190" s="2">
        <v>1</v>
      </c>
      <c r="C1190" s="1">
        <f t="shared" si="142"/>
        <v>2.5882352941175668</v>
      </c>
      <c r="D1190" s="1">
        <f t="shared" si="140"/>
        <v>1</v>
      </c>
      <c r="E1190" s="1">
        <f t="shared" si="143"/>
        <v>0</v>
      </c>
      <c r="F1190" s="31">
        <f t="shared" si="141"/>
        <v>14.6</v>
      </c>
      <c r="G1190" s="31">
        <f t="shared" ca="1" si="145"/>
        <v>10.5</v>
      </c>
      <c r="H1190" s="30">
        <f t="shared" ca="1" si="146"/>
        <v>0</v>
      </c>
      <c r="I1190" s="31">
        <f t="shared" ca="1" si="147"/>
        <v>10.5</v>
      </c>
      <c r="Q1190" s="80"/>
      <c r="R1190" s="42"/>
      <c r="S1190" s="90">
        <f t="shared" si="144"/>
        <v>113.19999999999784</v>
      </c>
      <c r="T1190" s="42"/>
      <c r="U1190" s="42"/>
      <c r="V1190" s="42"/>
      <c r="W1190" s="42"/>
      <c r="X1190" s="81"/>
    </row>
    <row r="1191" spans="2:24" x14ac:dyDescent="0.25">
      <c r="B1191" s="2">
        <v>1</v>
      </c>
      <c r="C1191" s="1">
        <f t="shared" si="142"/>
        <v>3.5882352941175668</v>
      </c>
      <c r="D1191" s="1">
        <f t="shared" si="140"/>
        <v>1</v>
      </c>
      <c r="E1191" s="1">
        <f t="shared" si="143"/>
        <v>0</v>
      </c>
      <c r="F1191" s="31">
        <f t="shared" si="141"/>
        <v>14.6</v>
      </c>
      <c r="G1191" s="31">
        <f t="shared" ca="1" si="145"/>
        <v>12.55</v>
      </c>
      <c r="H1191" s="30">
        <f t="shared" ca="1" si="146"/>
        <v>0</v>
      </c>
      <c r="I1191" s="31">
        <f t="shared" ca="1" si="147"/>
        <v>12.55</v>
      </c>
      <c r="Q1191" s="80"/>
      <c r="R1191" s="42"/>
      <c r="S1191" s="90">
        <f t="shared" si="144"/>
        <v>113.29999999999784</v>
      </c>
      <c r="T1191" s="42"/>
      <c r="U1191" s="42"/>
      <c r="V1191" s="42"/>
      <c r="W1191" s="42"/>
      <c r="X1191" s="81"/>
    </row>
    <row r="1192" spans="2:24" x14ac:dyDescent="0.25">
      <c r="B1192" s="2">
        <v>1</v>
      </c>
      <c r="C1192" s="1">
        <f t="shared" si="142"/>
        <v>4.5882352941175668</v>
      </c>
      <c r="D1192" s="1">
        <f t="shared" si="140"/>
        <v>1</v>
      </c>
      <c r="E1192" s="1">
        <f t="shared" si="143"/>
        <v>0</v>
      </c>
      <c r="F1192" s="31">
        <f t="shared" si="141"/>
        <v>14.6</v>
      </c>
      <c r="G1192" s="31">
        <f t="shared" ca="1" si="145"/>
        <v>14.6</v>
      </c>
      <c r="H1192" s="30">
        <f t="shared" ca="1" si="146"/>
        <v>0</v>
      </c>
      <c r="I1192" s="31">
        <f t="shared" ca="1" si="147"/>
        <v>14.6</v>
      </c>
      <c r="Q1192" s="80"/>
      <c r="R1192" s="42"/>
      <c r="S1192" s="90">
        <f t="shared" si="144"/>
        <v>113.39999999999783</v>
      </c>
      <c r="T1192" s="42"/>
      <c r="U1192" s="42"/>
      <c r="V1192" s="42"/>
      <c r="W1192" s="42"/>
      <c r="X1192" s="81"/>
    </row>
    <row r="1193" spans="2:24" x14ac:dyDescent="0.25">
      <c r="B1193" s="2">
        <v>1</v>
      </c>
      <c r="C1193" s="1">
        <f t="shared" si="142"/>
        <v>5.5882352941175668</v>
      </c>
      <c r="D1193" s="1">
        <f t="shared" si="140"/>
        <v>1</v>
      </c>
      <c r="E1193" s="1">
        <f t="shared" si="143"/>
        <v>0</v>
      </c>
      <c r="F1193" s="31">
        <f t="shared" si="141"/>
        <v>14.6</v>
      </c>
      <c r="G1193" s="31">
        <f t="shared" ca="1" si="145"/>
        <v>14.6</v>
      </c>
      <c r="H1193" s="30">
        <f t="shared" ca="1" si="146"/>
        <v>0</v>
      </c>
      <c r="I1193" s="31">
        <f t="shared" ca="1" si="147"/>
        <v>14.6</v>
      </c>
      <c r="Q1193" s="80"/>
      <c r="R1193" s="42"/>
      <c r="S1193" s="90">
        <f t="shared" si="144"/>
        <v>113.49999999999783</v>
      </c>
      <c r="T1193" s="42"/>
      <c r="U1193" s="42"/>
      <c r="V1193" s="42"/>
      <c r="W1193" s="42"/>
      <c r="X1193" s="81"/>
    </row>
    <row r="1194" spans="2:24" x14ac:dyDescent="0.25">
      <c r="B1194" s="2">
        <v>1</v>
      </c>
      <c r="C1194" s="1">
        <f t="shared" si="142"/>
        <v>6.5882352941175668</v>
      </c>
      <c r="D1194" s="1">
        <f t="shared" si="140"/>
        <v>1</v>
      </c>
      <c r="E1194" s="1">
        <f t="shared" si="143"/>
        <v>0</v>
      </c>
      <c r="F1194" s="31">
        <f t="shared" si="141"/>
        <v>14.6</v>
      </c>
      <c r="G1194" s="31">
        <f t="shared" ca="1" si="145"/>
        <v>14.6</v>
      </c>
      <c r="H1194" s="30">
        <f t="shared" ca="1" si="146"/>
        <v>0</v>
      </c>
      <c r="I1194" s="31">
        <f t="shared" ca="1" si="147"/>
        <v>14.6</v>
      </c>
      <c r="Q1194" s="80"/>
      <c r="R1194" s="42"/>
      <c r="S1194" s="90">
        <f t="shared" si="144"/>
        <v>113.59999999999782</v>
      </c>
      <c r="T1194" s="42"/>
      <c r="U1194" s="42"/>
      <c r="V1194" s="42"/>
      <c r="W1194" s="42"/>
      <c r="X1194" s="81"/>
    </row>
    <row r="1195" spans="2:24" x14ac:dyDescent="0.25">
      <c r="B1195" s="2">
        <v>1</v>
      </c>
      <c r="C1195" s="1">
        <f t="shared" si="142"/>
        <v>7.5882352941175668</v>
      </c>
      <c r="D1195" s="1">
        <f t="shared" si="140"/>
        <v>1</v>
      </c>
      <c r="E1195" s="1">
        <f t="shared" si="143"/>
        <v>0</v>
      </c>
      <c r="F1195" s="31">
        <f t="shared" si="141"/>
        <v>14.6</v>
      </c>
      <c r="G1195" s="31">
        <f t="shared" ca="1" si="145"/>
        <v>14.6</v>
      </c>
      <c r="H1195" s="30">
        <f t="shared" ca="1" si="146"/>
        <v>0</v>
      </c>
      <c r="I1195" s="31">
        <f t="shared" ca="1" si="147"/>
        <v>14.6</v>
      </c>
      <c r="Q1195" s="80"/>
      <c r="R1195" s="42"/>
      <c r="S1195" s="90">
        <f t="shared" si="144"/>
        <v>113.69999999999781</v>
      </c>
      <c r="T1195" s="42"/>
      <c r="U1195" s="42"/>
      <c r="V1195" s="42"/>
      <c r="W1195" s="42"/>
      <c r="X1195" s="81"/>
    </row>
    <row r="1196" spans="2:24" x14ac:dyDescent="0.25">
      <c r="B1196" s="2">
        <v>1</v>
      </c>
      <c r="C1196" s="1">
        <f t="shared" si="142"/>
        <v>8.5882352941175668</v>
      </c>
      <c r="D1196" s="1">
        <f t="shared" si="140"/>
        <v>1</v>
      </c>
      <c r="E1196" s="1">
        <f t="shared" si="143"/>
        <v>0</v>
      </c>
      <c r="F1196" s="31">
        <f t="shared" si="141"/>
        <v>14.6</v>
      </c>
      <c r="G1196" s="31">
        <f t="shared" ca="1" si="145"/>
        <v>14.6</v>
      </c>
      <c r="H1196" s="30">
        <f t="shared" ca="1" si="146"/>
        <v>0</v>
      </c>
      <c r="I1196" s="31">
        <f t="shared" ca="1" si="147"/>
        <v>14.6</v>
      </c>
      <c r="Q1196" s="80"/>
      <c r="R1196" s="42"/>
      <c r="S1196" s="90">
        <f t="shared" si="144"/>
        <v>113.79999999999781</v>
      </c>
      <c r="T1196" s="42"/>
      <c r="U1196" s="42"/>
      <c r="V1196" s="42"/>
      <c r="W1196" s="42"/>
      <c r="X1196" s="81"/>
    </row>
    <row r="1197" spans="2:24" x14ac:dyDescent="0.25">
      <c r="B1197" s="2">
        <v>1</v>
      </c>
      <c r="C1197" s="1">
        <f t="shared" si="142"/>
        <v>9.5882352941175668</v>
      </c>
      <c r="D1197" s="1">
        <f t="shared" si="140"/>
        <v>1</v>
      </c>
      <c r="E1197" s="1">
        <f t="shared" si="143"/>
        <v>0</v>
      </c>
      <c r="F1197" s="31">
        <f t="shared" si="141"/>
        <v>14.6</v>
      </c>
      <c r="G1197" s="31">
        <f t="shared" ca="1" si="145"/>
        <v>14.6</v>
      </c>
      <c r="H1197" s="30">
        <f t="shared" ca="1" si="146"/>
        <v>0</v>
      </c>
      <c r="I1197" s="31">
        <f t="shared" ca="1" si="147"/>
        <v>14.6</v>
      </c>
      <c r="Q1197" s="80"/>
      <c r="R1197" s="42"/>
      <c r="S1197" s="90">
        <f t="shared" si="144"/>
        <v>113.8999999999978</v>
      </c>
      <c r="T1197" s="42"/>
      <c r="U1197" s="42"/>
      <c r="V1197" s="42"/>
      <c r="W1197" s="42"/>
      <c r="X1197" s="81"/>
    </row>
    <row r="1198" spans="2:24" x14ac:dyDescent="0.25">
      <c r="B1198" s="2">
        <v>1</v>
      </c>
      <c r="C1198" s="1">
        <f t="shared" si="142"/>
        <v>10.588235294117567</v>
      </c>
      <c r="D1198" s="1">
        <f t="shared" si="140"/>
        <v>1</v>
      </c>
      <c r="E1198" s="1">
        <f t="shared" si="143"/>
        <v>0</v>
      </c>
      <c r="F1198" s="31">
        <f t="shared" si="141"/>
        <v>14.6</v>
      </c>
      <c r="G1198" s="31">
        <f t="shared" ca="1" si="145"/>
        <v>14.6</v>
      </c>
      <c r="H1198" s="30">
        <f t="shared" ca="1" si="146"/>
        <v>0</v>
      </c>
      <c r="I1198" s="31">
        <f t="shared" ca="1" si="147"/>
        <v>14.6</v>
      </c>
      <c r="Q1198" s="80"/>
      <c r="R1198" s="42"/>
      <c r="S1198" s="90">
        <f t="shared" si="144"/>
        <v>113.9999999999978</v>
      </c>
      <c r="T1198" s="42"/>
      <c r="U1198" s="42"/>
      <c r="V1198" s="42"/>
      <c r="W1198" s="42"/>
      <c r="X1198" s="81"/>
    </row>
    <row r="1199" spans="2:24" x14ac:dyDescent="0.25">
      <c r="B1199" s="2">
        <v>1</v>
      </c>
      <c r="C1199" s="1">
        <f t="shared" si="142"/>
        <v>11.588235294117567</v>
      </c>
      <c r="D1199" s="1">
        <f t="shared" si="140"/>
        <v>1</v>
      </c>
      <c r="E1199" s="1">
        <f t="shared" si="143"/>
        <v>0</v>
      </c>
      <c r="F1199" s="31">
        <f t="shared" si="141"/>
        <v>14.6</v>
      </c>
      <c r="G1199" s="31">
        <f t="shared" ca="1" si="145"/>
        <v>14.6</v>
      </c>
      <c r="H1199" s="30">
        <f t="shared" ca="1" si="146"/>
        <v>0</v>
      </c>
      <c r="I1199" s="31">
        <f t="shared" ca="1" si="147"/>
        <v>14.6</v>
      </c>
      <c r="Q1199" s="80"/>
      <c r="R1199" s="42"/>
      <c r="S1199" s="90">
        <f t="shared" si="144"/>
        <v>114.09999999999779</v>
      </c>
      <c r="T1199" s="42"/>
      <c r="U1199" s="42"/>
      <c r="V1199" s="42"/>
      <c r="W1199" s="42"/>
      <c r="X1199" s="81"/>
    </row>
    <row r="1200" spans="2:24" x14ac:dyDescent="0.25">
      <c r="B1200" s="2">
        <v>1</v>
      </c>
      <c r="C1200" s="1">
        <f t="shared" si="142"/>
        <v>12.588235294117567</v>
      </c>
      <c r="D1200" s="1">
        <f t="shared" si="140"/>
        <v>1</v>
      </c>
      <c r="E1200" s="1">
        <f t="shared" si="143"/>
        <v>0</v>
      </c>
      <c r="F1200" s="31">
        <f t="shared" si="141"/>
        <v>14.6</v>
      </c>
      <c r="G1200" s="31">
        <f t="shared" ca="1" si="145"/>
        <v>14.6</v>
      </c>
      <c r="H1200" s="30">
        <f t="shared" ca="1" si="146"/>
        <v>0</v>
      </c>
      <c r="I1200" s="31">
        <f t="shared" ca="1" si="147"/>
        <v>14.6</v>
      </c>
      <c r="Q1200" s="80"/>
      <c r="R1200" s="42"/>
      <c r="S1200" s="90">
        <f t="shared" si="144"/>
        <v>114.19999999999779</v>
      </c>
      <c r="T1200" s="42"/>
      <c r="U1200" s="42"/>
      <c r="V1200" s="42"/>
      <c r="W1200" s="42"/>
      <c r="X1200" s="81"/>
    </row>
    <row r="1201" spans="2:24" x14ac:dyDescent="0.25">
      <c r="B1201" s="2">
        <v>1</v>
      </c>
      <c r="C1201" s="1">
        <f t="shared" si="142"/>
        <v>13.588235294117567</v>
      </c>
      <c r="D1201" s="1">
        <f t="shared" si="140"/>
        <v>1</v>
      </c>
      <c r="E1201" s="1">
        <f t="shared" si="143"/>
        <v>0</v>
      </c>
      <c r="F1201" s="31">
        <f t="shared" si="141"/>
        <v>14.6</v>
      </c>
      <c r="G1201" s="31">
        <f t="shared" ca="1" si="145"/>
        <v>14.6</v>
      </c>
      <c r="H1201" s="30">
        <f t="shared" ca="1" si="146"/>
        <v>0</v>
      </c>
      <c r="I1201" s="31">
        <f t="shared" ca="1" si="147"/>
        <v>14.6</v>
      </c>
      <c r="Q1201" s="80"/>
      <c r="R1201" s="42"/>
      <c r="S1201" s="90">
        <f t="shared" si="144"/>
        <v>114.29999999999778</v>
      </c>
      <c r="T1201" s="42"/>
      <c r="U1201" s="42"/>
      <c r="V1201" s="42"/>
      <c r="W1201" s="42"/>
      <c r="X1201" s="81"/>
    </row>
    <row r="1202" spans="2:24" x14ac:dyDescent="0.25">
      <c r="B1202" s="2">
        <v>1</v>
      </c>
      <c r="C1202" s="1">
        <f t="shared" si="142"/>
        <v>14.588235294117567</v>
      </c>
      <c r="D1202" s="1">
        <f t="shared" si="140"/>
        <v>1</v>
      </c>
      <c r="E1202" s="1">
        <f t="shared" si="143"/>
        <v>0</v>
      </c>
      <c r="F1202" s="31">
        <f t="shared" si="141"/>
        <v>14.6</v>
      </c>
      <c r="G1202" s="31">
        <f t="shared" ca="1" si="145"/>
        <v>14.6</v>
      </c>
      <c r="H1202" s="30">
        <f t="shared" ca="1" si="146"/>
        <v>0</v>
      </c>
      <c r="I1202" s="31">
        <f t="shared" ca="1" si="147"/>
        <v>14.6</v>
      </c>
      <c r="Q1202" s="80"/>
      <c r="R1202" s="42"/>
      <c r="S1202" s="90">
        <f t="shared" si="144"/>
        <v>114.39999999999777</v>
      </c>
      <c r="T1202" s="42"/>
      <c r="U1202" s="42"/>
      <c r="V1202" s="42"/>
      <c r="W1202" s="42"/>
      <c r="X1202" s="81"/>
    </row>
    <row r="1203" spans="2:24" x14ac:dyDescent="0.25">
      <c r="B1203" s="2">
        <v>1</v>
      </c>
      <c r="C1203" s="1">
        <f t="shared" si="142"/>
        <v>15.588235294117567</v>
      </c>
      <c r="D1203" s="1">
        <f t="shared" si="140"/>
        <v>1</v>
      </c>
      <c r="E1203" s="1">
        <f t="shared" si="143"/>
        <v>0</v>
      </c>
      <c r="F1203" s="31">
        <f t="shared" si="141"/>
        <v>14.6</v>
      </c>
      <c r="G1203" s="31">
        <f t="shared" ca="1" si="145"/>
        <v>14.6</v>
      </c>
      <c r="H1203" s="30">
        <f t="shared" ca="1" si="146"/>
        <v>0</v>
      </c>
      <c r="I1203" s="31">
        <f t="shared" ca="1" si="147"/>
        <v>14.6</v>
      </c>
      <c r="Q1203" s="80"/>
      <c r="R1203" s="42"/>
      <c r="S1203" s="90">
        <f t="shared" si="144"/>
        <v>114.49999999999777</v>
      </c>
      <c r="T1203" s="42"/>
      <c r="U1203" s="42"/>
      <c r="V1203" s="42"/>
      <c r="W1203" s="42"/>
      <c r="X1203" s="81"/>
    </row>
    <row r="1204" spans="2:24" x14ac:dyDescent="0.25">
      <c r="B1204" s="2">
        <v>1</v>
      </c>
      <c r="C1204" s="1">
        <f t="shared" si="142"/>
        <v>16.588235294117567</v>
      </c>
      <c r="D1204" s="1">
        <f t="shared" si="140"/>
        <v>1</v>
      </c>
      <c r="E1204" s="1">
        <f t="shared" si="143"/>
        <v>0</v>
      </c>
      <c r="F1204" s="31">
        <f t="shared" si="141"/>
        <v>14.6</v>
      </c>
      <c r="G1204" s="31">
        <f t="shared" ca="1" si="145"/>
        <v>14.6</v>
      </c>
      <c r="H1204" s="30">
        <f t="shared" ca="1" si="146"/>
        <v>0</v>
      </c>
      <c r="I1204" s="31">
        <f t="shared" ca="1" si="147"/>
        <v>14.6</v>
      </c>
      <c r="Q1204" s="80"/>
      <c r="R1204" s="42"/>
      <c r="S1204" s="90">
        <f t="shared" si="144"/>
        <v>114.59999999999776</v>
      </c>
      <c r="T1204" s="42"/>
      <c r="U1204" s="42"/>
      <c r="V1204" s="42"/>
      <c r="W1204" s="42"/>
      <c r="X1204" s="81"/>
    </row>
    <row r="1205" spans="2:24" x14ac:dyDescent="0.25">
      <c r="B1205" s="2">
        <v>1</v>
      </c>
      <c r="C1205" s="1">
        <f t="shared" si="142"/>
        <v>17.588235294117567</v>
      </c>
      <c r="D1205" s="1">
        <f t="shared" si="140"/>
        <v>1</v>
      </c>
      <c r="E1205" s="1">
        <f t="shared" si="143"/>
        <v>0</v>
      </c>
      <c r="F1205" s="31">
        <f t="shared" si="141"/>
        <v>14.6</v>
      </c>
      <c r="G1205" s="31">
        <f t="shared" ca="1" si="145"/>
        <v>14.6</v>
      </c>
      <c r="H1205" s="30">
        <f t="shared" ca="1" si="146"/>
        <v>0</v>
      </c>
      <c r="I1205" s="31">
        <f t="shared" ca="1" si="147"/>
        <v>14.6</v>
      </c>
      <c r="Q1205" s="80"/>
      <c r="R1205" s="42"/>
      <c r="S1205" s="90">
        <f t="shared" si="144"/>
        <v>114.69999999999776</v>
      </c>
      <c r="T1205" s="42"/>
      <c r="U1205" s="42"/>
      <c r="V1205" s="42"/>
      <c r="W1205" s="42"/>
      <c r="X1205" s="81"/>
    </row>
    <row r="1206" spans="2:24" x14ac:dyDescent="0.25">
      <c r="B1206" s="2">
        <v>1</v>
      </c>
      <c r="C1206" s="1">
        <f t="shared" si="142"/>
        <v>18.588235294117567</v>
      </c>
      <c r="D1206" s="1">
        <f t="shared" si="140"/>
        <v>1</v>
      </c>
      <c r="E1206" s="1">
        <f t="shared" si="143"/>
        <v>0</v>
      </c>
      <c r="F1206" s="31">
        <f t="shared" si="141"/>
        <v>14.6</v>
      </c>
      <c r="G1206" s="31">
        <f t="shared" ca="1" si="145"/>
        <v>14.6</v>
      </c>
      <c r="H1206" s="30">
        <f t="shared" ca="1" si="146"/>
        <v>0</v>
      </c>
      <c r="I1206" s="31">
        <f t="shared" ca="1" si="147"/>
        <v>14.6</v>
      </c>
      <c r="Q1206" s="80"/>
      <c r="R1206" s="42"/>
      <c r="S1206" s="90">
        <f t="shared" si="144"/>
        <v>114.79999999999775</v>
      </c>
      <c r="T1206" s="42"/>
      <c r="U1206" s="42"/>
      <c r="V1206" s="42"/>
      <c r="W1206" s="42"/>
      <c r="X1206" s="81"/>
    </row>
    <row r="1207" spans="2:24" x14ac:dyDescent="0.25">
      <c r="B1207" s="2">
        <v>1</v>
      </c>
      <c r="C1207" s="1">
        <f t="shared" si="142"/>
        <v>19.588235294117567</v>
      </c>
      <c r="D1207" s="1">
        <f t="shared" si="140"/>
        <v>1</v>
      </c>
      <c r="E1207" s="1">
        <f t="shared" si="143"/>
        <v>0</v>
      </c>
      <c r="F1207" s="31">
        <f t="shared" si="141"/>
        <v>14.6</v>
      </c>
      <c r="G1207" s="31">
        <f t="shared" ca="1" si="145"/>
        <v>14.6</v>
      </c>
      <c r="H1207" s="30">
        <f t="shared" ca="1" si="146"/>
        <v>0</v>
      </c>
      <c r="I1207" s="31">
        <f t="shared" ca="1" si="147"/>
        <v>14.6</v>
      </c>
      <c r="Q1207" s="80"/>
      <c r="R1207" s="42"/>
      <c r="S1207" s="90">
        <f t="shared" si="144"/>
        <v>114.89999999999775</v>
      </c>
      <c r="T1207" s="42"/>
      <c r="U1207" s="42"/>
      <c r="V1207" s="42"/>
      <c r="W1207" s="42"/>
      <c r="X1207" s="81"/>
    </row>
    <row r="1208" spans="2:24" x14ac:dyDescent="0.25">
      <c r="B1208" s="2">
        <v>1</v>
      </c>
      <c r="C1208" s="1">
        <f t="shared" si="142"/>
        <v>20.588235294117567</v>
      </c>
      <c r="D1208" s="1">
        <f t="shared" si="140"/>
        <v>1</v>
      </c>
      <c r="E1208" s="1">
        <f t="shared" si="143"/>
        <v>0</v>
      </c>
      <c r="F1208" s="31">
        <f t="shared" si="141"/>
        <v>14.6</v>
      </c>
      <c r="G1208" s="31">
        <f t="shared" ca="1" si="145"/>
        <v>14.6</v>
      </c>
      <c r="H1208" s="30">
        <f t="shared" ca="1" si="146"/>
        <v>0</v>
      </c>
      <c r="I1208" s="31">
        <f t="shared" ca="1" si="147"/>
        <v>14.6</v>
      </c>
      <c r="Q1208" s="80"/>
      <c r="R1208" s="42"/>
      <c r="S1208" s="90">
        <f t="shared" si="144"/>
        <v>114.99999999999774</v>
      </c>
      <c r="T1208" s="42"/>
      <c r="U1208" s="42"/>
      <c r="V1208" s="42"/>
      <c r="W1208" s="42"/>
      <c r="X1208" s="81"/>
    </row>
    <row r="1209" spans="2:24" x14ac:dyDescent="0.25">
      <c r="B1209" s="2">
        <v>1</v>
      </c>
      <c r="C1209" s="1">
        <f t="shared" si="142"/>
        <v>21.588235294117567</v>
      </c>
      <c r="D1209" s="1">
        <f t="shared" si="140"/>
        <v>1</v>
      </c>
      <c r="E1209" s="1">
        <f t="shared" si="143"/>
        <v>0</v>
      </c>
      <c r="F1209" s="31">
        <f t="shared" si="141"/>
        <v>14.6</v>
      </c>
      <c r="G1209" s="31">
        <f t="shared" ca="1" si="145"/>
        <v>14.6</v>
      </c>
      <c r="H1209" s="30">
        <f t="shared" ca="1" si="146"/>
        <v>0</v>
      </c>
      <c r="I1209" s="31">
        <f t="shared" ca="1" si="147"/>
        <v>14.6</v>
      </c>
      <c r="Q1209" s="80"/>
      <c r="R1209" s="42"/>
      <c r="S1209" s="90">
        <f t="shared" si="144"/>
        <v>115.09999999999773</v>
      </c>
      <c r="T1209" s="42"/>
      <c r="U1209" s="42"/>
      <c r="V1209" s="42"/>
      <c r="W1209" s="42"/>
      <c r="X1209" s="81"/>
    </row>
    <row r="1210" spans="2:24" x14ac:dyDescent="0.25">
      <c r="B1210" s="2">
        <v>1</v>
      </c>
      <c r="C1210" s="1">
        <f t="shared" si="142"/>
        <v>22.588235294117567</v>
      </c>
      <c r="D1210" s="1">
        <f t="shared" ref="D1210:D1273" si="148">IF(C1210&lt;=Inhelation_Time_RT,1,0)</f>
        <v>1</v>
      </c>
      <c r="E1210" s="1">
        <f t="shared" si="143"/>
        <v>0</v>
      </c>
      <c r="F1210" s="31">
        <f t="shared" ref="F1210:F1273" si="149">(D1210*Inspiratory_pressure_level) + (E1210*PEEP)</f>
        <v>14.6</v>
      </c>
      <c r="G1210" s="31">
        <f t="shared" ca="1" si="145"/>
        <v>14.6</v>
      </c>
      <c r="H1210" s="30">
        <f t="shared" ca="1" si="146"/>
        <v>0</v>
      </c>
      <c r="I1210" s="31">
        <f t="shared" ca="1" si="147"/>
        <v>14.6</v>
      </c>
      <c r="Q1210" s="80"/>
      <c r="R1210" s="42"/>
      <c r="S1210" s="90">
        <f t="shared" si="144"/>
        <v>115.19999999999773</v>
      </c>
      <c r="T1210" s="42"/>
      <c r="U1210" s="42"/>
      <c r="V1210" s="42"/>
      <c r="W1210" s="42"/>
      <c r="X1210" s="81"/>
    </row>
    <row r="1211" spans="2:24" x14ac:dyDescent="0.25">
      <c r="B1211" s="2">
        <v>1</v>
      </c>
      <c r="C1211" s="1">
        <f t="shared" ref="C1211:C1274" si="150">MOD(C1210+B1211,time_for_breath_RT)</f>
        <v>23.588235294117567</v>
      </c>
      <c r="D1211" s="1">
        <f t="shared" si="148"/>
        <v>0</v>
      </c>
      <c r="E1211" s="1">
        <f t="shared" ref="E1211:E1274" si="151">IF(D1211=1,0,1)</f>
        <v>1</v>
      </c>
      <c r="F1211" s="31">
        <f t="shared" si="149"/>
        <v>6.4</v>
      </c>
      <c r="G1211" s="31">
        <f t="shared" ca="1" si="145"/>
        <v>0</v>
      </c>
      <c r="H1211" s="30">
        <f t="shared" ca="1" si="146"/>
        <v>14.6</v>
      </c>
      <c r="I1211" s="31">
        <f t="shared" ca="1" si="147"/>
        <v>14.6</v>
      </c>
      <c r="Q1211" s="80"/>
      <c r="R1211" s="42"/>
      <c r="S1211" s="90">
        <f t="shared" ref="S1211:S1274" si="152">S1210+(B1210 / RTC_to_seconds)</f>
        <v>115.29999999999772</v>
      </c>
      <c r="T1211" s="42"/>
      <c r="U1211" s="42"/>
      <c r="V1211" s="42"/>
      <c r="W1211" s="42"/>
      <c r="X1211" s="81"/>
    </row>
    <row r="1212" spans="2:24" x14ac:dyDescent="0.25">
      <c r="B1212" s="2">
        <v>1</v>
      </c>
      <c r="C1212" s="1">
        <f t="shared" si="150"/>
        <v>24.588235294117567</v>
      </c>
      <c r="D1212" s="1">
        <f t="shared" si="148"/>
        <v>0</v>
      </c>
      <c r="E1212" s="1">
        <f t="shared" si="151"/>
        <v>1</v>
      </c>
      <c r="F1212" s="31">
        <f t="shared" si="149"/>
        <v>6.4</v>
      </c>
      <c r="G1212" s="31">
        <f t="shared" ca="1" si="145"/>
        <v>0</v>
      </c>
      <c r="H1212" s="30">
        <f t="shared" ca="1" si="146"/>
        <v>6.4</v>
      </c>
      <c r="I1212" s="31">
        <f t="shared" ca="1" si="147"/>
        <v>6.4</v>
      </c>
      <c r="Q1212" s="80"/>
      <c r="R1212" s="42"/>
      <c r="S1212" s="90">
        <f t="shared" si="152"/>
        <v>115.39999999999772</v>
      </c>
      <c r="T1212" s="42"/>
      <c r="U1212" s="42"/>
      <c r="V1212" s="42"/>
      <c r="W1212" s="42"/>
      <c r="X1212" s="81"/>
    </row>
    <row r="1213" spans="2:24" x14ac:dyDescent="0.25">
      <c r="B1213" s="2">
        <v>1</v>
      </c>
      <c r="C1213" s="1">
        <f t="shared" si="150"/>
        <v>25.588235294117567</v>
      </c>
      <c r="D1213" s="1">
        <f t="shared" si="148"/>
        <v>0</v>
      </c>
      <c r="E1213" s="1">
        <f t="shared" si="151"/>
        <v>1</v>
      </c>
      <c r="F1213" s="31">
        <f t="shared" si="149"/>
        <v>6.4</v>
      </c>
      <c r="G1213" s="31">
        <f t="shared" ca="1" si="145"/>
        <v>0</v>
      </c>
      <c r="H1213" s="30">
        <f t="shared" ca="1" si="146"/>
        <v>6.4</v>
      </c>
      <c r="I1213" s="31">
        <f t="shared" ca="1" si="147"/>
        <v>6.4</v>
      </c>
      <c r="Q1213" s="80"/>
      <c r="R1213" s="42"/>
      <c r="S1213" s="90">
        <f t="shared" si="152"/>
        <v>115.49999999999771</v>
      </c>
      <c r="T1213" s="42"/>
      <c r="U1213" s="42"/>
      <c r="V1213" s="42"/>
      <c r="W1213" s="42"/>
      <c r="X1213" s="81"/>
    </row>
    <row r="1214" spans="2:24" x14ac:dyDescent="0.25">
      <c r="B1214" s="2">
        <v>1</v>
      </c>
      <c r="C1214" s="1">
        <f t="shared" si="150"/>
        <v>26.588235294117567</v>
      </c>
      <c r="D1214" s="1">
        <f t="shared" si="148"/>
        <v>0</v>
      </c>
      <c r="E1214" s="1">
        <f t="shared" si="151"/>
        <v>1</v>
      </c>
      <c r="F1214" s="31">
        <f t="shared" si="149"/>
        <v>6.4</v>
      </c>
      <c r="G1214" s="31">
        <f t="shared" ca="1" si="145"/>
        <v>0</v>
      </c>
      <c r="H1214" s="30">
        <f t="shared" ca="1" si="146"/>
        <v>6.4</v>
      </c>
      <c r="I1214" s="31">
        <f t="shared" ca="1" si="147"/>
        <v>6.4</v>
      </c>
      <c r="Q1214" s="80"/>
      <c r="R1214" s="42"/>
      <c r="S1214" s="90">
        <f t="shared" si="152"/>
        <v>115.59999999999771</v>
      </c>
      <c r="T1214" s="42"/>
      <c r="U1214" s="42"/>
      <c r="V1214" s="42"/>
      <c r="W1214" s="42"/>
      <c r="X1214" s="81"/>
    </row>
    <row r="1215" spans="2:24" x14ac:dyDescent="0.25">
      <c r="B1215" s="2">
        <v>1</v>
      </c>
      <c r="C1215" s="1">
        <f t="shared" si="150"/>
        <v>27.588235294117567</v>
      </c>
      <c r="D1215" s="1">
        <f t="shared" si="148"/>
        <v>0</v>
      </c>
      <c r="E1215" s="1">
        <f t="shared" si="151"/>
        <v>1</v>
      </c>
      <c r="F1215" s="31">
        <f t="shared" si="149"/>
        <v>6.4</v>
      </c>
      <c r="G1215" s="31">
        <f t="shared" ca="1" si="145"/>
        <v>0</v>
      </c>
      <c r="H1215" s="30">
        <f t="shared" ca="1" si="146"/>
        <v>6.4</v>
      </c>
      <c r="I1215" s="31">
        <f t="shared" ca="1" si="147"/>
        <v>6.4</v>
      </c>
      <c r="Q1215" s="80"/>
      <c r="R1215" s="42"/>
      <c r="S1215" s="90">
        <f t="shared" si="152"/>
        <v>115.6999999999977</v>
      </c>
      <c r="T1215" s="42"/>
      <c r="U1215" s="42"/>
      <c r="V1215" s="42"/>
      <c r="W1215" s="42"/>
      <c r="X1215" s="81"/>
    </row>
    <row r="1216" spans="2:24" x14ac:dyDescent="0.25">
      <c r="B1216" s="2">
        <v>1</v>
      </c>
      <c r="C1216" s="1">
        <f t="shared" si="150"/>
        <v>28.588235294117567</v>
      </c>
      <c r="D1216" s="1">
        <f t="shared" si="148"/>
        <v>0</v>
      </c>
      <c r="E1216" s="1">
        <f t="shared" si="151"/>
        <v>1</v>
      </c>
      <c r="F1216" s="31">
        <f t="shared" si="149"/>
        <v>6.4</v>
      </c>
      <c r="G1216" s="31">
        <f t="shared" ca="1" si="145"/>
        <v>0</v>
      </c>
      <c r="H1216" s="30">
        <f t="shared" ca="1" si="146"/>
        <v>6.4</v>
      </c>
      <c r="I1216" s="31">
        <f t="shared" ca="1" si="147"/>
        <v>6.4</v>
      </c>
      <c r="Q1216" s="80"/>
      <c r="R1216" s="42"/>
      <c r="S1216" s="90">
        <f t="shared" si="152"/>
        <v>115.79999999999769</v>
      </c>
      <c r="T1216" s="42"/>
      <c r="U1216" s="42"/>
      <c r="V1216" s="42"/>
      <c r="W1216" s="42"/>
      <c r="X1216" s="81"/>
    </row>
    <row r="1217" spans="2:24" x14ac:dyDescent="0.25">
      <c r="B1217" s="2">
        <v>1</v>
      </c>
      <c r="C1217" s="1">
        <f t="shared" si="150"/>
        <v>29.588235294117567</v>
      </c>
      <c r="D1217" s="1">
        <f t="shared" si="148"/>
        <v>0</v>
      </c>
      <c r="E1217" s="1">
        <f t="shared" si="151"/>
        <v>1</v>
      </c>
      <c r="F1217" s="31">
        <f t="shared" si="149"/>
        <v>6.4</v>
      </c>
      <c r="G1217" s="31">
        <f t="shared" ca="1" si="145"/>
        <v>0</v>
      </c>
      <c r="H1217" s="30">
        <f t="shared" ca="1" si="146"/>
        <v>6.4</v>
      </c>
      <c r="I1217" s="31">
        <f t="shared" ca="1" si="147"/>
        <v>6.4</v>
      </c>
      <c r="Q1217" s="80"/>
      <c r="R1217" s="42"/>
      <c r="S1217" s="90">
        <f t="shared" si="152"/>
        <v>115.89999999999769</v>
      </c>
      <c r="T1217" s="42"/>
      <c r="U1217" s="42"/>
      <c r="V1217" s="42"/>
      <c r="W1217" s="42"/>
      <c r="X1217" s="81"/>
    </row>
    <row r="1218" spans="2:24" x14ac:dyDescent="0.25">
      <c r="B1218" s="2">
        <v>1</v>
      </c>
      <c r="C1218" s="1">
        <f t="shared" si="150"/>
        <v>30.588235294117567</v>
      </c>
      <c r="D1218" s="1">
        <f t="shared" si="148"/>
        <v>0</v>
      </c>
      <c r="E1218" s="1">
        <f t="shared" si="151"/>
        <v>1</v>
      </c>
      <c r="F1218" s="31">
        <f t="shared" si="149"/>
        <v>6.4</v>
      </c>
      <c r="G1218" s="31">
        <f t="shared" ca="1" si="145"/>
        <v>0</v>
      </c>
      <c r="H1218" s="30">
        <f t="shared" ca="1" si="146"/>
        <v>6.4</v>
      </c>
      <c r="I1218" s="31">
        <f t="shared" ca="1" si="147"/>
        <v>6.4</v>
      </c>
      <c r="Q1218" s="80"/>
      <c r="R1218" s="42"/>
      <c r="S1218" s="90">
        <f t="shared" si="152"/>
        <v>115.99999999999768</v>
      </c>
      <c r="T1218" s="42"/>
      <c r="U1218" s="42"/>
      <c r="V1218" s="42"/>
      <c r="W1218" s="42"/>
      <c r="X1218" s="81"/>
    </row>
    <row r="1219" spans="2:24" x14ac:dyDescent="0.25">
      <c r="B1219" s="2">
        <v>1</v>
      </c>
      <c r="C1219" s="1">
        <f t="shared" si="150"/>
        <v>31.588235294117567</v>
      </c>
      <c r="D1219" s="1">
        <f t="shared" si="148"/>
        <v>0</v>
      </c>
      <c r="E1219" s="1">
        <f t="shared" si="151"/>
        <v>1</v>
      </c>
      <c r="F1219" s="31">
        <f t="shared" si="149"/>
        <v>6.4</v>
      </c>
      <c r="G1219" s="31">
        <f t="shared" ca="1" si="145"/>
        <v>0</v>
      </c>
      <c r="H1219" s="30">
        <f t="shared" ca="1" si="146"/>
        <v>6.4</v>
      </c>
      <c r="I1219" s="31">
        <f t="shared" ca="1" si="147"/>
        <v>6.4</v>
      </c>
      <c r="Q1219" s="80"/>
      <c r="R1219" s="42"/>
      <c r="S1219" s="90">
        <f t="shared" si="152"/>
        <v>116.09999999999768</v>
      </c>
      <c r="T1219" s="42"/>
      <c r="U1219" s="42"/>
      <c r="V1219" s="42"/>
      <c r="W1219" s="42"/>
      <c r="X1219" s="81"/>
    </row>
    <row r="1220" spans="2:24" x14ac:dyDescent="0.25">
      <c r="B1220" s="2">
        <v>1</v>
      </c>
      <c r="C1220" s="1">
        <f t="shared" si="150"/>
        <v>32.588235294117567</v>
      </c>
      <c r="D1220" s="1">
        <f t="shared" si="148"/>
        <v>0</v>
      </c>
      <c r="E1220" s="1">
        <f t="shared" si="151"/>
        <v>1</v>
      </c>
      <c r="F1220" s="31">
        <f t="shared" si="149"/>
        <v>6.4</v>
      </c>
      <c r="G1220" s="31">
        <f t="shared" ca="1" si="145"/>
        <v>0</v>
      </c>
      <c r="H1220" s="30">
        <f t="shared" ca="1" si="146"/>
        <v>6.4</v>
      </c>
      <c r="I1220" s="31">
        <f t="shared" ca="1" si="147"/>
        <v>6.4</v>
      </c>
      <c r="Q1220" s="80"/>
      <c r="R1220" s="42"/>
      <c r="S1220" s="90">
        <f t="shared" si="152"/>
        <v>116.19999999999767</v>
      </c>
      <c r="T1220" s="42"/>
      <c r="U1220" s="42"/>
      <c r="V1220" s="42"/>
      <c r="W1220" s="42"/>
      <c r="X1220" s="81"/>
    </row>
    <row r="1221" spans="2:24" x14ac:dyDescent="0.25">
      <c r="B1221" s="2">
        <v>1</v>
      </c>
      <c r="C1221" s="1">
        <f t="shared" si="150"/>
        <v>33.588235294117567</v>
      </c>
      <c r="D1221" s="1">
        <f t="shared" si="148"/>
        <v>0</v>
      </c>
      <c r="E1221" s="1">
        <f t="shared" si="151"/>
        <v>1</v>
      </c>
      <c r="F1221" s="31">
        <f t="shared" si="149"/>
        <v>6.4</v>
      </c>
      <c r="G1221" s="31">
        <f t="shared" ca="1" si="145"/>
        <v>0</v>
      </c>
      <c r="H1221" s="30">
        <f t="shared" ca="1" si="146"/>
        <v>6.4</v>
      </c>
      <c r="I1221" s="31">
        <f t="shared" ca="1" si="147"/>
        <v>6.4</v>
      </c>
      <c r="Q1221" s="80"/>
      <c r="R1221" s="42"/>
      <c r="S1221" s="90">
        <f t="shared" si="152"/>
        <v>116.29999999999767</v>
      </c>
      <c r="T1221" s="42"/>
      <c r="U1221" s="42"/>
      <c r="V1221" s="42"/>
      <c r="W1221" s="42"/>
      <c r="X1221" s="81"/>
    </row>
    <row r="1222" spans="2:24" x14ac:dyDescent="0.25">
      <c r="B1222" s="2">
        <v>1</v>
      </c>
      <c r="C1222" s="1">
        <f t="shared" si="150"/>
        <v>34.588235294117567</v>
      </c>
      <c r="D1222" s="1">
        <f t="shared" si="148"/>
        <v>0</v>
      </c>
      <c r="E1222" s="1">
        <f t="shared" si="151"/>
        <v>1</v>
      </c>
      <c r="F1222" s="31">
        <f t="shared" si="149"/>
        <v>6.4</v>
      </c>
      <c r="G1222" s="31">
        <f t="shared" ca="1" si="145"/>
        <v>0</v>
      </c>
      <c r="H1222" s="30">
        <f t="shared" ca="1" si="146"/>
        <v>6.4</v>
      </c>
      <c r="I1222" s="31">
        <f t="shared" ca="1" si="147"/>
        <v>6.4</v>
      </c>
      <c r="Q1222" s="80"/>
      <c r="R1222" s="42"/>
      <c r="S1222" s="90">
        <f t="shared" si="152"/>
        <v>116.39999999999766</v>
      </c>
      <c r="T1222" s="42"/>
      <c r="U1222" s="42"/>
      <c r="V1222" s="42"/>
      <c r="W1222" s="42"/>
      <c r="X1222" s="81"/>
    </row>
    <row r="1223" spans="2:24" x14ac:dyDescent="0.25">
      <c r="B1223" s="2">
        <v>1</v>
      </c>
      <c r="C1223" s="1">
        <f t="shared" si="150"/>
        <v>0.29411764705874077</v>
      </c>
      <c r="D1223" s="1">
        <f t="shared" si="148"/>
        <v>1</v>
      </c>
      <c r="E1223" s="1">
        <f t="shared" si="151"/>
        <v>0</v>
      </c>
      <c r="F1223" s="31">
        <f t="shared" si="149"/>
        <v>14.6</v>
      </c>
      <c r="G1223" s="31">
        <f t="shared" ca="1" si="145"/>
        <v>6.4</v>
      </c>
      <c r="H1223" s="30">
        <f t="shared" ca="1" si="146"/>
        <v>0</v>
      </c>
      <c r="I1223" s="31">
        <f t="shared" ca="1" si="147"/>
        <v>6.4</v>
      </c>
      <c r="Q1223" s="80"/>
      <c r="R1223" s="42"/>
      <c r="S1223" s="90">
        <f t="shared" si="152"/>
        <v>116.49999999999766</v>
      </c>
      <c r="T1223" s="42"/>
      <c r="U1223" s="42"/>
      <c r="V1223" s="42"/>
      <c r="W1223" s="42"/>
      <c r="X1223" s="81"/>
    </row>
    <row r="1224" spans="2:24" x14ac:dyDescent="0.25">
      <c r="B1224" s="2">
        <v>1</v>
      </c>
      <c r="C1224" s="1">
        <f t="shared" si="150"/>
        <v>1.2941176470587408</v>
      </c>
      <c r="D1224" s="1">
        <f t="shared" si="148"/>
        <v>1</v>
      </c>
      <c r="E1224" s="1">
        <f t="shared" si="151"/>
        <v>0</v>
      </c>
      <c r="F1224" s="31">
        <f t="shared" si="149"/>
        <v>14.6</v>
      </c>
      <c r="G1224" s="31">
        <f t="shared" ca="1" si="145"/>
        <v>8.4500000000000011</v>
      </c>
      <c r="H1224" s="30">
        <f t="shared" ca="1" si="146"/>
        <v>0</v>
      </c>
      <c r="I1224" s="31">
        <f t="shared" ca="1" si="147"/>
        <v>8.4500000000000011</v>
      </c>
      <c r="Q1224" s="80"/>
      <c r="R1224" s="42"/>
      <c r="S1224" s="90">
        <f t="shared" si="152"/>
        <v>116.59999999999765</v>
      </c>
      <c r="T1224" s="42"/>
      <c r="U1224" s="42"/>
      <c r="V1224" s="42"/>
      <c r="W1224" s="42"/>
      <c r="X1224" s="81"/>
    </row>
    <row r="1225" spans="2:24" x14ac:dyDescent="0.25">
      <c r="B1225" s="2">
        <v>1</v>
      </c>
      <c r="C1225" s="1">
        <f t="shared" si="150"/>
        <v>2.2941176470587408</v>
      </c>
      <c r="D1225" s="1">
        <f t="shared" si="148"/>
        <v>1</v>
      </c>
      <c r="E1225" s="1">
        <f t="shared" si="151"/>
        <v>0</v>
      </c>
      <c r="F1225" s="31">
        <f t="shared" si="149"/>
        <v>14.6</v>
      </c>
      <c r="G1225" s="31">
        <f t="shared" ca="1" si="145"/>
        <v>10.5</v>
      </c>
      <c r="H1225" s="30">
        <f t="shared" ca="1" si="146"/>
        <v>0</v>
      </c>
      <c r="I1225" s="31">
        <f t="shared" ca="1" si="147"/>
        <v>10.5</v>
      </c>
      <c r="Q1225" s="80"/>
      <c r="R1225" s="42"/>
      <c r="S1225" s="90">
        <f t="shared" si="152"/>
        <v>116.69999999999764</v>
      </c>
      <c r="T1225" s="42"/>
      <c r="U1225" s="42"/>
      <c r="V1225" s="42"/>
      <c r="W1225" s="42"/>
      <c r="X1225" s="81"/>
    </row>
    <row r="1226" spans="2:24" x14ac:dyDescent="0.25">
      <c r="B1226" s="2">
        <v>1</v>
      </c>
      <c r="C1226" s="1">
        <f t="shared" si="150"/>
        <v>3.2941176470587408</v>
      </c>
      <c r="D1226" s="1">
        <f t="shared" si="148"/>
        <v>1</v>
      </c>
      <c r="E1226" s="1">
        <f t="shared" si="151"/>
        <v>0</v>
      </c>
      <c r="F1226" s="31">
        <f t="shared" si="149"/>
        <v>14.6</v>
      </c>
      <c r="G1226" s="31">
        <f t="shared" ca="1" si="145"/>
        <v>12.55</v>
      </c>
      <c r="H1226" s="30">
        <f t="shared" ca="1" si="146"/>
        <v>0</v>
      </c>
      <c r="I1226" s="31">
        <f t="shared" ca="1" si="147"/>
        <v>12.55</v>
      </c>
      <c r="Q1226" s="80"/>
      <c r="R1226" s="42"/>
      <c r="S1226" s="90">
        <f t="shared" si="152"/>
        <v>116.79999999999764</v>
      </c>
      <c r="T1226" s="42"/>
      <c r="U1226" s="42"/>
      <c r="V1226" s="42"/>
      <c r="W1226" s="42"/>
      <c r="X1226" s="81"/>
    </row>
    <row r="1227" spans="2:24" x14ac:dyDescent="0.25">
      <c r="B1227" s="2">
        <v>1</v>
      </c>
      <c r="C1227" s="1">
        <f t="shared" si="150"/>
        <v>4.2941176470587408</v>
      </c>
      <c r="D1227" s="1">
        <f t="shared" si="148"/>
        <v>1</v>
      </c>
      <c r="E1227" s="1">
        <f t="shared" si="151"/>
        <v>0</v>
      </c>
      <c r="F1227" s="31">
        <f t="shared" si="149"/>
        <v>14.6</v>
      </c>
      <c r="G1227" s="31">
        <f t="shared" ref="G1227:G1290" ca="1" si="153">IF(D1227=1, AVERAGE(OFFSET(F1227,-$L$27,0,$L$27,1)),0)</f>
        <v>14.6</v>
      </c>
      <c r="H1227" s="30">
        <f t="shared" ref="H1227:H1290" ca="1" si="154">IF(D1227=0, AVERAGE(OFFSET(F1227,-$L$28,0,$L$28,1)),0)</f>
        <v>0</v>
      </c>
      <c r="I1227" s="31">
        <f t="shared" ref="I1227:I1290" ca="1" si="155">G1227+H1227</f>
        <v>14.6</v>
      </c>
      <c r="Q1227" s="80"/>
      <c r="R1227" s="42"/>
      <c r="S1227" s="90">
        <f t="shared" si="152"/>
        <v>116.89999999999763</v>
      </c>
      <c r="T1227" s="42"/>
      <c r="U1227" s="42"/>
      <c r="V1227" s="42"/>
      <c r="W1227" s="42"/>
      <c r="X1227" s="81"/>
    </row>
    <row r="1228" spans="2:24" x14ac:dyDescent="0.25">
      <c r="B1228" s="2">
        <v>1</v>
      </c>
      <c r="C1228" s="1">
        <f t="shared" si="150"/>
        <v>5.2941176470587408</v>
      </c>
      <c r="D1228" s="1">
        <f t="shared" si="148"/>
        <v>1</v>
      </c>
      <c r="E1228" s="1">
        <f t="shared" si="151"/>
        <v>0</v>
      </c>
      <c r="F1228" s="31">
        <f t="shared" si="149"/>
        <v>14.6</v>
      </c>
      <c r="G1228" s="31">
        <f t="shared" ca="1" si="153"/>
        <v>14.6</v>
      </c>
      <c r="H1228" s="30">
        <f t="shared" ca="1" si="154"/>
        <v>0</v>
      </c>
      <c r="I1228" s="31">
        <f t="shared" ca="1" si="155"/>
        <v>14.6</v>
      </c>
      <c r="Q1228" s="80"/>
      <c r="R1228" s="42"/>
      <c r="S1228" s="90">
        <f t="shared" si="152"/>
        <v>116.99999999999763</v>
      </c>
      <c r="T1228" s="42"/>
      <c r="U1228" s="42"/>
      <c r="V1228" s="42"/>
      <c r="W1228" s="42"/>
      <c r="X1228" s="81"/>
    </row>
    <row r="1229" spans="2:24" x14ac:dyDescent="0.25">
      <c r="B1229" s="2">
        <v>1</v>
      </c>
      <c r="C1229" s="1">
        <f t="shared" si="150"/>
        <v>6.2941176470587408</v>
      </c>
      <c r="D1229" s="1">
        <f t="shared" si="148"/>
        <v>1</v>
      </c>
      <c r="E1229" s="1">
        <f t="shared" si="151"/>
        <v>0</v>
      </c>
      <c r="F1229" s="31">
        <f t="shared" si="149"/>
        <v>14.6</v>
      </c>
      <c r="G1229" s="31">
        <f t="shared" ca="1" si="153"/>
        <v>14.6</v>
      </c>
      <c r="H1229" s="30">
        <f t="shared" ca="1" si="154"/>
        <v>0</v>
      </c>
      <c r="I1229" s="31">
        <f t="shared" ca="1" si="155"/>
        <v>14.6</v>
      </c>
      <c r="Q1229" s="80"/>
      <c r="R1229" s="42"/>
      <c r="S1229" s="90">
        <f t="shared" si="152"/>
        <v>117.09999999999762</v>
      </c>
      <c r="T1229" s="42"/>
      <c r="U1229" s="42"/>
      <c r="V1229" s="42"/>
      <c r="W1229" s="42"/>
      <c r="X1229" s="81"/>
    </row>
    <row r="1230" spans="2:24" x14ac:dyDescent="0.25">
      <c r="B1230" s="2">
        <v>1</v>
      </c>
      <c r="C1230" s="1">
        <f t="shared" si="150"/>
        <v>7.2941176470587408</v>
      </c>
      <c r="D1230" s="1">
        <f t="shared" si="148"/>
        <v>1</v>
      </c>
      <c r="E1230" s="1">
        <f t="shared" si="151"/>
        <v>0</v>
      </c>
      <c r="F1230" s="31">
        <f t="shared" si="149"/>
        <v>14.6</v>
      </c>
      <c r="G1230" s="31">
        <f t="shared" ca="1" si="153"/>
        <v>14.6</v>
      </c>
      <c r="H1230" s="30">
        <f t="shared" ca="1" si="154"/>
        <v>0</v>
      </c>
      <c r="I1230" s="31">
        <f t="shared" ca="1" si="155"/>
        <v>14.6</v>
      </c>
      <c r="Q1230" s="80"/>
      <c r="R1230" s="42"/>
      <c r="S1230" s="90">
        <f t="shared" si="152"/>
        <v>117.19999999999762</v>
      </c>
      <c r="T1230" s="42"/>
      <c r="U1230" s="42"/>
      <c r="V1230" s="42"/>
      <c r="W1230" s="42"/>
      <c r="X1230" s="81"/>
    </row>
    <row r="1231" spans="2:24" x14ac:dyDescent="0.25">
      <c r="B1231" s="2">
        <v>1</v>
      </c>
      <c r="C1231" s="1">
        <f t="shared" si="150"/>
        <v>8.2941176470587408</v>
      </c>
      <c r="D1231" s="1">
        <f t="shared" si="148"/>
        <v>1</v>
      </c>
      <c r="E1231" s="1">
        <f t="shared" si="151"/>
        <v>0</v>
      </c>
      <c r="F1231" s="31">
        <f t="shared" si="149"/>
        <v>14.6</v>
      </c>
      <c r="G1231" s="31">
        <f t="shared" ca="1" si="153"/>
        <v>14.6</v>
      </c>
      <c r="H1231" s="30">
        <f t="shared" ca="1" si="154"/>
        <v>0</v>
      </c>
      <c r="I1231" s="31">
        <f t="shared" ca="1" si="155"/>
        <v>14.6</v>
      </c>
      <c r="Q1231" s="80"/>
      <c r="R1231" s="42"/>
      <c r="S1231" s="90">
        <f t="shared" si="152"/>
        <v>117.29999999999761</v>
      </c>
      <c r="T1231" s="42"/>
      <c r="U1231" s="42"/>
      <c r="V1231" s="42"/>
      <c r="W1231" s="42"/>
      <c r="X1231" s="81"/>
    </row>
    <row r="1232" spans="2:24" x14ac:dyDescent="0.25">
      <c r="B1232" s="2">
        <v>1</v>
      </c>
      <c r="C1232" s="1">
        <f t="shared" si="150"/>
        <v>9.2941176470587408</v>
      </c>
      <c r="D1232" s="1">
        <f t="shared" si="148"/>
        <v>1</v>
      </c>
      <c r="E1232" s="1">
        <f t="shared" si="151"/>
        <v>0</v>
      </c>
      <c r="F1232" s="31">
        <f t="shared" si="149"/>
        <v>14.6</v>
      </c>
      <c r="G1232" s="31">
        <f t="shared" ca="1" si="153"/>
        <v>14.6</v>
      </c>
      <c r="H1232" s="30">
        <f t="shared" ca="1" si="154"/>
        <v>0</v>
      </c>
      <c r="I1232" s="31">
        <f t="shared" ca="1" si="155"/>
        <v>14.6</v>
      </c>
      <c r="Q1232" s="80"/>
      <c r="R1232" s="42"/>
      <c r="S1232" s="90">
        <f t="shared" si="152"/>
        <v>117.3999999999976</v>
      </c>
      <c r="T1232" s="42"/>
      <c r="U1232" s="42"/>
      <c r="V1232" s="42"/>
      <c r="W1232" s="42"/>
      <c r="X1232" s="81"/>
    </row>
    <row r="1233" spans="2:24" x14ac:dyDescent="0.25">
      <c r="B1233" s="2">
        <v>1</v>
      </c>
      <c r="C1233" s="1">
        <f t="shared" si="150"/>
        <v>10.294117647058741</v>
      </c>
      <c r="D1233" s="1">
        <f t="shared" si="148"/>
        <v>1</v>
      </c>
      <c r="E1233" s="1">
        <f t="shared" si="151"/>
        <v>0</v>
      </c>
      <c r="F1233" s="31">
        <f t="shared" si="149"/>
        <v>14.6</v>
      </c>
      <c r="G1233" s="31">
        <f t="shared" ca="1" si="153"/>
        <v>14.6</v>
      </c>
      <c r="H1233" s="30">
        <f t="shared" ca="1" si="154"/>
        <v>0</v>
      </c>
      <c r="I1233" s="31">
        <f t="shared" ca="1" si="155"/>
        <v>14.6</v>
      </c>
      <c r="Q1233" s="80"/>
      <c r="R1233" s="42"/>
      <c r="S1233" s="90">
        <f t="shared" si="152"/>
        <v>117.4999999999976</v>
      </c>
      <c r="T1233" s="42"/>
      <c r="U1233" s="42"/>
      <c r="V1233" s="42"/>
      <c r="W1233" s="42"/>
      <c r="X1233" s="81"/>
    </row>
    <row r="1234" spans="2:24" x14ac:dyDescent="0.25">
      <c r="B1234" s="2">
        <v>1</v>
      </c>
      <c r="C1234" s="1">
        <f t="shared" si="150"/>
        <v>11.294117647058741</v>
      </c>
      <c r="D1234" s="1">
        <f t="shared" si="148"/>
        <v>1</v>
      </c>
      <c r="E1234" s="1">
        <f t="shared" si="151"/>
        <v>0</v>
      </c>
      <c r="F1234" s="31">
        <f t="shared" si="149"/>
        <v>14.6</v>
      </c>
      <c r="G1234" s="31">
        <f t="shared" ca="1" si="153"/>
        <v>14.6</v>
      </c>
      <c r="H1234" s="30">
        <f t="shared" ca="1" si="154"/>
        <v>0</v>
      </c>
      <c r="I1234" s="31">
        <f t="shared" ca="1" si="155"/>
        <v>14.6</v>
      </c>
      <c r="Q1234" s="80"/>
      <c r="R1234" s="42"/>
      <c r="S1234" s="90">
        <f t="shared" si="152"/>
        <v>117.59999999999759</v>
      </c>
      <c r="T1234" s="42"/>
      <c r="U1234" s="42"/>
      <c r="V1234" s="42"/>
      <c r="W1234" s="42"/>
      <c r="X1234" s="81"/>
    </row>
    <row r="1235" spans="2:24" x14ac:dyDescent="0.25">
      <c r="B1235" s="2">
        <v>1</v>
      </c>
      <c r="C1235" s="1">
        <f t="shared" si="150"/>
        <v>12.294117647058741</v>
      </c>
      <c r="D1235" s="1">
        <f t="shared" si="148"/>
        <v>1</v>
      </c>
      <c r="E1235" s="1">
        <f t="shared" si="151"/>
        <v>0</v>
      </c>
      <c r="F1235" s="31">
        <f t="shared" si="149"/>
        <v>14.6</v>
      </c>
      <c r="G1235" s="31">
        <f t="shared" ca="1" si="153"/>
        <v>14.6</v>
      </c>
      <c r="H1235" s="30">
        <f t="shared" ca="1" si="154"/>
        <v>0</v>
      </c>
      <c r="I1235" s="31">
        <f t="shared" ca="1" si="155"/>
        <v>14.6</v>
      </c>
      <c r="Q1235" s="80"/>
      <c r="R1235" s="42"/>
      <c r="S1235" s="90">
        <f t="shared" si="152"/>
        <v>117.69999999999759</v>
      </c>
      <c r="T1235" s="42"/>
      <c r="U1235" s="42"/>
      <c r="V1235" s="42"/>
      <c r="W1235" s="42"/>
      <c r="X1235" s="81"/>
    </row>
    <row r="1236" spans="2:24" x14ac:dyDescent="0.25">
      <c r="B1236" s="2">
        <v>1</v>
      </c>
      <c r="C1236" s="1">
        <f t="shared" si="150"/>
        <v>13.294117647058741</v>
      </c>
      <c r="D1236" s="1">
        <f t="shared" si="148"/>
        <v>1</v>
      </c>
      <c r="E1236" s="1">
        <f t="shared" si="151"/>
        <v>0</v>
      </c>
      <c r="F1236" s="31">
        <f t="shared" si="149"/>
        <v>14.6</v>
      </c>
      <c r="G1236" s="31">
        <f t="shared" ca="1" si="153"/>
        <v>14.6</v>
      </c>
      <c r="H1236" s="30">
        <f t="shared" ca="1" si="154"/>
        <v>0</v>
      </c>
      <c r="I1236" s="31">
        <f t="shared" ca="1" si="155"/>
        <v>14.6</v>
      </c>
      <c r="Q1236" s="80"/>
      <c r="R1236" s="42"/>
      <c r="S1236" s="90">
        <f t="shared" si="152"/>
        <v>117.79999999999758</v>
      </c>
      <c r="T1236" s="42"/>
      <c r="U1236" s="42"/>
      <c r="V1236" s="42"/>
      <c r="W1236" s="42"/>
      <c r="X1236" s="81"/>
    </row>
    <row r="1237" spans="2:24" x14ac:dyDescent="0.25">
      <c r="B1237" s="2">
        <v>1</v>
      </c>
      <c r="C1237" s="1">
        <f t="shared" si="150"/>
        <v>14.294117647058741</v>
      </c>
      <c r="D1237" s="1">
        <f t="shared" si="148"/>
        <v>1</v>
      </c>
      <c r="E1237" s="1">
        <f t="shared" si="151"/>
        <v>0</v>
      </c>
      <c r="F1237" s="31">
        <f t="shared" si="149"/>
        <v>14.6</v>
      </c>
      <c r="G1237" s="31">
        <f t="shared" ca="1" si="153"/>
        <v>14.6</v>
      </c>
      <c r="H1237" s="30">
        <f t="shared" ca="1" si="154"/>
        <v>0</v>
      </c>
      <c r="I1237" s="31">
        <f t="shared" ca="1" si="155"/>
        <v>14.6</v>
      </c>
      <c r="Q1237" s="80"/>
      <c r="R1237" s="42"/>
      <c r="S1237" s="90">
        <f t="shared" si="152"/>
        <v>117.89999999999758</v>
      </c>
      <c r="T1237" s="42"/>
      <c r="U1237" s="42"/>
      <c r="V1237" s="42"/>
      <c r="W1237" s="42"/>
      <c r="X1237" s="81"/>
    </row>
    <row r="1238" spans="2:24" x14ac:dyDescent="0.25">
      <c r="B1238" s="2">
        <v>1</v>
      </c>
      <c r="C1238" s="1">
        <f t="shared" si="150"/>
        <v>15.294117647058741</v>
      </c>
      <c r="D1238" s="1">
        <f t="shared" si="148"/>
        <v>1</v>
      </c>
      <c r="E1238" s="1">
        <f t="shared" si="151"/>
        <v>0</v>
      </c>
      <c r="F1238" s="31">
        <f t="shared" si="149"/>
        <v>14.6</v>
      </c>
      <c r="G1238" s="31">
        <f t="shared" ca="1" si="153"/>
        <v>14.6</v>
      </c>
      <c r="H1238" s="30">
        <f t="shared" ca="1" si="154"/>
        <v>0</v>
      </c>
      <c r="I1238" s="31">
        <f t="shared" ca="1" si="155"/>
        <v>14.6</v>
      </c>
      <c r="Q1238" s="80"/>
      <c r="R1238" s="42"/>
      <c r="S1238" s="90">
        <f t="shared" si="152"/>
        <v>117.99999999999757</v>
      </c>
      <c r="T1238" s="42"/>
      <c r="U1238" s="42"/>
      <c r="V1238" s="42"/>
      <c r="W1238" s="42"/>
      <c r="X1238" s="81"/>
    </row>
    <row r="1239" spans="2:24" x14ac:dyDescent="0.25">
      <c r="B1239" s="2">
        <v>1</v>
      </c>
      <c r="C1239" s="1">
        <f t="shared" si="150"/>
        <v>16.294117647058741</v>
      </c>
      <c r="D1239" s="1">
        <f t="shared" si="148"/>
        <v>1</v>
      </c>
      <c r="E1239" s="1">
        <f t="shared" si="151"/>
        <v>0</v>
      </c>
      <c r="F1239" s="31">
        <f t="shared" si="149"/>
        <v>14.6</v>
      </c>
      <c r="G1239" s="31">
        <f t="shared" ca="1" si="153"/>
        <v>14.6</v>
      </c>
      <c r="H1239" s="30">
        <f t="shared" ca="1" si="154"/>
        <v>0</v>
      </c>
      <c r="I1239" s="31">
        <f t="shared" ca="1" si="155"/>
        <v>14.6</v>
      </c>
      <c r="Q1239" s="80"/>
      <c r="R1239" s="42"/>
      <c r="S1239" s="90">
        <f t="shared" si="152"/>
        <v>118.09999999999756</v>
      </c>
      <c r="T1239" s="42"/>
      <c r="U1239" s="42"/>
      <c r="V1239" s="42"/>
      <c r="W1239" s="42"/>
      <c r="X1239" s="81"/>
    </row>
    <row r="1240" spans="2:24" x14ac:dyDescent="0.25">
      <c r="B1240" s="2">
        <v>1</v>
      </c>
      <c r="C1240" s="1">
        <f t="shared" si="150"/>
        <v>17.294117647058741</v>
      </c>
      <c r="D1240" s="1">
        <f t="shared" si="148"/>
        <v>1</v>
      </c>
      <c r="E1240" s="1">
        <f t="shared" si="151"/>
        <v>0</v>
      </c>
      <c r="F1240" s="31">
        <f t="shared" si="149"/>
        <v>14.6</v>
      </c>
      <c r="G1240" s="31">
        <f t="shared" ca="1" si="153"/>
        <v>14.6</v>
      </c>
      <c r="H1240" s="30">
        <f t="shared" ca="1" si="154"/>
        <v>0</v>
      </c>
      <c r="I1240" s="31">
        <f t="shared" ca="1" si="155"/>
        <v>14.6</v>
      </c>
      <c r="Q1240" s="80"/>
      <c r="R1240" s="42"/>
      <c r="S1240" s="90">
        <f t="shared" si="152"/>
        <v>118.19999999999756</v>
      </c>
      <c r="T1240" s="42"/>
      <c r="U1240" s="42"/>
      <c r="V1240" s="42"/>
      <c r="W1240" s="42"/>
      <c r="X1240" s="81"/>
    </row>
    <row r="1241" spans="2:24" x14ac:dyDescent="0.25">
      <c r="B1241" s="2">
        <v>1</v>
      </c>
      <c r="C1241" s="1">
        <f t="shared" si="150"/>
        <v>18.294117647058741</v>
      </c>
      <c r="D1241" s="1">
        <f t="shared" si="148"/>
        <v>1</v>
      </c>
      <c r="E1241" s="1">
        <f t="shared" si="151"/>
        <v>0</v>
      </c>
      <c r="F1241" s="31">
        <f t="shared" si="149"/>
        <v>14.6</v>
      </c>
      <c r="G1241" s="31">
        <f t="shared" ca="1" si="153"/>
        <v>14.6</v>
      </c>
      <c r="H1241" s="30">
        <f t="shared" ca="1" si="154"/>
        <v>0</v>
      </c>
      <c r="I1241" s="31">
        <f t="shared" ca="1" si="155"/>
        <v>14.6</v>
      </c>
      <c r="Q1241" s="80"/>
      <c r="R1241" s="42"/>
      <c r="S1241" s="90">
        <f t="shared" si="152"/>
        <v>118.29999999999755</v>
      </c>
      <c r="T1241" s="42"/>
      <c r="U1241" s="42"/>
      <c r="V1241" s="42"/>
      <c r="W1241" s="42"/>
      <c r="X1241" s="81"/>
    </row>
    <row r="1242" spans="2:24" x14ac:dyDescent="0.25">
      <c r="B1242" s="2">
        <v>1</v>
      </c>
      <c r="C1242" s="1">
        <f t="shared" si="150"/>
        <v>19.294117647058741</v>
      </c>
      <c r="D1242" s="1">
        <f t="shared" si="148"/>
        <v>1</v>
      </c>
      <c r="E1242" s="1">
        <f t="shared" si="151"/>
        <v>0</v>
      </c>
      <c r="F1242" s="31">
        <f t="shared" si="149"/>
        <v>14.6</v>
      </c>
      <c r="G1242" s="31">
        <f t="shared" ca="1" si="153"/>
        <v>14.6</v>
      </c>
      <c r="H1242" s="30">
        <f t="shared" ca="1" si="154"/>
        <v>0</v>
      </c>
      <c r="I1242" s="31">
        <f t="shared" ca="1" si="155"/>
        <v>14.6</v>
      </c>
      <c r="Q1242" s="80"/>
      <c r="R1242" s="42"/>
      <c r="S1242" s="90">
        <f t="shared" si="152"/>
        <v>118.39999999999755</v>
      </c>
      <c r="T1242" s="42"/>
      <c r="U1242" s="42"/>
      <c r="V1242" s="42"/>
      <c r="W1242" s="42"/>
      <c r="X1242" s="81"/>
    </row>
    <row r="1243" spans="2:24" x14ac:dyDescent="0.25">
      <c r="B1243" s="2">
        <v>1</v>
      </c>
      <c r="C1243" s="1">
        <f t="shared" si="150"/>
        <v>20.294117647058741</v>
      </c>
      <c r="D1243" s="1">
        <f t="shared" si="148"/>
        <v>1</v>
      </c>
      <c r="E1243" s="1">
        <f t="shared" si="151"/>
        <v>0</v>
      </c>
      <c r="F1243" s="31">
        <f t="shared" si="149"/>
        <v>14.6</v>
      </c>
      <c r="G1243" s="31">
        <f t="shared" ca="1" si="153"/>
        <v>14.6</v>
      </c>
      <c r="H1243" s="30">
        <f t="shared" ca="1" si="154"/>
        <v>0</v>
      </c>
      <c r="I1243" s="31">
        <f t="shared" ca="1" si="155"/>
        <v>14.6</v>
      </c>
      <c r="Q1243" s="80"/>
      <c r="R1243" s="42"/>
      <c r="S1243" s="90">
        <f t="shared" si="152"/>
        <v>118.49999999999754</v>
      </c>
      <c r="T1243" s="42"/>
      <c r="U1243" s="42"/>
      <c r="V1243" s="42"/>
      <c r="W1243" s="42"/>
      <c r="X1243" s="81"/>
    </row>
    <row r="1244" spans="2:24" x14ac:dyDescent="0.25">
      <c r="B1244" s="2">
        <v>1</v>
      </c>
      <c r="C1244" s="1">
        <f t="shared" si="150"/>
        <v>21.294117647058741</v>
      </c>
      <c r="D1244" s="1">
        <f t="shared" si="148"/>
        <v>1</v>
      </c>
      <c r="E1244" s="1">
        <f t="shared" si="151"/>
        <v>0</v>
      </c>
      <c r="F1244" s="31">
        <f t="shared" si="149"/>
        <v>14.6</v>
      </c>
      <c r="G1244" s="31">
        <f t="shared" ca="1" si="153"/>
        <v>14.6</v>
      </c>
      <c r="H1244" s="30">
        <f t="shared" ca="1" si="154"/>
        <v>0</v>
      </c>
      <c r="I1244" s="31">
        <f t="shared" ca="1" si="155"/>
        <v>14.6</v>
      </c>
      <c r="Q1244" s="80"/>
      <c r="R1244" s="42"/>
      <c r="S1244" s="90">
        <f t="shared" si="152"/>
        <v>118.59999999999754</v>
      </c>
      <c r="T1244" s="42"/>
      <c r="U1244" s="42"/>
      <c r="V1244" s="42"/>
      <c r="W1244" s="42"/>
      <c r="X1244" s="81"/>
    </row>
    <row r="1245" spans="2:24" x14ac:dyDescent="0.25">
      <c r="B1245" s="2">
        <v>1</v>
      </c>
      <c r="C1245" s="1">
        <f t="shared" si="150"/>
        <v>22.294117647058741</v>
      </c>
      <c r="D1245" s="1">
        <f t="shared" si="148"/>
        <v>1</v>
      </c>
      <c r="E1245" s="1">
        <f t="shared" si="151"/>
        <v>0</v>
      </c>
      <c r="F1245" s="31">
        <f t="shared" si="149"/>
        <v>14.6</v>
      </c>
      <c r="G1245" s="31">
        <f t="shared" ca="1" si="153"/>
        <v>14.6</v>
      </c>
      <c r="H1245" s="30">
        <f t="shared" ca="1" si="154"/>
        <v>0</v>
      </c>
      <c r="I1245" s="31">
        <f t="shared" ca="1" si="155"/>
        <v>14.6</v>
      </c>
      <c r="Q1245" s="80"/>
      <c r="R1245" s="42"/>
      <c r="S1245" s="90">
        <f t="shared" si="152"/>
        <v>118.69999999999753</v>
      </c>
      <c r="T1245" s="42"/>
      <c r="U1245" s="42"/>
      <c r="V1245" s="42"/>
      <c r="W1245" s="42"/>
      <c r="X1245" s="81"/>
    </row>
    <row r="1246" spans="2:24" x14ac:dyDescent="0.25">
      <c r="B1246" s="2">
        <v>1</v>
      </c>
      <c r="C1246" s="1">
        <f t="shared" si="150"/>
        <v>23.294117647058741</v>
      </c>
      <c r="D1246" s="1">
        <f t="shared" si="148"/>
        <v>0</v>
      </c>
      <c r="E1246" s="1">
        <f t="shared" si="151"/>
        <v>1</v>
      </c>
      <c r="F1246" s="31">
        <f t="shared" si="149"/>
        <v>6.4</v>
      </c>
      <c r="G1246" s="31">
        <f t="shared" ca="1" si="153"/>
        <v>0</v>
      </c>
      <c r="H1246" s="30">
        <f t="shared" ca="1" si="154"/>
        <v>14.6</v>
      </c>
      <c r="I1246" s="31">
        <f t="shared" ca="1" si="155"/>
        <v>14.6</v>
      </c>
      <c r="Q1246" s="80"/>
      <c r="R1246" s="42"/>
      <c r="S1246" s="90">
        <f t="shared" si="152"/>
        <v>118.79999999999752</v>
      </c>
      <c r="T1246" s="42"/>
      <c r="U1246" s="42"/>
      <c r="V1246" s="42"/>
      <c r="W1246" s="42"/>
      <c r="X1246" s="81"/>
    </row>
    <row r="1247" spans="2:24" x14ac:dyDescent="0.25">
      <c r="B1247" s="2">
        <v>1</v>
      </c>
      <c r="C1247" s="1">
        <f t="shared" si="150"/>
        <v>24.294117647058741</v>
      </c>
      <c r="D1247" s="1">
        <f t="shared" si="148"/>
        <v>0</v>
      </c>
      <c r="E1247" s="1">
        <f t="shared" si="151"/>
        <v>1</v>
      </c>
      <c r="F1247" s="31">
        <f t="shared" si="149"/>
        <v>6.4</v>
      </c>
      <c r="G1247" s="31">
        <f t="shared" ca="1" si="153"/>
        <v>0</v>
      </c>
      <c r="H1247" s="30">
        <f t="shared" ca="1" si="154"/>
        <v>6.4</v>
      </c>
      <c r="I1247" s="31">
        <f t="shared" ca="1" si="155"/>
        <v>6.4</v>
      </c>
      <c r="Q1247" s="80"/>
      <c r="R1247" s="42"/>
      <c r="S1247" s="90">
        <f t="shared" si="152"/>
        <v>118.89999999999752</v>
      </c>
      <c r="T1247" s="42"/>
      <c r="U1247" s="42"/>
      <c r="V1247" s="42"/>
      <c r="W1247" s="42"/>
      <c r="X1247" s="81"/>
    </row>
    <row r="1248" spans="2:24" x14ac:dyDescent="0.25">
      <c r="B1248" s="2">
        <v>1</v>
      </c>
      <c r="C1248" s="1">
        <f t="shared" si="150"/>
        <v>25.294117647058741</v>
      </c>
      <c r="D1248" s="1">
        <f t="shared" si="148"/>
        <v>0</v>
      </c>
      <c r="E1248" s="1">
        <f t="shared" si="151"/>
        <v>1</v>
      </c>
      <c r="F1248" s="31">
        <f t="shared" si="149"/>
        <v>6.4</v>
      </c>
      <c r="G1248" s="31">
        <f t="shared" ca="1" si="153"/>
        <v>0</v>
      </c>
      <c r="H1248" s="30">
        <f t="shared" ca="1" si="154"/>
        <v>6.4</v>
      </c>
      <c r="I1248" s="31">
        <f t="shared" ca="1" si="155"/>
        <v>6.4</v>
      </c>
      <c r="Q1248" s="80"/>
      <c r="R1248" s="42"/>
      <c r="S1248" s="90">
        <f t="shared" si="152"/>
        <v>118.99999999999751</v>
      </c>
      <c r="T1248" s="42"/>
      <c r="U1248" s="42"/>
      <c r="V1248" s="42"/>
      <c r="W1248" s="42"/>
      <c r="X1248" s="81"/>
    </row>
    <row r="1249" spans="2:24" x14ac:dyDescent="0.25">
      <c r="B1249" s="2">
        <v>1</v>
      </c>
      <c r="C1249" s="1">
        <f t="shared" si="150"/>
        <v>26.294117647058741</v>
      </c>
      <c r="D1249" s="1">
        <f t="shared" si="148"/>
        <v>0</v>
      </c>
      <c r="E1249" s="1">
        <f t="shared" si="151"/>
        <v>1</v>
      </c>
      <c r="F1249" s="31">
        <f t="shared" si="149"/>
        <v>6.4</v>
      </c>
      <c r="G1249" s="31">
        <f t="shared" ca="1" si="153"/>
        <v>0</v>
      </c>
      <c r="H1249" s="30">
        <f t="shared" ca="1" si="154"/>
        <v>6.4</v>
      </c>
      <c r="I1249" s="31">
        <f t="shared" ca="1" si="155"/>
        <v>6.4</v>
      </c>
      <c r="Q1249" s="80"/>
      <c r="R1249" s="42"/>
      <c r="S1249" s="90">
        <f t="shared" si="152"/>
        <v>119.09999999999751</v>
      </c>
      <c r="T1249" s="42"/>
      <c r="U1249" s="42"/>
      <c r="V1249" s="42"/>
      <c r="W1249" s="42"/>
      <c r="X1249" s="81"/>
    </row>
    <row r="1250" spans="2:24" x14ac:dyDescent="0.25">
      <c r="B1250" s="2">
        <v>1</v>
      </c>
      <c r="C1250" s="1">
        <f t="shared" si="150"/>
        <v>27.294117647058741</v>
      </c>
      <c r="D1250" s="1">
        <f t="shared" si="148"/>
        <v>0</v>
      </c>
      <c r="E1250" s="1">
        <f t="shared" si="151"/>
        <v>1</v>
      </c>
      <c r="F1250" s="31">
        <f t="shared" si="149"/>
        <v>6.4</v>
      </c>
      <c r="G1250" s="31">
        <f t="shared" ca="1" si="153"/>
        <v>0</v>
      </c>
      <c r="H1250" s="30">
        <f t="shared" ca="1" si="154"/>
        <v>6.4</v>
      </c>
      <c r="I1250" s="31">
        <f t="shared" ca="1" si="155"/>
        <v>6.4</v>
      </c>
      <c r="Q1250" s="80"/>
      <c r="R1250" s="42"/>
      <c r="S1250" s="90">
        <f t="shared" si="152"/>
        <v>119.1999999999975</v>
      </c>
      <c r="T1250" s="42"/>
      <c r="U1250" s="42"/>
      <c r="V1250" s="42"/>
      <c r="W1250" s="42"/>
      <c r="X1250" s="81"/>
    </row>
    <row r="1251" spans="2:24" x14ac:dyDescent="0.25">
      <c r="B1251" s="2">
        <v>1</v>
      </c>
      <c r="C1251" s="1">
        <f t="shared" si="150"/>
        <v>28.294117647058741</v>
      </c>
      <c r="D1251" s="1">
        <f t="shared" si="148"/>
        <v>0</v>
      </c>
      <c r="E1251" s="1">
        <f t="shared" si="151"/>
        <v>1</v>
      </c>
      <c r="F1251" s="31">
        <f t="shared" si="149"/>
        <v>6.4</v>
      </c>
      <c r="G1251" s="31">
        <f t="shared" ca="1" si="153"/>
        <v>0</v>
      </c>
      <c r="H1251" s="30">
        <f t="shared" ca="1" si="154"/>
        <v>6.4</v>
      </c>
      <c r="I1251" s="31">
        <f t="shared" ca="1" si="155"/>
        <v>6.4</v>
      </c>
      <c r="Q1251" s="80"/>
      <c r="R1251" s="42"/>
      <c r="S1251" s="90">
        <f t="shared" si="152"/>
        <v>119.2999999999975</v>
      </c>
      <c r="T1251" s="42"/>
      <c r="U1251" s="42"/>
      <c r="V1251" s="42"/>
      <c r="W1251" s="42"/>
      <c r="X1251" s="81"/>
    </row>
    <row r="1252" spans="2:24" x14ac:dyDescent="0.25">
      <c r="B1252" s="2">
        <v>1</v>
      </c>
      <c r="C1252" s="1">
        <f t="shared" si="150"/>
        <v>29.294117647058741</v>
      </c>
      <c r="D1252" s="1">
        <f t="shared" si="148"/>
        <v>0</v>
      </c>
      <c r="E1252" s="1">
        <f t="shared" si="151"/>
        <v>1</v>
      </c>
      <c r="F1252" s="31">
        <f t="shared" si="149"/>
        <v>6.4</v>
      </c>
      <c r="G1252" s="31">
        <f t="shared" ca="1" si="153"/>
        <v>0</v>
      </c>
      <c r="H1252" s="30">
        <f t="shared" ca="1" si="154"/>
        <v>6.4</v>
      </c>
      <c r="I1252" s="31">
        <f t="shared" ca="1" si="155"/>
        <v>6.4</v>
      </c>
      <c r="Q1252" s="80"/>
      <c r="R1252" s="42"/>
      <c r="S1252" s="90">
        <f t="shared" si="152"/>
        <v>119.39999999999749</v>
      </c>
      <c r="T1252" s="42"/>
      <c r="U1252" s="42"/>
      <c r="V1252" s="42"/>
      <c r="W1252" s="42"/>
      <c r="X1252" s="81"/>
    </row>
    <row r="1253" spans="2:24" x14ac:dyDescent="0.25">
      <c r="B1253" s="2">
        <v>1</v>
      </c>
      <c r="C1253" s="1">
        <f t="shared" si="150"/>
        <v>30.294117647058741</v>
      </c>
      <c r="D1253" s="1">
        <f t="shared" si="148"/>
        <v>0</v>
      </c>
      <c r="E1253" s="1">
        <f t="shared" si="151"/>
        <v>1</v>
      </c>
      <c r="F1253" s="31">
        <f t="shared" si="149"/>
        <v>6.4</v>
      </c>
      <c r="G1253" s="31">
        <f t="shared" ca="1" si="153"/>
        <v>0</v>
      </c>
      <c r="H1253" s="30">
        <f t="shared" ca="1" si="154"/>
        <v>6.4</v>
      </c>
      <c r="I1253" s="31">
        <f t="shared" ca="1" si="155"/>
        <v>6.4</v>
      </c>
      <c r="Q1253" s="80"/>
      <c r="R1253" s="42"/>
      <c r="S1253" s="90">
        <f t="shared" si="152"/>
        <v>119.49999999999748</v>
      </c>
      <c r="T1253" s="42"/>
      <c r="U1253" s="42"/>
      <c r="V1253" s="42"/>
      <c r="W1253" s="42"/>
      <c r="X1253" s="81"/>
    </row>
    <row r="1254" spans="2:24" x14ac:dyDescent="0.25">
      <c r="B1254" s="2">
        <v>1</v>
      </c>
      <c r="C1254" s="1">
        <f t="shared" si="150"/>
        <v>31.294117647058741</v>
      </c>
      <c r="D1254" s="1">
        <f t="shared" si="148"/>
        <v>0</v>
      </c>
      <c r="E1254" s="1">
        <f t="shared" si="151"/>
        <v>1</v>
      </c>
      <c r="F1254" s="31">
        <f t="shared" si="149"/>
        <v>6.4</v>
      </c>
      <c r="G1254" s="31">
        <f t="shared" ca="1" si="153"/>
        <v>0</v>
      </c>
      <c r="H1254" s="30">
        <f t="shared" ca="1" si="154"/>
        <v>6.4</v>
      </c>
      <c r="I1254" s="31">
        <f t="shared" ca="1" si="155"/>
        <v>6.4</v>
      </c>
      <c r="Q1254" s="80"/>
      <c r="R1254" s="42"/>
      <c r="S1254" s="90">
        <f t="shared" si="152"/>
        <v>119.59999999999748</v>
      </c>
      <c r="T1254" s="42"/>
      <c r="U1254" s="42"/>
      <c r="V1254" s="42"/>
      <c r="W1254" s="42"/>
      <c r="X1254" s="81"/>
    </row>
    <row r="1255" spans="2:24" x14ac:dyDescent="0.25">
      <c r="B1255" s="2">
        <v>1</v>
      </c>
      <c r="C1255" s="1">
        <f t="shared" si="150"/>
        <v>32.294117647058741</v>
      </c>
      <c r="D1255" s="1">
        <f t="shared" si="148"/>
        <v>0</v>
      </c>
      <c r="E1255" s="1">
        <f t="shared" si="151"/>
        <v>1</v>
      </c>
      <c r="F1255" s="31">
        <f t="shared" si="149"/>
        <v>6.4</v>
      </c>
      <c r="G1255" s="31">
        <f t="shared" ca="1" si="153"/>
        <v>0</v>
      </c>
      <c r="H1255" s="30">
        <f t="shared" ca="1" si="154"/>
        <v>6.4</v>
      </c>
      <c r="I1255" s="31">
        <f t="shared" ca="1" si="155"/>
        <v>6.4</v>
      </c>
      <c r="Q1255" s="80"/>
      <c r="R1255" s="42"/>
      <c r="S1255" s="90">
        <f t="shared" si="152"/>
        <v>119.69999999999747</v>
      </c>
      <c r="T1255" s="42"/>
      <c r="U1255" s="42"/>
      <c r="V1255" s="42"/>
      <c r="W1255" s="42"/>
      <c r="X1255" s="81"/>
    </row>
    <row r="1256" spans="2:24" x14ac:dyDescent="0.25">
      <c r="B1256" s="2">
        <v>1</v>
      </c>
      <c r="C1256" s="1">
        <f t="shared" si="150"/>
        <v>33.294117647058741</v>
      </c>
      <c r="D1256" s="1">
        <f t="shared" si="148"/>
        <v>0</v>
      </c>
      <c r="E1256" s="1">
        <f t="shared" si="151"/>
        <v>1</v>
      </c>
      <c r="F1256" s="31">
        <f t="shared" si="149"/>
        <v>6.4</v>
      </c>
      <c r="G1256" s="31">
        <f t="shared" ca="1" si="153"/>
        <v>0</v>
      </c>
      <c r="H1256" s="30">
        <f t="shared" ca="1" si="154"/>
        <v>6.4</v>
      </c>
      <c r="I1256" s="31">
        <f t="shared" ca="1" si="155"/>
        <v>6.4</v>
      </c>
      <c r="Q1256" s="80"/>
      <c r="R1256" s="42"/>
      <c r="S1256" s="90">
        <f t="shared" si="152"/>
        <v>119.79999999999747</v>
      </c>
      <c r="T1256" s="42"/>
      <c r="U1256" s="42"/>
      <c r="V1256" s="42"/>
      <c r="W1256" s="42"/>
      <c r="X1256" s="81"/>
    </row>
    <row r="1257" spans="2:24" x14ac:dyDescent="0.25">
      <c r="B1257" s="2">
        <v>1</v>
      </c>
      <c r="C1257" s="1">
        <f t="shared" si="150"/>
        <v>34.294117647058741</v>
      </c>
      <c r="D1257" s="1">
        <f t="shared" si="148"/>
        <v>0</v>
      </c>
      <c r="E1257" s="1">
        <f t="shared" si="151"/>
        <v>1</v>
      </c>
      <c r="F1257" s="31">
        <f t="shared" si="149"/>
        <v>6.4</v>
      </c>
      <c r="G1257" s="31">
        <f t="shared" ca="1" si="153"/>
        <v>0</v>
      </c>
      <c r="H1257" s="30">
        <f t="shared" ca="1" si="154"/>
        <v>6.4</v>
      </c>
      <c r="I1257" s="31">
        <f t="shared" ca="1" si="155"/>
        <v>6.4</v>
      </c>
      <c r="Q1257" s="80"/>
      <c r="R1257" s="42"/>
      <c r="S1257" s="90">
        <f t="shared" si="152"/>
        <v>119.89999999999746</v>
      </c>
      <c r="T1257" s="42"/>
      <c r="U1257" s="42"/>
      <c r="V1257" s="42"/>
      <c r="W1257" s="42"/>
      <c r="X1257" s="81"/>
    </row>
    <row r="1258" spans="2:24" x14ac:dyDescent="0.25">
      <c r="B1258" s="2">
        <v>1</v>
      </c>
      <c r="C1258" s="1">
        <f t="shared" si="150"/>
        <v>35.294117647058741</v>
      </c>
      <c r="D1258" s="1">
        <f t="shared" si="148"/>
        <v>0</v>
      </c>
      <c r="E1258" s="1">
        <f t="shared" si="151"/>
        <v>1</v>
      </c>
      <c r="F1258" s="31">
        <f t="shared" si="149"/>
        <v>6.4</v>
      </c>
      <c r="G1258" s="31">
        <f t="shared" ca="1" si="153"/>
        <v>0</v>
      </c>
      <c r="H1258" s="30">
        <f t="shared" ca="1" si="154"/>
        <v>6.4</v>
      </c>
      <c r="I1258" s="31">
        <f t="shared" ca="1" si="155"/>
        <v>6.4</v>
      </c>
      <c r="Q1258" s="80"/>
      <c r="R1258" s="42"/>
      <c r="S1258" s="90">
        <f t="shared" si="152"/>
        <v>119.99999999999746</v>
      </c>
      <c r="T1258" s="42"/>
      <c r="U1258" s="42"/>
      <c r="V1258" s="42"/>
      <c r="W1258" s="42"/>
      <c r="X1258" s="81"/>
    </row>
    <row r="1259" spans="2:24" x14ac:dyDescent="0.25">
      <c r="B1259" s="2">
        <v>1</v>
      </c>
      <c r="C1259" s="1">
        <f t="shared" si="150"/>
        <v>0.99999999999991473</v>
      </c>
      <c r="D1259" s="1">
        <f t="shared" si="148"/>
        <v>1</v>
      </c>
      <c r="E1259" s="1">
        <f t="shared" si="151"/>
        <v>0</v>
      </c>
      <c r="F1259" s="31">
        <f t="shared" si="149"/>
        <v>14.6</v>
      </c>
      <c r="G1259" s="31">
        <f t="shared" ca="1" si="153"/>
        <v>6.4</v>
      </c>
      <c r="H1259" s="30">
        <f t="shared" ca="1" si="154"/>
        <v>0</v>
      </c>
      <c r="I1259" s="31">
        <f t="shared" ca="1" si="155"/>
        <v>6.4</v>
      </c>
      <c r="Q1259" s="80"/>
      <c r="R1259" s="42"/>
      <c r="S1259" s="90">
        <f t="shared" si="152"/>
        <v>120.09999999999745</v>
      </c>
      <c r="T1259" s="42"/>
      <c r="U1259" s="42"/>
      <c r="V1259" s="42"/>
      <c r="W1259" s="42"/>
      <c r="X1259" s="81"/>
    </row>
    <row r="1260" spans="2:24" x14ac:dyDescent="0.25">
      <c r="B1260" s="2">
        <v>1</v>
      </c>
      <c r="C1260" s="1">
        <f t="shared" si="150"/>
        <v>1.9999999999999147</v>
      </c>
      <c r="D1260" s="1">
        <f t="shared" si="148"/>
        <v>1</v>
      </c>
      <c r="E1260" s="1">
        <f t="shared" si="151"/>
        <v>0</v>
      </c>
      <c r="F1260" s="31">
        <f t="shared" si="149"/>
        <v>14.6</v>
      </c>
      <c r="G1260" s="31">
        <f t="shared" ca="1" si="153"/>
        <v>8.4500000000000011</v>
      </c>
      <c r="H1260" s="30">
        <f t="shared" ca="1" si="154"/>
        <v>0</v>
      </c>
      <c r="I1260" s="31">
        <f t="shared" ca="1" si="155"/>
        <v>8.4500000000000011</v>
      </c>
      <c r="Q1260" s="80"/>
      <c r="R1260" s="42"/>
      <c r="S1260" s="90">
        <f t="shared" si="152"/>
        <v>120.19999999999744</v>
      </c>
      <c r="T1260" s="42"/>
      <c r="U1260" s="42"/>
      <c r="V1260" s="42"/>
      <c r="W1260" s="42"/>
      <c r="X1260" s="81"/>
    </row>
    <row r="1261" spans="2:24" x14ac:dyDescent="0.25">
      <c r="B1261" s="2">
        <v>1</v>
      </c>
      <c r="C1261" s="1">
        <f t="shared" si="150"/>
        <v>2.9999999999999147</v>
      </c>
      <c r="D1261" s="1">
        <f t="shared" si="148"/>
        <v>1</v>
      </c>
      <c r="E1261" s="1">
        <f t="shared" si="151"/>
        <v>0</v>
      </c>
      <c r="F1261" s="31">
        <f t="shared" si="149"/>
        <v>14.6</v>
      </c>
      <c r="G1261" s="31">
        <f t="shared" ca="1" si="153"/>
        <v>10.5</v>
      </c>
      <c r="H1261" s="30">
        <f t="shared" ca="1" si="154"/>
        <v>0</v>
      </c>
      <c r="I1261" s="31">
        <f t="shared" ca="1" si="155"/>
        <v>10.5</v>
      </c>
      <c r="Q1261" s="80"/>
      <c r="R1261" s="42"/>
      <c r="S1261" s="90">
        <f t="shared" si="152"/>
        <v>120.29999999999744</v>
      </c>
      <c r="T1261" s="42"/>
      <c r="U1261" s="42"/>
      <c r="V1261" s="42"/>
      <c r="W1261" s="42"/>
      <c r="X1261" s="81"/>
    </row>
    <row r="1262" spans="2:24" x14ac:dyDescent="0.25">
      <c r="B1262" s="2">
        <v>1</v>
      </c>
      <c r="C1262" s="1">
        <f t="shared" si="150"/>
        <v>3.9999999999999147</v>
      </c>
      <c r="D1262" s="1">
        <f t="shared" si="148"/>
        <v>1</v>
      </c>
      <c r="E1262" s="1">
        <f t="shared" si="151"/>
        <v>0</v>
      </c>
      <c r="F1262" s="31">
        <f t="shared" si="149"/>
        <v>14.6</v>
      </c>
      <c r="G1262" s="31">
        <f t="shared" ca="1" si="153"/>
        <v>12.55</v>
      </c>
      <c r="H1262" s="30">
        <f t="shared" ca="1" si="154"/>
        <v>0</v>
      </c>
      <c r="I1262" s="31">
        <f t="shared" ca="1" si="155"/>
        <v>12.55</v>
      </c>
      <c r="Q1262" s="80"/>
      <c r="R1262" s="42"/>
      <c r="S1262" s="90">
        <f t="shared" si="152"/>
        <v>120.39999999999743</v>
      </c>
      <c r="T1262" s="42"/>
      <c r="U1262" s="42"/>
      <c r="V1262" s="42"/>
      <c r="W1262" s="42"/>
      <c r="X1262" s="81"/>
    </row>
    <row r="1263" spans="2:24" x14ac:dyDescent="0.25">
      <c r="B1263" s="2">
        <v>1</v>
      </c>
      <c r="C1263" s="1">
        <f t="shared" si="150"/>
        <v>4.9999999999999147</v>
      </c>
      <c r="D1263" s="1">
        <f t="shared" si="148"/>
        <v>1</v>
      </c>
      <c r="E1263" s="1">
        <f t="shared" si="151"/>
        <v>0</v>
      </c>
      <c r="F1263" s="31">
        <f t="shared" si="149"/>
        <v>14.6</v>
      </c>
      <c r="G1263" s="31">
        <f t="shared" ca="1" si="153"/>
        <v>14.6</v>
      </c>
      <c r="H1263" s="30">
        <f t="shared" ca="1" si="154"/>
        <v>0</v>
      </c>
      <c r="I1263" s="31">
        <f t="shared" ca="1" si="155"/>
        <v>14.6</v>
      </c>
      <c r="Q1263" s="80"/>
      <c r="R1263" s="42"/>
      <c r="S1263" s="90">
        <f t="shared" si="152"/>
        <v>120.49999999999743</v>
      </c>
      <c r="T1263" s="42"/>
      <c r="U1263" s="42"/>
      <c r="V1263" s="42"/>
      <c r="W1263" s="42"/>
      <c r="X1263" s="81"/>
    </row>
    <row r="1264" spans="2:24" x14ac:dyDescent="0.25">
      <c r="B1264" s="2">
        <v>1</v>
      </c>
      <c r="C1264" s="1">
        <f t="shared" si="150"/>
        <v>5.9999999999999147</v>
      </c>
      <c r="D1264" s="1">
        <f t="shared" si="148"/>
        <v>1</v>
      </c>
      <c r="E1264" s="1">
        <f t="shared" si="151"/>
        <v>0</v>
      </c>
      <c r="F1264" s="31">
        <f t="shared" si="149"/>
        <v>14.6</v>
      </c>
      <c r="G1264" s="31">
        <f t="shared" ca="1" si="153"/>
        <v>14.6</v>
      </c>
      <c r="H1264" s="30">
        <f t="shared" ca="1" si="154"/>
        <v>0</v>
      </c>
      <c r="I1264" s="31">
        <f t="shared" ca="1" si="155"/>
        <v>14.6</v>
      </c>
      <c r="Q1264" s="80"/>
      <c r="R1264" s="42"/>
      <c r="S1264" s="90">
        <f t="shared" si="152"/>
        <v>120.59999999999742</v>
      </c>
      <c r="T1264" s="42"/>
      <c r="U1264" s="42"/>
      <c r="V1264" s="42"/>
      <c r="W1264" s="42"/>
      <c r="X1264" s="81"/>
    </row>
    <row r="1265" spans="2:24" x14ac:dyDescent="0.25">
      <c r="B1265" s="2">
        <v>1</v>
      </c>
      <c r="C1265" s="1">
        <f t="shared" si="150"/>
        <v>6.9999999999999147</v>
      </c>
      <c r="D1265" s="1">
        <f t="shared" si="148"/>
        <v>1</v>
      </c>
      <c r="E1265" s="1">
        <f t="shared" si="151"/>
        <v>0</v>
      </c>
      <c r="F1265" s="31">
        <f t="shared" si="149"/>
        <v>14.6</v>
      </c>
      <c r="G1265" s="31">
        <f t="shared" ca="1" si="153"/>
        <v>14.6</v>
      </c>
      <c r="H1265" s="30">
        <f t="shared" ca="1" si="154"/>
        <v>0</v>
      </c>
      <c r="I1265" s="31">
        <f t="shared" ca="1" si="155"/>
        <v>14.6</v>
      </c>
      <c r="Q1265" s="80"/>
      <c r="R1265" s="42"/>
      <c r="S1265" s="90">
        <f t="shared" si="152"/>
        <v>120.69999999999742</v>
      </c>
      <c r="T1265" s="42"/>
      <c r="U1265" s="42"/>
      <c r="V1265" s="42"/>
      <c r="W1265" s="42"/>
      <c r="X1265" s="81"/>
    </row>
    <row r="1266" spans="2:24" x14ac:dyDescent="0.25">
      <c r="B1266" s="2">
        <v>1</v>
      </c>
      <c r="C1266" s="1">
        <f t="shared" si="150"/>
        <v>7.9999999999999147</v>
      </c>
      <c r="D1266" s="1">
        <f t="shared" si="148"/>
        <v>1</v>
      </c>
      <c r="E1266" s="1">
        <f t="shared" si="151"/>
        <v>0</v>
      </c>
      <c r="F1266" s="31">
        <f t="shared" si="149"/>
        <v>14.6</v>
      </c>
      <c r="G1266" s="31">
        <f t="shared" ca="1" si="153"/>
        <v>14.6</v>
      </c>
      <c r="H1266" s="30">
        <f t="shared" ca="1" si="154"/>
        <v>0</v>
      </c>
      <c r="I1266" s="31">
        <f t="shared" ca="1" si="155"/>
        <v>14.6</v>
      </c>
      <c r="Q1266" s="80"/>
      <c r="R1266" s="42"/>
      <c r="S1266" s="90">
        <f t="shared" si="152"/>
        <v>120.79999999999741</v>
      </c>
      <c r="T1266" s="42"/>
      <c r="U1266" s="42"/>
      <c r="V1266" s="42"/>
      <c r="W1266" s="42"/>
      <c r="X1266" s="81"/>
    </row>
    <row r="1267" spans="2:24" x14ac:dyDescent="0.25">
      <c r="B1267" s="2">
        <v>1</v>
      </c>
      <c r="C1267" s="1">
        <f t="shared" si="150"/>
        <v>8.9999999999999147</v>
      </c>
      <c r="D1267" s="1">
        <f t="shared" si="148"/>
        <v>1</v>
      </c>
      <c r="E1267" s="1">
        <f t="shared" si="151"/>
        <v>0</v>
      </c>
      <c r="F1267" s="31">
        <f t="shared" si="149"/>
        <v>14.6</v>
      </c>
      <c r="G1267" s="31">
        <f t="shared" ca="1" si="153"/>
        <v>14.6</v>
      </c>
      <c r="H1267" s="30">
        <f t="shared" ca="1" si="154"/>
        <v>0</v>
      </c>
      <c r="I1267" s="31">
        <f t="shared" ca="1" si="155"/>
        <v>14.6</v>
      </c>
      <c r="Q1267" s="80"/>
      <c r="R1267" s="42"/>
      <c r="S1267" s="90">
        <f t="shared" si="152"/>
        <v>120.89999999999741</v>
      </c>
      <c r="T1267" s="42"/>
      <c r="U1267" s="42"/>
      <c r="V1267" s="42"/>
      <c r="W1267" s="42"/>
      <c r="X1267" s="81"/>
    </row>
    <row r="1268" spans="2:24" x14ac:dyDescent="0.25">
      <c r="B1268" s="2">
        <v>1</v>
      </c>
      <c r="C1268" s="1">
        <f t="shared" si="150"/>
        <v>9.9999999999999147</v>
      </c>
      <c r="D1268" s="1">
        <f t="shared" si="148"/>
        <v>1</v>
      </c>
      <c r="E1268" s="1">
        <f t="shared" si="151"/>
        <v>0</v>
      </c>
      <c r="F1268" s="31">
        <f t="shared" si="149"/>
        <v>14.6</v>
      </c>
      <c r="G1268" s="31">
        <f t="shared" ca="1" si="153"/>
        <v>14.6</v>
      </c>
      <c r="H1268" s="30">
        <f t="shared" ca="1" si="154"/>
        <v>0</v>
      </c>
      <c r="I1268" s="31">
        <f t="shared" ca="1" si="155"/>
        <v>14.6</v>
      </c>
      <c r="Q1268" s="80"/>
      <c r="R1268" s="42"/>
      <c r="S1268" s="90">
        <f t="shared" si="152"/>
        <v>120.9999999999974</v>
      </c>
      <c r="T1268" s="42"/>
      <c r="U1268" s="42"/>
      <c r="V1268" s="42"/>
      <c r="W1268" s="42"/>
      <c r="X1268" s="81"/>
    </row>
    <row r="1269" spans="2:24" x14ac:dyDescent="0.25">
      <c r="B1269" s="2">
        <v>1</v>
      </c>
      <c r="C1269" s="1">
        <f t="shared" si="150"/>
        <v>10.999999999999915</v>
      </c>
      <c r="D1269" s="1">
        <f t="shared" si="148"/>
        <v>1</v>
      </c>
      <c r="E1269" s="1">
        <f t="shared" si="151"/>
        <v>0</v>
      </c>
      <c r="F1269" s="31">
        <f t="shared" si="149"/>
        <v>14.6</v>
      </c>
      <c r="G1269" s="31">
        <f t="shared" ca="1" si="153"/>
        <v>14.6</v>
      </c>
      <c r="H1269" s="30">
        <f t="shared" ca="1" si="154"/>
        <v>0</v>
      </c>
      <c r="I1269" s="31">
        <f t="shared" ca="1" si="155"/>
        <v>14.6</v>
      </c>
      <c r="Q1269" s="80"/>
      <c r="R1269" s="42"/>
      <c r="S1269" s="90">
        <f t="shared" si="152"/>
        <v>121.09999999999739</v>
      </c>
      <c r="T1269" s="42"/>
      <c r="U1269" s="42"/>
      <c r="V1269" s="42"/>
      <c r="W1269" s="42"/>
      <c r="X1269" s="81"/>
    </row>
    <row r="1270" spans="2:24" x14ac:dyDescent="0.25">
      <c r="B1270" s="2">
        <v>1</v>
      </c>
      <c r="C1270" s="1">
        <f t="shared" si="150"/>
        <v>11.999999999999915</v>
      </c>
      <c r="D1270" s="1">
        <f t="shared" si="148"/>
        <v>1</v>
      </c>
      <c r="E1270" s="1">
        <f t="shared" si="151"/>
        <v>0</v>
      </c>
      <c r="F1270" s="31">
        <f t="shared" si="149"/>
        <v>14.6</v>
      </c>
      <c r="G1270" s="31">
        <f t="shared" ca="1" si="153"/>
        <v>14.6</v>
      </c>
      <c r="H1270" s="30">
        <f t="shared" ca="1" si="154"/>
        <v>0</v>
      </c>
      <c r="I1270" s="31">
        <f t="shared" ca="1" si="155"/>
        <v>14.6</v>
      </c>
      <c r="Q1270" s="80"/>
      <c r="R1270" s="42"/>
      <c r="S1270" s="90">
        <f t="shared" si="152"/>
        <v>121.19999999999739</v>
      </c>
      <c r="T1270" s="42"/>
      <c r="U1270" s="42"/>
      <c r="V1270" s="42"/>
      <c r="W1270" s="42"/>
      <c r="X1270" s="81"/>
    </row>
    <row r="1271" spans="2:24" x14ac:dyDescent="0.25">
      <c r="B1271" s="2">
        <v>1</v>
      </c>
      <c r="C1271" s="1">
        <f t="shared" si="150"/>
        <v>12.999999999999915</v>
      </c>
      <c r="D1271" s="1">
        <f t="shared" si="148"/>
        <v>1</v>
      </c>
      <c r="E1271" s="1">
        <f t="shared" si="151"/>
        <v>0</v>
      </c>
      <c r="F1271" s="31">
        <f t="shared" si="149"/>
        <v>14.6</v>
      </c>
      <c r="G1271" s="31">
        <f t="shared" ca="1" si="153"/>
        <v>14.6</v>
      </c>
      <c r="H1271" s="30">
        <f t="shared" ca="1" si="154"/>
        <v>0</v>
      </c>
      <c r="I1271" s="31">
        <f t="shared" ca="1" si="155"/>
        <v>14.6</v>
      </c>
      <c r="Q1271" s="80"/>
      <c r="R1271" s="42"/>
      <c r="S1271" s="90">
        <f t="shared" si="152"/>
        <v>121.29999999999738</v>
      </c>
      <c r="T1271" s="42"/>
      <c r="U1271" s="42"/>
      <c r="V1271" s="42"/>
      <c r="W1271" s="42"/>
      <c r="X1271" s="81"/>
    </row>
    <row r="1272" spans="2:24" x14ac:dyDescent="0.25">
      <c r="B1272" s="2">
        <v>1</v>
      </c>
      <c r="C1272" s="1">
        <f t="shared" si="150"/>
        <v>13.999999999999915</v>
      </c>
      <c r="D1272" s="1">
        <f t="shared" si="148"/>
        <v>1</v>
      </c>
      <c r="E1272" s="1">
        <f t="shared" si="151"/>
        <v>0</v>
      </c>
      <c r="F1272" s="31">
        <f t="shared" si="149"/>
        <v>14.6</v>
      </c>
      <c r="G1272" s="31">
        <f t="shared" ca="1" si="153"/>
        <v>14.6</v>
      </c>
      <c r="H1272" s="30">
        <f t="shared" ca="1" si="154"/>
        <v>0</v>
      </c>
      <c r="I1272" s="31">
        <f t="shared" ca="1" si="155"/>
        <v>14.6</v>
      </c>
      <c r="Q1272" s="80"/>
      <c r="R1272" s="42"/>
      <c r="S1272" s="90">
        <f t="shared" si="152"/>
        <v>121.39999999999738</v>
      </c>
      <c r="T1272" s="42"/>
      <c r="U1272" s="42"/>
      <c r="V1272" s="42"/>
      <c r="W1272" s="42"/>
      <c r="X1272" s="81"/>
    </row>
    <row r="1273" spans="2:24" x14ac:dyDescent="0.25">
      <c r="B1273" s="2">
        <v>1</v>
      </c>
      <c r="C1273" s="1">
        <f t="shared" si="150"/>
        <v>14.999999999999915</v>
      </c>
      <c r="D1273" s="1">
        <f t="shared" si="148"/>
        <v>1</v>
      </c>
      <c r="E1273" s="1">
        <f t="shared" si="151"/>
        <v>0</v>
      </c>
      <c r="F1273" s="31">
        <f t="shared" si="149"/>
        <v>14.6</v>
      </c>
      <c r="G1273" s="31">
        <f t="shared" ca="1" si="153"/>
        <v>14.6</v>
      </c>
      <c r="H1273" s="30">
        <f t="shared" ca="1" si="154"/>
        <v>0</v>
      </c>
      <c r="I1273" s="31">
        <f t="shared" ca="1" si="155"/>
        <v>14.6</v>
      </c>
      <c r="Q1273" s="80"/>
      <c r="R1273" s="42"/>
      <c r="S1273" s="90">
        <f t="shared" si="152"/>
        <v>121.49999999999737</v>
      </c>
      <c r="T1273" s="42"/>
      <c r="U1273" s="42"/>
      <c r="V1273" s="42"/>
      <c r="W1273" s="42"/>
      <c r="X1273" s="81"/>
    </row>
    <row r="1274" spans="2:24" x14ac:dyDescent="0.25">
      <c r="B1274" s="2">
        <v>1</v>
      </c>
      <c r="C1274" s="1">
        <f t="shared" si="150"/>
        <v>15.999999999999915</v>
      </c>
      <c r="D1274" s="1">
        <f t="shared" ref="D1274:D1337" si="156">IF(C1274&lt;=Inhelation_Time_RT,1,0)</f>
        <v>1</v>
      </c>
      <c r="E1274" s="1">
        <f t="shared" si="151"/>
        <v>0</v>
      </c>
      <c r="F1274" s="31">
        <f t="shared" ref="F1274:F1337" si="157">(D1274*Inspiratory_pressure_level) + (E1274*PEEP)</f>
        <v>14.6</v>
      </c>
      <c r="G1274" s="31">
        <f t="shared" ca="1" si="153"/>
        <v>14.6</v>
      </c>
      <c r="H1274" s="30">
        <f t="shared" ca="1" si="154"/>
        <v>0</v>
      </c>
      <c r="I1274" s="31">
        <f t="shared" ca="1" si="155"/>
        <v>14.6</v>
      </c>
      <c r="Q1274" s="80"/>
      <c r="R1274" s="42"/>
      <c r="S1274" s="90">
        <f t="shared" si="152"/>
        <v>121.59999999999737</v>
      </c>
      <c r="T1274" s="42"/>
      <c r="U1274" s="42"/>
      <c r="V1274" s="42"/>
      <c r="W1274" s="42"/>
      <c r="X1274" s="81"/>
    </row>
    <row r="1275" spans="2:24" x14ac:dyDescent="0.25">
      <c r="B1275" s="2">
        <v>1</v>
      </c>
      <c r="C1275" s="1">
        <f t="shared" ref="C1275:C1338" si="158">MOD(C1274+B1275,time_for_breath_RT)</f>
        <v>16.999999999999915</v>
      </c>
      <c r="D1275" s="1">
        <f t="shared" si="156"/>
        <v>1</v>
      </c>
      <c r="E1275" s="1">
        <f t="shared" ref="E1275:E1338" si="159">IF(D1275=1,0,1)</f>
        <v>0</v>
      </c>
      <c r="F1275" s="31">
        <f t="shared" si="157"/>
        <v>14.6</v>
      </c>
      <c r="G1275" s="31">
        <f t="shared" ca="1" si="153"/>
        <v>14.6</v>
      </c>
      <c r="H1275" s="30">
        <f t="shared" ca="1" si="154"/>
        <v>0</v>
      </c>
      <c r="I1275" s="31">
        <f t="shared" ca="1" si="155"/>
        <v>14.6</v>
      </c>
      <c r="Q1275" s="80"/>
      <c r="R1275" s="42"/>
      <c r="S1275" s="90">
        <f t="shared" ref="S1275:S1338" si="160">S1274+(B1274 / RTC_to_seconds)</f>
        <v>121.69999999999736</v>
      </c>
      <c r="T1275" s="42"/>
      <c r="U1275" s="42"/>
      <c r="V1275" s="42"/>
      <c r="W1275" s="42"/>
      <c r="X1275" s="81"/>
    </row>
    <row r="1276" spans="2:24" x14ac:dyDescent="0.25">
      <c r="B1276" s="2">
        <v>1</v>
      </c>
      <c r="C1276" s="1">
        <f t="shared" si="158"/>
        <v>17.999999999999915</v>
      </c>
      <c r="D1276" s="1">
        <f t="shared" si="156"/>
        <v>1</v>
      </c>
      <c r="E1276" s="1">
        <f t="shared" si="159"/>
        <v>0</v>
      </c>
      <c r="F1276" s="31">
        <f t="shared" si="157"/>
        <v>14.6</v>
      </c>
      <c r="G1276" s="31">
        <f t="shared" ca="1" si="153"/>
        <v>14.6</v>
      </c>
      <c r="H1276" s="30">
        <f t="shared" ca="1" si="154"/>
        <v>0</v>
      </c>
      <c r="I1276" s="31">
        <f t="shared" ca="1" si="155"/>
        <v>14.6</v>
      </c>
      <c r="Q1276" s="80"/>
      <c r="R1276" s="42"/>
      <c r="S1276" s="90">
        <f t="shared" si="160"/>
        <v>121.79999999999735</v>
      </c>
      <c r="T1276" s="42"/>
      <c r="U1276" s="42"/>
      <c r="V1276" s="42"/>
      <c r="W1276" s="42"/>
      <c r="X1276" s="81"/>
    </row>
    <row r="1277" spans="2:24" x14ac:dyDescent="0.25">
      <c r="B1277" s="2">
        <v>1</v>
      </c>
      <c r="C1277" s="1">
        <f t="shared" si="158"/>
        <v>18.999999999999915</v>
      </c>
      <c r="D1277" s="1">
        <f t="shared" si="156"/>
        <v>1</v>
      </c>
      <c r="E1277" s="1">
        <f t="shared" si="159"/>
        <v>0</v>
      </c>
      <c r="F1277" s="31">
        <f t="shared" si="157"/>
        <v>14.6</v>
      </c>
      <c r="G1277" s="31">
        <f t="shared" ca="1" si="153"/>
        <v>14.6</v>
      </c>
      <c r="H1277" s="30">
        <f t="shared" ca="1" si="154"/>
        <v>0</v>
      </c>
      <c r="I1277" s="31">
        <f t="shared" ca="1" si="155"/>
        <v>14.6</v>
      </c>
      <c r="Q1277" s="80"/>
      <c r="R1277" s="42"/>
      <c r="S1277" s="90">
        <f t="shared" si="160"/>
        <v>121.89999999999735</v>
      </c>
      <c r="T1277" s="42"/>
      <c r="U1277" s="42"/>
      <c r="V1277" s="42"/>
      <c r="W1277" s="42"/>
      <c r="X1277" s="81"/>
    </row>
    <row r="1278" spans="2:24" x14ac:dyDescent="0.25">
      <c r="B1278" s="2">
        <v>1</v>
      </c>
      <c r="C1278" s="1">
        <f t="shared" si="158"/>
        <v>19.999999999999915</v>
      </c>
      <c r="D1278" s="1">
        <f t="shared" si="156"/>
        <v>1</v>
      </c>
      <c r="E1278" s="1">
        <f t="shared" si="159"/>
        <v>0</v>
      </c>
      <c r="F1278" s="31">
        <f t="shared" si="157"/>
        <v>14.6</v>
      </c>
      <c r="G1278" s="31">
        <f t="shared" ca="1" si="153"/>
        <v>14.6</v>
      </c>
      <c r="H1278" s="30">
        <f t="shared" ca="1" si="154"/>
        <v>0</v>
      </c>
      <c r="I1278" s="31">
        <f t="shared" ca="1" si="155"/>
        <v>14.6</v>
      </c>
      <c r="Q1278" s="80"/>
      <c r="R1278" s="42"/>
      <c r="S1278" s="90">
        <f t="shared" si="160"/>
        <v>121.99999999999734</v>
      </c>
      <c r="T1278" s="42"/>
      <c r="U1278" s="42"/>
      <c r="V1278" s="42"/>
      <c r="W1278" s="42"/>
      <c r="X1278" s="81"/>
    </row>
    <row r="1279" spans="2:24" x14ac:dyDescent="0.25">
      <c r="B1279" s="2">
        <v>1</v>
      </c>
      <c r="C1279" s="1">
        <f t="shared" si="158"/>
        <v>20.999999999999915</v>
      </c>
      <c r="D1279" s="1">
        <f t="shared" si="156"/>
        <v>1</v>
      </c>
      <c r="E1279" s="1">
        <f t="shared" si="159"/>
        <v>0</v>
      </c>
      <c r="F1279" s="31">
        <f t="shared" si="157"/>
        <v>14.6</v>
      </c>
      <c r="G1279" s="31">
        <f t="shared" ca="1" si="153"/>
        <v>14.6</v>
      </c>
      <c r="H1279" s="30">
        <f t="shared" ca="1" si="154"/>
        <v>0</v>
      </c>
      <c r="I1279" s="31">
        <f t="shared" ca="1" si="155"/>
        <v>14.6</v>
      </c>
      <c r="Q1279" s="80"/>
      <c r="R1279" s="42"/>
      <c r="S1279" s="90">
        <f t="shared" si="160"/>
        <v>122.09999999999734</v>
      </c>
      <c r="T1279" s="42"/>
      <c r="U1279" s="42"/>
      <c r="V1279" s="42"/>
      <c r="W1279" s="42"/>
      <c r="X1279" s="81"/>
    </row>
    <row r="1280" spans="2:24" x14ac:dyDescent="0.25">
      <c r="B1280" s="2">
        <v>1</v>
      </c>
      <c r="C1280" s="1">
        <f t="shared" si="158"/>
        <v>21.999999999999915</v>
      </c>
      <c r="D1280" s="1">
        <f t="shared" si="156"/>
        <v>1</v>
      </c>
      <c r="E1280" s="1">
        <f t="shared" si="159"/>
        <v>0</v>
      </c>
      <c r="F1280" s="31">
        <f t="shared" si="157"/>
        <v>14.6</v>
      </c>
      <c r="G1280" s="31">
        <f t="shared" ca="1" si="153"/>
        <v>14.6</v>
      </c>
      <c r="H1280" s="30">
        <f t="shared" ca="1" si="154"/>
        <v>0</v>
      </c>
      <c r="I1280" s="31">
        <f t="shared" ca="1" si="155"/>
        <v>14.6</v>
      </c>
      <c r="Q1280" s="80"/>
      <c r="R1280" s="42"/>
      <c r="S1280" s="90">
        <f t="shared" si="160"/>
        <v>122.19999999999733</v>
      </c>
      <c r="T1280" s="42"/>
      <c r="U1280" s="42"/>
      <c r="V1280" s="42"/>
      <c r="W1280" s="42"/>
      <c r="X1280" s="81"/>
    </row>
    <row r="1281" spans="2:24" x14ac:dyDescent="0.25">
      <c r="B1281" s="2">
        <v>1</v>
      </c>
      <c r="C1281" s="1">
        <f t="shared" si="158"/>
        <v>22.999999999999915</v>
      </c>
      <c r="D1281" s="1">
        <f t="shared" si="156"/>
        <v>0</v>
      </c>
      <c r="E1281" s="1">
        <f t="shared" si="159"/>
        <v>1</v>
      </c>
      <c r="F1281" s="31">
        <f t="shared" si="157"/>
        <v>6.4</v>
      </c>
      <c r="G1281" s="31">
        <f t="shared" ca="1" si="153"/>
        <v>0</v>
      </c>
      <c r="H1281" s="30">
        <f t="shared" ca="1" si="154"/>
        <v>14.6</v>
      </c>
      <c r="I1281" s="31">
        <f t="shared" ca="1" si="155"/>
        <v>14.6</v>
      </c>
      <c r="Q1281" s="80"/>
      <c r="R1281" s="42"/>
      <c r="S1281" s="90">
        <f t="shared" si="160"/>
        <v>122.29999999999733</v>
      </c>
      <c r="T1281" s="42"/>
      <c r="U1281" s="42"/>
      <c r="V1281" s="42"/>
      <c r="W1281" s="42"/>
      <c r="X1281" s="81"/>
    </row>
    <row r="1282" spans="2:24" x14ac:dyDescent="0.25">
      <c r="B1282" s="2">
        <v>1</v>
      </c>
      <c r="C1282" s="1">
        <f t="shared" si="158"/>
        <v>23.999999999999915</v>
      </c>
      <c r="D1282" s="1">
        <f t="shared" si="156"/>
        <v>0</v>
      </c>
      <c r="E1282" s="1">
        <f t="shared" si="159"/>
        <v>1</v>
      </c>
      <c r="F1282" s="31">
        <f t="shared" si="157"/>
        <v>6.4</v>
      </c>
      <c r="G1282" s="31">
        <f t="shared" ca="1" si="153"/>
        <v>0</v>
      </c>
      <c r="H1282" s="30">
        <f t="shared" ca="1" si="154"/>
        <v>6.4</v>
      </c>
      <c r="I1282" s="31">
        <f t="shared" ca="1" si="155"/>
        <v>6.4</v>
      </c>
      <c r="Q1282" s="80"/>
      <c r="R1282" s="42"/>
      <c r="S1282" s="90">
        <f t="shared" si="160"/>
        <v>122.39999999999732</v>
      </c>
      <c r="T1282" s="42"/>
      <c r="U1282" s="42"/>
      <c r="V1282" s="42"/>
      <c r="W1282" s="42"/>
      <c r="X1282" s="81"/>
    </row>
    <row r="1283" spans="2:24" x14ac:dyDescent="0.25">
      <c r="B1283" s="2">
        <v>1</v>
      </c>
      <c r="C1283" s="1">
        <f t="shared" si="158"/>
        <v>24.999999999999915</v>
      </c>
      <c r="D1283" s="1">
        <f t="shared" si="156"/>
        <v>0</v>
      </c>
      <c r="E1283" s="1">
        <f t="shared" si="159"/>
        <v>1</v>
      </c>
      <c r="F1283" s="31">
        <f t="shared" si="157"/>
        <v>6.4</v>
      </c>
      <c r="G1283" s="31">
        <f t="shared" ca="1" si="153"/>
        <v>0</v>
      </c>
      <c r="H1283" s="30">
        <f t="shared" ca="1" si="154"/>
        <v>6.4</v>
      </c>
      <c r="I1283" s="31">
        <f t="shared" ca="1" si="155"/>
        <v>6.4</v>
      </c>
      <c r="Q1283" s="80"/>
      <c r="R1283" s="42"/>
      <c r="S1283" s="90">
        <f t="shared" si="160"/>
        <v>122.49999999999731</v>
      </c>
      <c r="T1283" s="42"/>
      <c r="U1283" s="42"/>
      <c r="V1283" s="42"/>
      <c r="W1283" s="42"/>
      <c r="X1283" s="81"/>
    </row>
    <row r="1284" spans="2:24" x14ac:dyDescent="0.25">
      <c r="B1284" s="2">
        <v>1</v>
      </c>
      <c r="C1284" s="1">
        <f t="shared" si="158"/>
        <v>25.999999999999915</v>
      </c>
      <c r="D1284" s="1">
        <f t="shared" si="156"/>
        <v>0</v>
      </c>
      <c r="E1284" s="1">
        <f t="shared" si="159"/>
        <v>1</v>
      </c>
      <c r="F1284" s="31">
        <f t="shared" si="157"/>
        <v>6.4</v>
      </c>
      <c r="G1284" s="31">
        <f t="shared" ca="1" si="153"/>
        <v>0</v>
      </c>
      <c r="H1284" s="30">
        <f t="shared" ca="1" si="154"/>
        <v>6.4</v>
      </c>
      <c r="I1284" s="31">
        <f t="shared" ca="1" si="155"/>
        <v>6.4</v>
      </c>
      <c r="Q1284" s="80"/>
      <c r="R1284" s="42"/>
      <c r="S1284" s="90">
        <f t="shared" si="160"/>
        <v>122.59999999999731</v>
      </c>
      <c r="T1284" s="42"/>
      <c r="U1284" s="42"/>
      <c r="V1284" s="42"/>
      <c r="W1284" s="42"/>
      <c r="X1284" s="81"/>
    </row>
    <row r="1285" spans="2:24" x14ac:dyDescent="0.25">
      <c r="B1285" s="2">
        <v>1</v>
      </c>
      <c r="C1285" s="1">
        <f t="shared" si="158"/>
        <v>26.999999999999915</v>
      </c>
      <c r="D1285" s="1">
        <f t="shared" si="156"/>
        <v>0</v>
      </c>
      <c r="E1285" s="1">
        <f t="shared" si="159"/>
        <v>1</v>
      </c>
      <c r="F1285" s="31">
        <f t="shared" si="157"/>
        <v>6.4</v>
      </c>
      <c r="G1285" s="31">
        <f t="shared" ca="1" si="153"/>
        <v>0</v>
      </c>
      <c r="H1285" s="30">
        <f t="shared" ca="1" si="154"/>
        <v>6.4</v>
      </c>
      <c r="I1285" s="31">
        <f t="shared" ca="1" si="155"/>
        <v>6.4</v>
      </c>
      <c r="Q1285" s="80"/>
      <c r="R1285" s="42"/>
      <c r="S1285" s="90">
        <f t="shared" si="160"/>
        <v>122.6999999999973</v>
      </c>
      <c r="T1285" s="42"/>
      <c r="U1285" s="42"/>
      <c r="V1285" s="42"/>
      <c r="W1285" s="42"/>
      <c r="X1285" s="81"/>
    </row>
    <row r="1286" spans="2:24" x14ac:dyDescent="0.25">
      <c r="B1286" s="2">
        <v>1</v>
      </c>
      <c r="C1286" s="1">
        <f t="shared" si="158"/>
        <v>27.999999999999915</v>
      </c>
      <c r="D1286" s="1">
        <f t="shared" si="156"/>
        <v>0</v>
      </c>
      <c r="E1286" s="1">
        <f t="shared" si="159"/>
        <v>1</v>
      </c>
      <c r="F1286" s="31">
        <f t="shared" si="157"/>
        <v>6.4</v>
      </c>
      <c r="G1286" s="31">
        <f t="shared" ca="1" si="153"/>
        <v>0</v>
      </c>
      <c r="H1286" s="30">
        <f t="shared" ca="1" si="154"/>
        <v>6.4</v>
      </c>
      <c r="I1286" s="31">
        <f t="shared" ca="1" si="155"/>
        <v>6.4</v>
      </c>
      <c r="Q1286" s="80"/>
      <c r="R1286" s="42"/>
      <c r="S1286" s="90">
        <f t="shared" si="160"/>
        <v>122.7999999999973</v>
      </c>
      <c r="T1286" s="42"/>
      <c r="U1286" s="42"/>
      <c r="V1286" s="42"/>
      <c r="W1286" s="42"/>
      <c r="X1286" s="81"/>
    </row>
    <row r="1287" spans="2:24" x14ac:dyDescent="0.25">
      <c r="B1287" s="2">
        <v>1</v>
      </c>
      <c r="C1287" s="1">
        <f t="shared" si="158"/>
        <v>28.999999999999915</v>
      </c>
      <c r="D1287" s="1">
        <f t="shared" si="156"/>
        <v>0</v>
      </c>
      <c r="E1287" s="1">
        <f t="shared" si="159"/>
        <v>1</v>
      </c>
      <c r="F1287" s="31">
        <f t="shared" si="157"/>
        <v>6.4</v>
      </c>
      <c r="G1287" s="31">
        <f t="shared" ca="1" si="153"/>
        <v>0</v>
      </c>
      <c r="H1287" s="30">
        <f t="shared" ca="1" si="154"/>
        <v>6.4</v>
      </c>
      <c r="I1287" s="31">
        <f t="shared" ca="1" si="155"/>
        <v>6.4</v>
      </c>
      <c r="Q1287" s="80"/>
      <c r="R1287" s="42"/>
      <c r="S1287" s="90">
        <f t="shared" si="160"/>
        <v>122.89999999999729</v>
      </c>
      <c r="T1287" s="42"/>
      <c r="U1287" s="42"/>
      <c r="V1287" s="42"/>
      <c r="W1287" s="42"/>
      <c r="X1287" s="81"/>
    </row>
    <row r="1288" spans="2:24" x14ac:dyDescent="0.25">
      <c r="B1288" s="2">
        <v>1</v>
      </c>
      <c r="C1288" s="1">
        <f t="shared" si="158"/>
        <v>29.999999999999915</v>
      </c>
      <c r="D1288" s="1">
        <f t="shared" si="156"/>
        <v>0</v>
      </c>
      <c r="E1288" s="1">
        <f t="shared" si="159"/>
        <v>1</v>
      </c>
      <c r="F1288" s="31">
        <f t="shared" si="157"/>
        <v>6.4</v>
      </c>
      <c r="G1288" s="31">
        <f t="shared" ca="1" si="153"/>
        <v>0</v>
      </c>
      <c r="H1288" s="30">
        <f t="shared" ca="1" si="154"/>
        <v>6.4</v>
      </c>
      <c r="I1288" s="31">
        <f t="shared" ca="1" si="155"/>
        <v>6.4</v>
      </c>
      <c r="Q1288" s="80"/>
      <c r="R1288" s="42"/>
      <c r="S1288" s="90">
        <f t="shared" si="160"/>
        <v>122.99999999999729</v>
      </c>
      <c r="T1288" s="42"/>
      <c r="U1288" s="42"/>
      <c r="V1288" s="42"/>
      <c r="W1288" s="42"/>
      <c r="X1288" s="81"/>
    </row>
    <row r="1289" spans="2:24" x14ac:dyDescent="0.25">
      <c r="B1289" s="2">
        <v>1</v>
      </c>
      <c r="C1289" s="1">
        <f t="shared" si="158"/>
        <v>30.999999999999915</v>
      </c>
      <c r="D1289" s="1">
        <f t="shared" si="156"/>
        <v>0</v>
      </c>
      <c r="E1289" s="1">
        <f t="shared" si="159"/>
        <v>1</v>
      </c>
      <c r="F1289" s="31">
        <f t="shared" si="157"/>
        <v>6.4</v>
      </c>
      <c r="G1289" s="31">
        <f t="shared" ca="1" si="153"/>
        <v>0</v>
      </c>
      <c r="H1289" s="30">
        <f t="shared" ca="1" si="154"/>
        <v>6.4</v>
      </c>
      <c r="I1289" s="31">
        <f t="shared" ca="1" si="155"/>
        <v>6.4</v>
      </c>
      <c r="Q1289" s="80"/>
      <c r="R1289" s="42"/>
      <c r="S1289" s="90">
        <f t="shared" si="160"/>
        <v>123.09999999999728</v>
      </c>
      <c r="T1289" s="42"/>
      <c r="U1289" s="42"/>
      <c r="V1289" s="42"/>
      <c r="W1289" s="42"/>
      <c r="X1289" s="81"/>
    </row>
    <row r="1290" spans="2:24" x14ac:dyDescent="0.25">
      <c r="B1290" s="2">
        <v>1</v>
      </c>
      <c r="C1290" s="1">
        <f t="shared" si="158"/>
        <v>31.999999999999915</v>
      </c>
      <c r="D1290" s="1">
        <f t="shared" si="156"/>
        <v>0</v>
      </c>
      <c r="E1290" s="1">
        <f t="shared" si="159"/>
        <v>1</v>
      </c>
      <c r="F1290" s="31">
        <f t="shared" si="157"/>
        <v>6.4</v>
      </c>
      <c r="G1290" s="31">
        <f t="shared" ca="1" si="153"/>
        <v>0</v>
      </c>
      <c r="H1290" s="30">
        <f t="shared" ca="1" si="154"/>
        <v>6.4</v>
      </c>
      <c r="I1290" s="31">
        <f t="shared" ca="1" si="155"/>
        <v>6.4</v>
      </c>
      <c r="Q1290" s="80"/>
      <c r="R1290" s="42"/>
      <c r="S1290" s="90">
        <f t="shared" si="160"/>
        <v>123.19999999999727</v>
      </c>
      <c r="T1290" s="42"/>
      <c r="U1290" s="42"/>
      <c r="V1290" s="42"/>
      <c r="W1290" s="42"/>
      <c r="X1290" s="81"/>
    </row>
    <row r="1291" spans="2:24" x14ac:dyDescent="0.25">
      <c r="B1291" s="2">
        <v>1</v>
      </c>
      <c r="C1291" s="1">
        <f t="shared" si="158"/>
        <v>32.999999999999915</v>
      </c>
      <c r="D1291" s="1">
        <f t="shared" si="156"/>
        <v>0</v>
      </c>
      <c r="E1291" s="1">
        <f t="shared" si="159"/>
        <v>1</v>
      </c>
      <c r="F1291" s="31">
        <f t="shared" si="157"/>
        <v>6.4</v>
      </c>
      <c r="G1291" s="31">
        <f t="shared" ref="G1291:G1354" ca="1" si="161">IF(D1291=1, AVERAGE(OFFSET(F1291,-$L$27,0,$L$27,1)),0)</f>
        <v>0</v>
      </c>
      <c r="H1291" s="30">
        <f t="shared" ref="H1291:H1354" ca="1" si="162">IF(D1291=0, AVERAGE(OFFSET(F1291,-$L$28,0,$L$28,1)),0)</f>
        <v>6.4</v>
      </c>
      <c r="I1291" s="31">
        <f t="shared" ref="I1291:I1354" ca="1" si="163">G1291+H1291</f>
        <v>6.4</v>
      </c>
      <c r="Q1291" s="80"/>
      <c r="R1291" s="42"/>
      <c r="S1291" s="90">
        <f t="shared" si="160"/>
        <v>123.29999999999727</v>
      </c>
      <c r="T1291" s="42"/>
      <c r="U1291" s="42"/>
      <c r="V1291" s="42"/>
      <c r="W1291" s="42"/>
      <c r="X1291" s="81"/>
    </row>
    <row r="1292" spans="2:24" x14ac:dyDescent="0.25">
      <c r="B1292" s="2">
        <v>1</v>
      </c>
      <c r="C1292" s="1">
        <f t="shared" si="158"/>
        <v>33.999999999999915</v>
      </c>
      <c r="D1292" s="1">
        <f t="shared" si="156"/>
        <v>0</v>
      </c>
      <c r="E1292" s="1">
        <f t="shared" si="159"/>
        <v>1</v>
      </c>
      <c r="F1292" s="31">
        <f t="shared" si="157"/>
        <v>6.4</v>
      </c>
      <c r="G1292" s="31">
        <f t="shared" ca="1" si="161"/>
        <v>0</v>
      </c>
      <c r="H1292" s="30">
        <f t="shared" ca="1" si="162"/>
        <v>6.4</v>
      </c>
      <c r="I1292" s="31">
        <f t="shared" ca="1" si="163"/>
        <v>6.4</v>
      </c>
      <c r="Q1292" s="80"/>
      <c r="R1292" s="42"/>
      <c r="S1292" s="90">
        <f t="shared" si="160"/>
        <v>123.39999999999726</v>
      </c>
      <c r="T1292" s="42"/>
      <c r="U1292" s="42"/>
      <c r="V1292" s="42"/>
      <c r="W1292" s="42"/>
      <c r="X1292" s="81"/>
    </row>
    <row r="1293" spans="2:24" x14ac:dyDescent="0.25">
      <c r="B1293" s="2">
        <v>1</v>
      </c>
      <c r="C1293" s="1">
        <f t="shared" si="158"/>
        <v>34.999999999999915</v>
      </c>
      <c r="D1293" s="1">
        <f t="shared" si="156"/>
        <v>0</v>
      </c>
      <c r="E1293" s="1">
        <f t="shared" si="159"/>
        <v>1</v>
      </c>
      <c r="F1293" s="31">
        <f t="shared" si="157"/>
        <v>6.4</v>
      </c>
      <c r="G1293" s="31">
        <f t="shared" ca="1" si="161"/>
        <v>0</v>
      </c>
      <c r="H1293" s="30">
        <f t="shared" ca="1" si="162"/>
        <v>6.4</v>
      </c>
      <c r="I1293" s="31">
        <f t="shared" ca="1" si="163"/>
        <v>6.4</v>
      </c>
      <c r="Q1293" s="80"/>
      <c r="R1293" s="42"/>
      <c r="S1293" s="90">
        <f t="shared" si="160"/>
        <v>123.49999999999726</v>
      </c>
      <c r="T1293" s="42"/>
      <c r="U1293" s="42"/>
      <c r="V1293" s="42"/>
      <c r="W1293" s="42"/>
      <c r="X1293" s="81"/>
    </row>
    <row r="1294" spans="2:24" x14ac:dyDescent="0.25">
      <c r="B1294" s="2">
        <v>1</v>
      </c>
      <c r="C1294" s="1">
        <f t="shared" si="158"/>
        <v>0.7058823529410887</v>
      </c>
      <c r="D1294" s="1">
        <f t="shared" si="156"/>
        <v>1</v>
      </c>
      <c r="E1294" s="1">
        <f t="shared" si="159"/>
        <v>0</v>
      </c>
      <c r="F1294" s="31">
        <f t="shared" si="157"/>
        <v>14.6</v>
      </c>
      <c r="G1294" s="31">
        <f t="shared" ca="1" si="161"/>
        <v>6.4</v>
      </c>
      <c r="H1294" s="30">
        <f t="shared" ca="1" si="162"/>
        <v>0</v>
      </c>
      <c r="I1294" s="31">
        <f t="shared" ca="1" si="163"/>
        <v>6.4</v>
      </c>
      <c r="Q1294" s="80"/>
      <c r="R1294" s="42"/>
      <c r="S1294" s="90">
        <f t="shared" si="160"/>
        <v>123.59999999999725</v>
      </c>
      <c r="T1294" s="42"/>
      <c r="U1294" s="42"/>
      <c r="V1294" s="42"/>
      <c r="W1294" s="42"/>
      <c r="X1294" s="81"/>
    </row>
    <row r="1295" spans="2:24" x14ac:dyDescent="0.25">
      <c r="B1295" s="2">
        <v>1</v>
      </c>
      <c r="C1295" s="1">
        <f t="shared" si="158"/>
        <v>1.7058823529410887</v>
      </c>
      <c r="D1295" s="1">
        <f t="shared" si="156"/>
        <v>1</v>
      </c>
      <c r="E1295" s="1">
        <f t="shared" si="159"/>
        <v>0</v>
      </c>
      <c r="F1295" s="31">
        <f t="shared" si="157"/>
        <v>14.6</v>
      </c>
      <c r="G1295" s="31">
        <f t="shared" ca="1" si="161"/>
        <v>8.4500000000000011</v>
      </c>
      <c r="H1295" s="30">
        <f t="shared" ca="1" si="162"/>
        <v>0</v>
      </c>
      <c r="I1295" s="31">
        <f t="shared" ca="1" si="163"/>
        <v>8.4500000000000011</v>
      </c>
      <c r="Q1295" s="80"/>
      <c r="R1295" s="42"/>
      <c r="S1295" s="90">
        <f t="shared" si="160"/>
        <v>123.69999999999725</v>
      </c>
      <c r="T1295" s="42"/>
      <c r="U1295" s="42"/>
      <c r="V1295" s="42"/>
      <c r="W1295" s="42"/>
      <c r="X1295" s="81"/>
    </row>
    <row r="1296" spans="2:24" x14ac:dyDescent="0.25">
      <c r="B1296" s="2">
        <v>1</v>
      </c>
      <c r="C1296" s="1">
        <f t="shared" si="158"/>
        <v>2.7058823529410887</v>
      </c>
      <c r="D1296" s="1">
        <f t="shared" si="156"/>
        <v>1</v>
      </c>
      <c r="E1296" s="1">
        <f t="shared" si="159"/>
        <v>0</v>
      </c>
      <c r="F1296" s="31">
        <f t="shared" si="157"/>
        <v>14.6</v>
      </c>
      <c r="G1296" s="31">
        <f t="shared" ca="1" si="161"/>
        <v>10.5</v>
      </c>
      <c r="H1296" s="30">
        <f t="shared" ca="1" si="162"/>
        <v>0</v>
      </c>
      <c r="I1296" s="31">
        <f t="shared" ca="1" si="163"/>
        <v>10.5</v>
      </c>
      <c r="Q1296" s="80"/>
      <c r="R1296" s="42"/>
      <c r="S1296" s="90">
        <f t="shared" si="160"/>
        <v>123.79999999999724</v>
      </c>
      <c r="T1296" s="42"/>
      <c r="U1296" s="42"/>
      <c r="V1296" s="42"/>
      <c r="W1296" s="42"/>
      <c r="X1296" s="81"/>
    </row>
    <row r="1297" spans="2:24" x14ac:dyDescent="0.25">
      <c r="B1297" s="2">
        <v>1</v>
      </c>
      <c r="C1297" s="1">
        <f t="shared" si="158"/>
        <v>3.7058823529410887</v>
      </c>
      <c r="D1297" s="1">
        <f t="shared" si="156"/>
        <v>1</v>
      </c>
      <c r="E1297" s="1">
        <f t="shared" si="159"/>
        <v>0</v>
      </c>
      <c r="F1297" s="31">
        <f t="shared" si="157"/>
        <v>14.6</v>
      </c>
      <c r="G1297" s="31">
        <f t="shared" ca="1" si="161"/>
        <v>12.55</v>
      </c>
      <c r="H1297" s="30">
        <f t="shared" ca="1" si="162"/>
        <v>0</v>
      </c>
      <c r="I1297" s="31">
        <f t="shared" ca="1" si="163"/>
        <v>12.55</v>
      </c>
      <c r="Q1297" s="80"/>
      <c r="R1297" s="42"/>
      <c r="S1297" s="90">
        <f t="shared" si="160"/>
        <v>123.89999999999723</v>
      </c>
      <c r="T1297" s="42"/>
      <c r="U1297" s="42"/>
      <c r="V1297" s="42"/>
      <c r="W1297" s="42"/>
      <c r="X1297" s="81"/>
    </row>
    <row r="1298" spans="2:24" x14ac:dyDescent="0.25">
      <c r="B1298" s="2">
        <v>1</v>
      </c>
      <c r="C1298" s="1">
        <f t="shared" si="158"/>
        <v>4.7058823529410887</v>
      </c>
      <c r="D1298" s="1">
        <f t="shared" si="156"/>
        <v>1</v>
      </c>
      <c r="E1298" s="1">
        <f t="shared" si="159"/>
        <v>0</v>
      </c>
      <c r="F1298" s="31">
        <f t="shared" si="157"/>
        <v>14.6</v>
      </c>
      <c r="G1298" s="31">
        <f t="shared" ca="1" si="161"/>
        <v>14.6</v>
      </c>
      <c r="H1298" s="30">
        <f t="shared" ca="1" si="162"/>
        <v>0</v>
      </c>
      <c r="I1298" s="31">
        <f t="shared" ca="1" si="163"/>
        <v>14.6</v>
      </c>
      <c r="Q1298" s="80"/>
      <c r="R1298" s="42"/>
      <c r="S1298" s="90">
        <f t="shared" si="160"/>
        <v>123.99999999999723</v>
      </c>
      <c r="T1298" s="42"/>
      <c r="U1298" s="42"/>
      <c r="V1298" s="42"/>
      <c r="W1298" s="42"/>
      <c r="X1298" s="81"/>
    </row>
    <row r="1299" spans="2:24" x14ac:dyDescent="0.25">
      <c r="B1299" s="2">
        <v>1</v>
      </c>
      <c r="C1299" s="1">
        <f t="shared" si="158"/>
        <v>5.7058823529410887</v>
      </c>
      <c r="D1299" s="1">
        <f t="shared" si="156"/>
        <v>1</v>
      </c>
      <c r="E1299" s="1">
        <f t="shared" si="159"/>
        <v>0</v>
      </c>
      <c r="F1299" s="31">
        <f t="shared" si="157"/>
        <v>14.6</v>
      </c>
      <c r="G1299" s="31">
        <f t="shared" ca="1" si="161"/>
        <v>14.6</v>
      </c>
      <c r="H1299" s="30">
        <f t="shared" ca="1" si="162"/>
        <v>0</v>
      </c>
      <c r="I1299" s="31">
        <f t="shared" ca="1" si="163"/>
        <v>14.6</v>
      </c>
      <c r="Q1299" s="80"/>
      <c r="R1299" s="42"/>
      <c r="S1299" s="90">
        <f t="shared" si="160"/>
        <v>124.09999999999722</v>
      </c>
      <c r="T1299" s="42"/>
      <c r="U1299" s="42"/>
      <c r="V1299" s="42"/>
      <c r="W1299" s="42"/>
      <c r="X1299" s="81"/>
    </row>
    <row r="1300" spans="2:24" x14ac:dyDescent="0.25">
      <c r="B1300" s="2">
        <v>1</v>
      </c>
      <c r="C1300" s="1">
        <f t="shared" si="158"/>
        <v>6.7058823529410887</v>
      </c>
      <c r="D1300" s="1">
        <f t="shared" si="156"/>
        <v>1</v>
      </c>
      <c r="E1300" s="1">
        <f t="shared" si="159"/>
        <v>0</v>
      </c>
      <c r="F1300" s="31">
        <f t="shared" si="157"/>
        <v>14.6</v>
      </c>
      <c r="G1300" s="31">
        <f t="shared" ca="1" si="161"/>
        <v>14.6</v>
      </c>
      <c r="H1300" s="30">
        <f t="shared" ca="1" si="162"/>
        <v>0</v>
      </c>
      <c r="I1300" s="31">
        <f t="shared" ca="1" si="163"/>
        <v>14.6</v>
      </c>
      <c r="Q1300" s="80"/>
      <c r="R1300" s="42"/>
      <c r="S1300" s="90">
        <f t="shared" si="160"/>
        <v>124.19999999999722</v>
      </c>
      <c r="T1300" s="42"/>
      <c r="U1300" s="42"/>
      <c r="V1300" s="42"/>
      <c r="W1300" s="42"/>
      <c r="X1300" s="81"/>
    </row>
    <row r="1301" spans="2:24" x14ac:dyDescent="0.25">
      <c r="B1301" s="2">
        <v>1</v>
      </c>
      <c r="C1301" s="1">
        <f t="shared" si="158"/>
        <v>7.7058823529410887</v>
      </c>
      <c r="D1301" s="1">
        <f t="shared" si="156"/>
        <v>1</v>
      </c>
      <c r="E1301" s="1">
        <f t="shared" si="159"/>
        <v>0</v>
      </c>
      <c r="F1301" s="31">
        <f t="shared" si="157"/>
        <v>14.6</v>
      </c>
      <c r="G1301" s="31">
        <f t="shared" ca="1" si="161"/>
        <v>14.6</v>
      </c>
      <c r="H1301" s="30">
        <f t="shared" ca="1" si="162"/>
        <v>0</v>
      </c>
      <c r="I1301" s="31">
        <f t="shared" ca="1" si="163"/>
        <v>14.6</v>
      </c>
      <c r="Q1301" s="80"/>
      <c r="R1301" s="42"/>
      <c r="S1301" s="90">
        <f t="shared" si="160"/>
        <v>124.29999999999721</v>
      </c>
      <c r="T1301" s="42"/>
      <c r="U1301" s="42"/>
      <c r="V1301" s="42"/>
      <c r="W1301" s="42"/>
      <c r="X1301" s="81"/>
    </row>
    <row r="1302" spans="2:24" x14ac:dyDescent="0.25">
      <c r="B1302" s="2">
        <v>1</v>
      </c>
      <c r="C1302" s="1">
        <f t="shared" si="158"/>
        <v>8.7058823529410887</v>
      </c>
      <c r="D1302" s="1">
        <f t="shared" si="156"/>
        <v>1</v>
      </c>
      <c r="E1302" s="1">
        <f t="shared" si="159"/>
        <v>0</v>
      </c>
      <c r="F1302" s="31">
        <f t="shared" si="157"/>
        <v>14.6</v>
      </c>
      <c r="G1302" s="31">
        <f t="shared" ca="1" si="161"/>
        <v>14.6</v>
      </c>
      <c r="H1302" s="30">
        <f t="shared" ca="1" si="162"/>
        <v>0</v>
      </c>
      <c r="I1302" s="31">
        <f t="shared" ca="1" si="163"/>
        <v>14.6</v>
      </c>
      <c r="Q1302" s="80"/>
      <c r="R1302" s="42"/>
      <c r="S1302" s="90">
        <f t="shared" si="160"/>
        <v>124.39999999999721</v>
      </c>
      <c r="T1302" s="42"/>
      <c r="U1302" s="42"/>
      <c r="V1302" s="42"/>
      <c r="W1302" s="42"/>
      <c r="X1302" s="81"/>
    </row>
    <row r="1303" spans="2:24" x14ac:dyDescent="0.25">
      <c r="B1303" s="2">
        <v>1</v>
      </c>
      <c r="C1303" s="1">
        <f t="shared" si="158"/>
        <v>9.7058823529410887</v>
      </c>
      <c r="D1303" s="1">
        <f t="shared" si="156"/>
        <v>1</v>
      </c>
      <c r="E1303" s="1">
        <f t="shared" si="159"/>
        <v>0</v>
      </c>
      <c r="F1303" s="31">
        <f t="shared" si="157"/>
        <v>14.6</v>
      </c>
      <c r="G1303" s="31">
        <f t="shared" ca="1" si="161"/>
        <v>14.6</v>
      </c>
      <c r="H1303" s="30">
        <f t="shared" ca="1" si="162"/>
        <v>0</v>
      </c>
      <c r="I1303" s="31">
        <f t="shared" ca="1" si="163"/>
        <v>14.6</v>
      </c>
      <c r="Q1303" s="80"/>
      <c r="R1303" s="42"/>
      <c r="S1303" s="90">
        <f t="shared" si="160"/>
        <v>124.4999999999972</v>
      </c>
      <c r="T1303" s="42"/>
      <c r="U1303" s="42"/>
      <c r="V1303" s="42"/>
      <c r="W1303" s="42"/>
      <c r="X1303" s="81"/>
    </row>
    <row r="1304" spans="2:24" x14ac:dyDescent="0.25">
      <c r="B1304" s="2">
        <v>1</v>
      </c>
      <c r="C1304" s="1">
        <f t="shared" si="158"/>
        <v>10.705882352941089</v>
      </c>
      <c r="D1304" s="1">
        <f t="shared" si="156"/>
        <v>1</v>
      </c>
      <c r="E1304" s="1">
        <f t="shared" si="159"/>
        <v>0</v>
      </c>
      <c r="F1304" s="31">
        <f t="shared" si="157"/>
        <v>14.6</v>
      </c>
      <c r="G1304" s="31">
        <f t="shared" ca="1" si="161"/>
        <v>14.6</v>
      </c>
      <c r="H1304" s="30">
        <f t="shared" ca="1" si="162"/>
        <v>0</v>
      </c>
      <c r="I1304" s="31">
        <f t="shared" ca="1" si="163"/>
        <v>14.6</v>
      </c>
      <c r="Q1304" s="80"/>
      <c r="R1304" s="42"/>
      <c r="S1304" s="90">
        <f t="shared" si="160"/>
        <v>124.59999999999719</v>
      </c>
      <c r="T1304" s="42"/>
      <c r="U1304" s="42"/>
      <c r="V1304" s="42"/>
      <c r="W1304" s="42"/>
      <c r="X1304" s="81"/>
    </row>
    <row r="1305" spans="2:24" x14ac:dyDescent="0.25">
      <c r="B1305" s="2">
        <v>1</v>
      </c>
      <c r="C1305" s="1">
        <f t="shared" si="158"/>
        <v>11.705882352941089</v>
      </c>
      <c r="D1305" s="1">
        <f t="shared" si="156"/>
        <v>1</v>
      </c>
      <c r="E1305" s="1">
        <f t="shared" si="159"/>
        <v>0</v>
      </c>
      <c r="F1305" s="31">
        <f t="shared" si="157"/>
        <v>14.6</v>
      </c>
      <c r="G1305" s="31">
        <f t="shared" ca="1" si="161"/>
        <v>14.6</v>
      </c>
      <c r="H1305" s="30">
        <f t="shared" ca="1" si="162"/>
        <v>0</v>
      </c>
      <c r="I1305" s="31">
        <f t="shared" ca="1" si="163"/>
        <v>14.6</v>
      </c>
      <c r="Q1305" s="80"/>
      <c r="R1305" s="42"/>
      <c r="S1305" s="90">
        <f t="shared" si="160"/>
        <v>124.69999999999719</v>
      </c>
      <c r="T1305" s="42"/>
      <c r="U1305" s="42"/>
      <c r="V1305" s="42"/>
      <c r="W1305" s="42"/>
      <c r="X1305" s="81"/>
    </row>
    <row r="1306" spans="2:24" x14ac:dyDescent="0.25">
      <c r="B1306" s="2">
        <v>1</v>
      </c>
      <c r="C1306" s="1">
        <f t="shared" si="158"/>
        <v>12.705882352941089</v>
      </c>
      <c r="D1306" s="1">
        <f t="shared" si="156"/>
        <v>1</v>
      </c>
      <c r="E1306" s="1">
        <f t="shared" si="159"/>
        <v>0</v>
      </c>
      <c r="F1306" s="31">
        <f t="shared" si="157"/>
        <v>14.6</v>
      </c>
      <c r="G1306" s="31">
        <f t="shared" ca="1" si="161"/>
        <v>14.6</v>
      </c>
      <c r="H1306" s="30">
        <f t="shared" ca="1" si="162"/>
        <v>0</v>
      </c>
      <c r="I1306" s="31">
        <f t="shared" ca="1" si="163"/>
        <v>14.6</v>
      </c>
      <c r="Q1306" s="80"/>
      <c r="R1306" s="42"/>
      <c r="S1306" s="90">
        <f t="shared" si="160"/>
        <v>124.79999999999718</v>
      </c>
      <c r="T1306" s="42"/>
      <c r="U1306" s="42"/>
      <c r="V1306" s="42"/>
      <c r="W1306" s="42"/>
      <c r="X1306" s="81"/>
    </row>
    <row r="1307" spans="2:24" x14ac:dyDescent="0.25">
      <c r="B1307" s="2">
        <v>1</v>
      </c>
      <c r="C1307" s="1">
        <f t="shared" si="158"/>
        <v>13.705882352941089</v>
      </c>
      <c r="D1307" s="1">
        <f t="shared" si="156"/>
        <v>1</v>
      </c>
      <c r="E1307" s="1">
        <f t="shared" si="159"/>
        <v>0</v>
      </c>
      <c r="F1307" s="31">
        <f t="shared" si="157"/>
        <v>14.6</v>
      </c>
      <c r="G1307" s="31">
        <f t="shared" ca="1" si="161"/>
        <v>14.6</v>
      </c>
      <c r="H1307" s="30">
        <f t="shared" ca="1" si="162"/>
        <v>0</v>
      </c>
      <c r="I1307" s="31">
        <f t="shared" ca="1" si="163"/>
        <v>14.6</v>
      </c>
      <c r="Q1307" s="80"/>
      <c r="R1307" s="42"/>
      <c r="S1307" s="90">
        <f t="shared" si="160"/>
        <v>124.89999999999718</v>
      </c>
      <c r="T1307" s="42"/>
      <c r="U1307" s="42"/>
      <c r="V1307" s="42"/>
      <c r="W1307" s="42"/>
      <c r="X1307" s="81"/>
    </row>
    <row r="1308" spans="2:24" x14ac:dyDescent="0.25">
      <c r="B1308" s="2">
        <v>1</v>
      </c>
      <c r="C1308" s="1">
        <f t="shared" si="158"/>
        <v>14.705882352941089</v>
      </c>
      <c r="D1308" s="1">
        <f t="shared" si="156"/>
        <v>1</v>
      </c>
      <c r="E1308" s="1">
        <f t="shared" si="159"/>
        <v>0</v>
      </c>
      <c r="F1308" s="31">
        <f t="shared" si="157"/>
        <v>14.6</v>
      </c>
      <c r="G1308" s="31">
        <f t="shared" ca="1" si="161"/>
        <v>14.6</v>
      </c>
      <c r="H1308" s="30">
        <f t="shared" ca="1" si="162"/>
        <v>0</v>
      </c>
      <c r="I1308" s="31">
        <f t="shared" ca="1" si="163"/>
        <v>14.6</v>
      </c>
      <c r="Q1308" s="80"/>
      <c r="R1308" s="42"/>
      <c r="S1308" s="90">
        <f t="shared" si="160"/>
        <v>124.99999999999717</v>
      </c>
      <c r="T1308" s="42"/>
      <c r="U1308" s="42"/>
      <c r="V1308" s="42"/>
      <c r="W1308" s="42"/>
      <c r="X1308" s="81"/>
    </row>
    <row r="1309" spans="2:24" x14ac:dyDescent="0.25">
      <c r="B1309" s="2">
        <v>1</v>
      </c>
      <c r="C1309" s="1">
        <f t="shared" si="158"/>
        <v>15.705882352941089</v>
      </c>
      <c r="D1309" s="1">
        <f t="shared" si="156"/>
        <v>1</v>
      </c>
      <c r="E1309" s="1">
        <f t="shared" si="159"/>
        <v>0</v>
      </c>
      <c r="F1309" s="31">
        <f t="shared" si="157"/>
        <v>14.6</v>
      </c>
      <c r="G1309" s="31">
        <f t="shared" ca="1" si="161"/>
        <v>14.6</v>
      </c>
      <c r="H1309" s="30">
        <f t="shared" ca="1" si="162"/>
        <v>0</v>
      </c>
      <c r="I1309" s="31">
        <f t="shared" ca="1" si="163"/>
        <v>14.6</v>
      </c>
      <c r="Q1309" s="80"/>
      <c r="R1309" s="42"/>
      <c r="S1309" s="90">
        <f t="shared" si="160"/>
        <v>125.09999999999717</v>
      </c>
      <c r="T1309" s="42"/>
      <c r="U1309" s="42"/>
      <c r="V1309" s="42"/>
      <c r="W1309" s="42"/>
      <c r="X1309" s="81"/>
    </row>
    <row r="1310" spans="2:24" x14ac:dyDescent="0.25">
      <c r="B1310" s="2">
        <v>1</v>
      </c>
      <c r="C1310" s="1">
        <f t="shared" si="158"/>
        <v>16.705882352941089</v>
      </c>
      <c r="D1310" s="1">
        <f t="shared" si="156"/>
        <v>1</v>
      </c>
      <c r="E1310" s="1">
        <f t="shared" si="159"/>
        <v>0</v>
      </c>
      <c r="F1310" s="31">
        <f t="shared" si="157"/>
        <v>14.6</v>
      </c>
      <c r="G1310" s="31">
        <f t="shared" ca="1" si="161"/>
        <v>14.6</v>
      </c>
      <c r="H1310" s="30">
        <f t="shared" ca="1" si="162"/>
        <v>0</v>
      </c>
      <c r="I1310" s="31">
        <f t="shared" ca="1" si="163"/>
        <v>14.6</v>
      </c>
      <c r="Q1310" s="80"/>
      <c r="R1310" s="42"/>
      <c r="S1310" s="90">
        <f t="shared" si="160"/>
        <v>125.19999999999716</v>
      </c>
      <c r="T1310" s="42"/>
      <c r="U1310" s="42"/>
      <c r="V1310" s="42"/>
      <c r="W1310" s="42"/>
      <c r="X1310" s="81"/>
    </row>
    <row r="1311" spans="2:24" x14ac:dyDescent="0.25">
      <c r="B1311" s="2">
        <v>1</v>
      </c>
      <c r="C1311" s="1">
        <f t="shared" si="158"/>
        <v>17.705882352941089</v>
      </c>
      <c r="D1311" s="1">
        <f t="shared" si="156"/>
        <v>1</v>
      </c>
      <c r="E1311" s="1">
        <f t="shared" si="159"/>
        <v>0</v>
      </c>
      <c r="F1311" s="31">
        <f t="shared" si="157"/>
        <v>14.6</v>
      </c>
      <c r="G1311" s="31">
        <f t="shared" ca="1" si="161"/>
        <v>14.6</v>
      </c>
      <c r="H1311" s="30">
        <f t="shared" ca="1" si="162"/>
        <v>0</v>
      </c>
      <c r="I1311" s="31">
        <f t="shared" ca="1" si="163"/>
        <v>14.6</v>
      </c>
      <c r="Q1311" s="80"/>
      <c r="R1311" s="42"/>
      <c r="S1311" s="90">
        <f t="shared" si="160"/>
        <v>125.29999999999715</v>
      </c>
      <c r="T1311" s="42"/>
      <c r="U1311" s="42"/>
      <c r="V1311" s="42"/>
      <c r="W1311" s="42"/>
      <c r="X1311" s="81"/>
    </row>
    <row r="1312" spans="2:24" x14ac:dyDescent="0.25">
      <c r="B1312" s="2">
        <v>1</v>
      </c>
      <c r="C1312" s="1">
        <f t="shared" si="158"/>
        <v>18.705882352941089</v>
      </c>
      <c r="D1312" s="1">
        <f t="shared" si="156"/>
        <v>1</v>
      </c>
      <c r="E1312" s="1">
        <f t="shared" si="159"/>
        <v>0</v>
      </c>
      <c r="F1312" s="31">
        <f t="shared" si="157"/>
        <v>14.6</v>
      </c>
      <c r="G1312" s="31">
        <f t="shared" ca="1" si="161"/>
        <v>14.6</v>
      </c>
      <c r="H1312" s="30">
        <f t="shared" ca="1" si="162"/>
        <v>0</v>
      </c>
      <c r="I1312" s="31">
        <f t="shared" ca="1" si="163"/>
        <v>14.6</v>
      </c>
      <c r="Q1312" s="80"/>
      <c r="R1312" s="42"/>
      <c r="S1312" s="90">
        <f t="shared" si="160"/>
        <v>125.39999999999715</v>
      </c>
      <c r="T1312" s="42"/>
      <c r="U1312" s="42"/>
      <c r="V1312" s="42"/>
      <c r="W1312" s="42"/>
      <c r="X1312" s="81"/>
    </row>
    <row r="1313" spans="2:24" x14ac:dyDescent="0.25">
      <c r="B1313" s="2">
        <v>1</v>
      </c>
      <c r="C1313" s="1">
        <f t="shared" si="158"/>
        <v>19.705882352941089</v>
      </c>
      <c r="D1313" s="1">
        <f t="shared" si="156"/>
        <v>1</v>
      </c>
      <c r="E1313" s="1">
        <f t="shared" si="159"/>
        <v>0</v>
      </c>
      <c r="F1313" s="31">
        <f t="shared" si="157"/>
        <v>14.6</v>
      </c>
      <c r="G1313" s="31">
        <f t="shared" ca="1" si="161"/>
        <v>14.6</v>
      </c>
      <c r="H1313" s="30">
        <f t="shared" ca="1" si="162"/>
        <v>0</v>
      </c>
      <c r="I1313" s="31">
        <f t="shared" ca="1" si="163"/>
        <v>14.6</v>
      </c>
      <c r="Q1313" s="80"/>
      <c r="R1313" s="42"/>
      <c r="S1313" s="90">
        <f t="shared" si="160"/>
        <v>125.49999999999714</v>
      </c>
      <c r="T1313" s="42"/>
      <c r="U1313" s="42"/>
      <c r="V1313" s="42"/>
      <c r="W1313" s="42"/>
      <c r="X1313" s="81"/>
    </row>
    <row r="1314" spans="2:24" x14ac:dyDescent="0.25">
      <c r="B1314" s="2">
        <v>1</v>
      </c>
      <c r="C1314" s="1">
        <f t="shared" si="158"/>
        <v>20.705882352941089</v>
      </c>
      <c r="D1314" s="1">
        <f t="shared" si="156"/>
        <v>1</v>
      </c>
      <c r="E1314" s="1">
        <f t="shared" si="159"/>
        <v>0</v>
      </c>
      <c r="F1314" s="31">
        <f t="shared" si="157"/>
        <v>14.6</v>
      </c>
      <c r="G1314" s="31">
        <f t="shared" ca="1" si="161"/>
        <v>14.6</v>
      </c>
      <c r="H1314" s="30">
        <f t="shared" ca="1" si="162"/>
        <v>0</v>
      </c>
      <c r="I1314" s="31">
        <f t="shared" ca="1" si="163"/>
        <v>14.6</v>
      </c>
      <c r="Q1314" s="80"/>
      <c r="R1314" s="42"/>
      <c r="S1314" s="90">
        <f t="shared" si="160"/>
        <v>125.59999999999714</v>
      </c>
      <c r="T1314" s="42"/>
      <c r="U1314" s="42"/>
      <c r="V1314" s="42"/>
      <c r="W1314" s="42"/>
      <c r="X1314" s="81"/>
    </row>
    <row r="1315" spans="2:24" x14ac:dyDescent="0.25">
      <c r="B1315" s="2">
        <v>1</v>
      </c>
      <c r="C1315" s="1">
        <f t="shared" si="158"/>
        <v>21.705882352941089</v>
      </c>
      <c r="D1315" s="1">
        <f t="shared" si="156"/>
        <v>1</v>
      </c>
      <c r="E1315" s="1">
        <f t="shared" si="159"/>
        <v>0</v>
      </c>
      <c r="F1315" s="31">
        <f t="shared" si="157"/>
        <v>14.6</v>
      </c>
      <c r="G1315" s="31">
        <f t="shared" ca="1" si="161"/>
        <v>14.6</v>
      </c>
      <c r="H1315" s="30">
        <f t="shared" ca="1" si="162"/>
        <v>0</v>
      </c>
      <c r="I1315" s="31">
        <f t="shared" ca="1" si="163"/>
        <v>14.6</v>
      </c>
      <c r="Q1315" s="80"/>
      <c r="R1315" s="42"/>
      <c r="S1315" s="90">
        <f t="shared" si="160"/>
        <v>125.69999999999713</v>
      </c>
      <c r="T1315" s="42"/>
      <c r="U1315" s="42"/>
      <c r="V1315" s="42"/>
      <c r="W1315" s="42"/>
      <c r="X1315" s="81"/>
    </row>
    <row r="1316" spans="2:24" x14ac:dyDescent="0.25">
      <c r="B1316" s="2">
        <v>1</v>
      </c>
      <c r="C1316" s="1">
        <f t="shared" si="158"/>
        <v>22.705882352941089</v>
      </c>
      <c r="D1316" s="1">
        <f t="shared" si="156"/>
        <v>1</v>
      </c>
      <c r="E1316" s="1">
        <f t="shared" si="159"/>
        <v>0</v>
      </c>
      <c r="F1316" s="31">
        <f t="shared" si="157"/>
        <v>14.6</v>
      </c>
      <c r="G1316" s="31">
        <f t="shared" ca="1" si="161"/>
        <v>14.6</v>
      </c>
      <c r="H1316" s="30">
        <f t="shared" ca="1" si="162"/>
        <v>0</v>
      </c>
      <c r="I1316" s="31">
        <f t="shared" ca="1" si="163"/>
        <v>14.6</v>
      </c>
      <c r="Q1316" s="80"/>
      <c r="R1316" s="42"/>
      <c r="S1316" s="90">
        <f t="shared" si="160"/>
        <v>125.79999999999713</v>
      </c>
      <c r="T1316" s="42"/>
      <c r="U1316" s="42"/>
      <c r="V1316" s="42"/>
      <c r="W1316" s="42"/>
      <c r="X1316" s="81"/>
    </row>
    <row r="1317" spans="2:24" x14ac:dyDescent="0.25">
      <c r="B1317" s="2">
        <v>1</v>
      </c>
      <c r="C1317" s="1">
        <f t="shared" si="158"/>
        <v>23.705882352941089</v>
      </c>
      <c r="D1317" s="1">
        <f t="shared" si="156"/>
        <v>0</v>
      </c>
      <c r="E1317" s="1">
        <f t="shared" si="159"/>
        <v>1</v>
      </c>
      <c r="F1317" s="31">
        <f t="shared" si="157"/>
        <v>6.4</v>
      </c>
      <c r="G1317" s="31">
        <f t="shared" ca="1" si="161"/>
        <v>0</v>
      </c>
      <c r="H1317" s="30">
        <f t="shared" ca="1" si="162"/>
        <v>14.6</v>
      </c>
      <c r="I1317" s="31">
        <f t="shared" ca="1" si="163"/>
        <v>14.6</v>
      </c>
      <c r="Q1317" s="80"/>
      <c r="R1317" s="42"/>
      <c r="S1317" s="90">
        <f t="shared" si="160"/>
        <v>125.89999999999712</v>
      </c>
      <c r="T1317" s="42"/>
      <c r="U1317" s="42"/>
      <c r="V1317" s="42"/>
      <c r="W1317" s="42"/>
      <c r="X1317" s="81"/>
    </row>
    <row r="1318" spans="2:24" x14ac:dyDescent="0.25">
      <c r="B1318" s="2">
        <v>1</v>
      </c>
      <c r="C1318" s="1">
        <f t="shared" si="158"/>
        <v>24.705882352941089</v>
      </c>
      <c r="D1318" s="1">
        <f t="shared" si="156"/>
        <v>0</v>
      </c>
      <c r="E1318" s="1">
        <f t="shared" si="159"/>
        <v>1</v>
      </c>
      <c r="F1318" s="31">
        <f t="shared" si="157"/>
        <v>6.4</v>
      </c>
      <c r="G1318" s="31">
        <f t="shared" ca="1" si="161"/>
        <v>0</v>
      </c>
      <c r="H1318" s="30">
        <f t="shared" ca="1" si="162"/>
        <v>6.4</v>
      </c>
      <c r="I1318" s="31">
        <f t="shared" ca="1" si="163"/>
        <v>6.4</v>
      </c>
      <c r="Q1318" s="80"/>
      <c r="R1318" s="42"/>
      <c r="S1318" s="90">
        <f t="shared" si="160"/>
        <v>125.99999999999712</v>
      </c>
      <c r="T1318" s="42"/>
      <c r="U1318" s="42"/>
      <c r="V1318" s="42"/>
      <c r="W1318" s="42"/>
      <c r="X1318" s="81"/>
    </row>
    <row r="1319" spans="2:24" x14ac:dyDescent="0.25">
      <c r="B1319" s="2">
        <v>1</v>
      </c>
      <c r="C1319" s="1">
        <f t="shared" si="158"/>
        <v>25.705882352941089</v>
      </c>
      <c r="D1319" s="1">
        <f t="shared" si="156"/>
        <v>0</v>
      </c>
      <c r="E1319" s="1">
        <f t="shared" si="159"/>
        <v>1</v>
      </c>
      <c r="F1319" s="31">
        <f t="shared" si="157"/>
        <v>6.4</v>
      </c>
      <c r="G1319" s="31">
        <f t="shared" ca="1" si="161"/>
        <v>0</v>
      </c>
      <c r="H1319" s="30">
        <f t="shared" ca="1" si="162"/>
        <v>6.4</v>
      </c>
      <c r="I1319" s="31">
        <f t="shared" ca="1" si="163"/>
        <v>6.4</v>
      </c>
      <c r="Q1319" s="80"/>
      <c r="R1319" s="42"/>
      <c r="S1319" s="90">
        <f t="shared" si="160"/>
        <v>126.09999999999711</v>
      </c>
      <c r="T1319" s="42"/>
      <c r="U1319" s="42"/>
      <c r="V1319" s="42"/>
      <c r="W1319" s="42"/>
      <c r="X1319" s="81"/>
    </row>
    <row r="1320" spans="2:24" x14ac:dyDescent="0.25">
      <c r="B1320" s="2">
        <v>1</v>
      </c>
      <c r="C1320" s="1">
        <f t="shared" si="158"/>
        <v>26.705882352941089</v>
      </c>
      <c r="D1320" s="1">
        <f t="shared" si="156"/>
        <v>0</v>
      </c>
      <c r="E1320" s="1">
        <f t="shared" si="159"/>
        <v>1</v>
      </c>
      <c r="F1320" s="31">
        <f t="shared" si="157"/>
        <v>6.4</v>
      </c>
      <c r="G1320" s="31">
        <f t="shared" ca="1" si="161"/>
        <v>0</v>
      </c>
      <c r="H1320" s="30">
        <f t="shared" ca="1" si="162"/>
        <v>6.4</v>
      </c>
      <c r="I1320" s="31">
        <f t="shared" ca="1" si="163"/>
        <v>6.4</v>
      </c>
      <c r="Q1320" s="80"/>
      <c r="R1320" s="42"/>
      <c r="S1320" s="90">
        <f t="shared" si="160"/>
        <v>126.1999999999971</v>
      </c>
      <c r="T1320" s="42"/>
      <c r="U1320" s="42"/>
      <c r="V1320" s="42"/>
      <c r="W1320" s="42"/>
      <c r="X1320" s="81"/>
    </row>
    <row r="1321" spans="2:24" x14ac:dyDescent="0.25">
      <c r="B1321" s="2">
        <v>1</v>
      </c>
      <c r="C1321" s="1">
        <f t="shared" si="158"/>
        <v>27.705882352941089</v>
      </c>
      <c r="D1321" s="1">
        <f t="shared" si="156"/>
        <v>0</v>
      </c>
      <c r="E1321" s="1">
        <f t="shared" si="159"/>
        <v>1</v>
      </c>
      <c r="F1321" s="31">
        <f t="shared" si="157"/>
        <v>6.4</v>
      </c>
      <c r="G1321" s="31">
        <f t="shared" ca="1" si="161"/>
        <v>0</v>
      </c>
      <c r="H1321" s="30">
        <f t="shared" ca="1" si="162"/>
        <v>6.4</v>
      </c>
      <c r="I1321" s="31">
        <f t="shared" ca="1" si="163"/>
        <v>6.4</v>
      </c>
      <c r="Q1321" s="80"/>
      <c r="R1321" s="42"/>
      <c r="S1321" s="90">
        <f t="shared" si="160"/>
        <v>126.2999999999971</v>
      </c>
      <c r="T1321" s="42"/>
      <c r="U1321" s="42"/>
      <c r="V1321" s="42"/>
      <c r="W1321" s="42"/>
      <c r="X1321" s="81"/>
    </row>
    <row r="1322" spans="2:24" x14ac:dyDescent="0.25">
      <c r="B1322" s="2">
        <v>1</v>
      </c>
      <c r="C1322" s="1">
        <f t="shared" si="158"/>
        <v>28.705882352941089</v>
      </c>
      <c r="D1322" s="1">
        <f t="shared" si="156"/>
        <v>0</v>
      </c>
      <c r="E1322" s="1">
        <f t="shared" si="159"/>
        <v>1</v>
      </c>
      <c r="F1322" s="31">
        <f t="shared" si="157"/>
        <v>6.4</v>
      </c>
      <c r="G1322" s="31">
        <f t="shared" ca="1" si="161"/>
        <v>0</v>
      </c>
      <c r="H1322" s="30">
        <f t="shared" ca="1" si="162"/>
        <v>6.4</v>
      </c>
      <c r="I1322" s="31">
        <f t="shared" ca="1" si="163"/>
        <v>6.4</v>
      </c>
      <c r="Q1322" s="80"/>
      <c r="R1322" s="42"/>
      <c r="S1322" s="90">
        <f t="shared" si="160"/>
        <v>126.39999999999709</v>
      </c>
      <c r="T1322" s="42"/>
      <c r="U1322" s="42"/>
      <c r="V1322" s="42"/>
      <c r="W1322" s="42"/>
      <c r="X1322" s="81"/>
    </row>
    <row r="1323" spans="2:24" x14ac:dyDescent="0.25">
      <c r="B1323" s="2">
        <v>1</v>
      </c>
      <c r="C1323" s="1">
        <f t="shared" si="158"/>
        <v>29.705882352941089</v>
      </c>
      <c r="D1323" s="1">
        <f t="shared" si="156"/>
        <v>0</v>
      </c>
      <c r="E1323" s="1">
        <f t="shared" si="159"/>
        <v>1</v>
      </c>
      <c r="F1323" s="31">
        <f t="shared" si="157"/>
        <v>6.4</v>
      </c>
      <c r="G1323" s="31">
        <f t="shared" ca="1" si="161"/>
        <v>0</v>
      </c>
      <c r="H1323" s="30">
        <f t="shared" ca="1" si="162"/>
        <v>6.4</v>
      </c>
      <c r="I1323" s="31">
        <f t="shared" ca="1" si="163"/>
        <v>6.4</v>
      </c>
      <c r="Q1323" s="80"/>
      <c r="R1323" s="42"/>
      <c r="S1323" s="90">
        <f t="shared" si="160"/>
        <v>126.49999999999709</v>
      </c>
      <c r="T1323" s="42"/>
      <c r="U1323" s="42"/>
      <c r="V1323" s="42"/>
      <c r="W1323" s="42"/>
      <c r="X1323" s="81"/>
    </row>
    <row r="1324" spans="2:24" x14ac:dyDescent="0.25">
      <c r="B1324" s="2">
        <v>1</v>
      </c>
      <c r="C1324" s="1">
        <f t="shared" si="158"/>
        <v>30.705882352941089</v>
      </c>
      <c r="D1324" s="1">
        <f t="shared" si="156"/>
        <v>0</v>
      </c>
      <c r="E1324" s="1">
        <f t="shared" si="159"/>
        <v>1</v>
      </c>
      <c r="F1324" s="31">
        <f t="shared" si="157"/>
        <v>6.4</v>
      </c>
      <c r="G1324" s="31">
        <f t="shared" ca="1" si="161"/>
        <v>0</v>
      </c>
      <c r="H1324" s="30">
        <f t="shared" ca="1" si="162"/>
        <v>6.4</v>
      </c>
      <c r="I1324" s="31">
        <f t="shared" ca="1" si="163"/>
        <v>6.4</v>
      </c>
      <c r="Q1324" s="80"/>
      <c r="R1324" s="42"/>
      <c r="S1324" s="90">
        <f t="shared" si="160"/>
        <v>126.59999999999708</v>
      </c>
      <c r="T1324" s="42"/>
      <c r="U1324" s="42"/>
      <c r="V1324" s="42"/>
      <c r="W1324" s="42"/>
      <c r="X1324" s="81"/>
    </row>
    <row r="1325" spans="2:24" x14ac:dyDescent="0.25">
      <c r="B1325" s="2">
        <v>1</v>
      </c>
      <c r="C1325" s="1">
        <f t="shared" si="158"/>
        <v>31.705882352941089</v>
      </c>
      <c r="D1325" s="1">
        <f t="shared" si="156"/>
        <v>0</v>
      </c>
      <c r="E1325" s="1">
        <f t="shared" si="159"/>
        <v>1</v>
      </c>
      <c r="F1325" s="31">
        <f t="shared" si="157"/>
        <v>6.4</v>
      </c>
      <c r="G1325" s="31">
        <f t="shared" ca="1" si="161"/>
        <v>0</v>
      </c>
      <c r="H1325" s="30">
        <f t="shared" ca="1" si="162"/>
        <v>6.4</v>
      </c>
      <c r="I1325" s="31">
        <f t="shared" ca="1" si="163"/>
        <v>6.4</v>
      </c>
      <c r="Q1325" s="80"/>
      <c r="R1325" s="42"/>
      <c r="S1325" s="90">
        <f t="shared" si="160"/>
        <v>126.69999999999708</v>
      </c>
      <c r="T1325" s="42"/>
      <c r="U1325" s="42"/>
      <c r="V1325" s="42"/>
      <c r="W1325" s="42"/>
      <c r="X1325" s="81"/>
    </row>
    <row r="1326" spans="2:24" x14ac:dyDescent="0.25">
      <c r="B1326" s="2">
        <v>1</v>
      </c>
      <c r="C1326" s="1">
        <f t="shared" si="158"/>
        <v>32.705882352941089</v>
      </c>
      <c r="D1326" s="1">
        <f t="shared" si="156"/>
        <v>0</v>
      </c>
      <c r="E1326" s="1">
        <f t="shared" si="159"/>
        <v>1</v>
      </c>
      <c r="F1326" s="31">
        <f t="shared" si="157"/>
        <v>6.4</v>
      </c>
      <c r="G1326" s="31">
        <f t="shared" ca="1" si="161"/>
        <v>0</v>
      </c>
      <c r="H1326" s="30">
        <f t="shared" ca="1" si="162"/>
        <v>6.4</v>
      </c>
      <c r="I1326" s="31">
        <f t="shared" ca="1" si="163"/>
        <v>6.4</v>
      </c>
      <c r="Q1326" s="80"/>
      <c r="R1326" s="42"/>
      <c r="S1326" s="90">
        <f t="shared" si="160"/>
        <v>126.79999999999707</v>
      </c>
      <c r="T1326" s="42"/>
      <c r="U1326" s="42"/>
      <c r="V1326" s="42"/>
      <c r="W1326" s="42"/>
      <c r="X1326" s="81"/>
    </row>
    <row r="1327" spans="2:24" x14ac:dyDescent="0.25">
      <c r="B1327" s="2">
        <v>1</v>
      </c>
      <c r="C1327" s="1">
        <f t="shared" si="158"/>
        <v>33.705882352941089</v>
      </c>
      <c r="D1327" s="1">
        <f t="shared" si="156"/>
        <v>0</v>
      </c>
      <c r="E1327" s="1">
        <f t="shared" si="159"/>
        <v>1</v>
      </c>
      <c r="F1327" s="31">
        <f t="shared" si="157"/>
        <v>6.4</v>
      </c>
      <c r="G1327" s="31">
        <f t="shared" ca="1" si="161"/>
        <v>0</v>
      </c>
      <c r="H1327" s="30">
        <f t="shared" ca="1" si="162"/>
        <v>6.4</v>
      </c>
      <c r="I1327" s="31">
        <f t="shared" ca="1" si="163"/>
        <v>6.4</v>
      </c>
      <c r="Q1327" s="80"/>
      <c r="R1327" s="42"/>
      <c r="S1327" s="90">
        <f t="shared" si="160"/>
        <v>126.89999999999706</v>
      </c>
      <c r="T1327" s="42"/>
      <c r="U1327" s="42"/>
      <c r="V1327" s="42"/>
      <c r="W1327" s="42"/>
      <c r="X1327" s="81"/>
    </row>
    <row r="1328" spans="2:24" x14ac:dyDescent="0.25">
      <c r="B1328" s="2">
        <v>1</v>
      </c>
      <c r="C1328" s="1">
        <f t="shared" si="158"/>
        <v>34.705882352941089</v>
      </c>
      <c r="D1328" s="1">
        <f t="shared" si="156"/>
        <v>0</v>
      </c>
      <c r="E1328" s="1">
        <f t="shared" si="159"/>
        <v>1</v>
      </c>
      <c r="F1328" s="31">
        <f t="shared" si="157"/>
        <v>6.4</v>
      </c>
      <c r="G1328" s="31">
        <f t="shared" ca="1" si="161"/>
        <v>0</v>
      </c>
      <c r="H1328" s="30">
        <f t="shared" ca="1" si="162"/>
        <v>6.4</v>
      </c>
      <c r="I1328" s="31">
        <f t="shared" ca="1" si="163"/>
        <v>6.4</v>
      </c>
      <c r="Q1328" s="80"/>
      <c r="R1328" s="42"/>
      <c r="S1328" s="90">
        <f t="shared" si="160"/>
        <v>126.99999999999706</v>
      </c>
      <c r="T1328" s="42"/>
      <c r="U1328" s="42"/>
      <c r="V1328" s="42"/>
      <c r="W1328" s="42"/>
      <c r="X1328" s="81"/>
    </row>
    <row r="1329" spans="2:24" x14ac:dyDescent="0.25">
      <c r="B1329" s="2">
        <v>1</v>
      </c>
      <c r="C1329" s="1">
        <f t="shared" si="158"/>
        <v>0.41176470588226266</v>
      </c>
      <c r="D1329" s="1">
        <f t="shared" si="156"/>
        <v>1</v>
      </c>
      <c r="E1329" s="1">
        <f t="shared" si="159"/>
        <v>0</v>
      </c>
      <c r="F1329" s="31">
        <f t="shared" si="157"/>
        <v>14.6</v>
      </c>
      <c r="G1329" s="31">
        <f t="shared" ca="1" si="161"/>
        <v>6.4</v>
      </c>
      <c r="H1329" s="30">
        <f t="shared" ca="1" si="162"/>
        <v>0</v>
      </c>
      <c r="I1329" s="31">
        <f t="shared" ca="1" si="163"/>
        <v>6.4</v>
      </c>
      <c r="Q1329" s="80"/>
      <c r="R1329" s="42"/>
      <c r="S1329" s="90">
        <f t="shared" si="160"/>
        <v>127.09999999999705</v>
      </c>
      <c r="T1329" s="42"/>
      <c r="U1329" s="42"/>
      <c r="V1329" s="42"/>
      <c r="W1329" s="42"/>
      <c r="X1329" s="81"/>
    </row>
    <row r="1330" spans="2:24" x14ac:dyDescent="0.25">
      <c r="B1330" s="2">
        <v>1</v>
      </c>
      <c r="C1330" s="1">
        <f t="shared" si="158"/>
        <v>1.4117647058822627</v>
      </c>
      <c r="D1330" s="1">
        <f t="shared" si="156"/>
        <v>1</v>
      </c>
      <c r="E1330" s="1">
        <f t="shared" si="159"/>
        <v>0</v>
      </c>
      <c r="F1330" s="31">
        <f t="shared" si="157"/>
        <v>14.6</v>
      </c>
      <c r="G1330" s="31">
        <f t="shared" ca="1" si="161"/>
        <v>8.4500000000000011</v>
      </c>
      <c r="H1330" s="30">
        <f t="shared" ca="1" si="162"/>
        <v>0</v>
      </c>
      <c r="I1330" s="31">
        <f t="shared" ca="1" si="163"/>
        <v>8.4500000000000011</v>
      </c>
      <c r="Q1330" s="80"/>
      <c r="R1330" s="42"/>
      <c r="S1330" s="90">
        <f t="shared" si="160"/>
        <v>127.19999999999705</v>
      </c>
      <c r="T1330" s="42"/>
      <c r="U1330" s="42"/>
      <c r="V1330" s="42"/>
      <c r="W1330" s="42"/>
      <c r="X1330" s="81"/>
    </row>
    <row r="1331" spans="2:24" x14ac:dyDescent="0.25">
      <c r="B1331" s="2">
        <v>1</v>
      </c>
      <c r="C1331" s="1">
        <f t="shared" si="158"/>
        <v>2.4117647058822627</v>
      </c>
      <c r="D1331" s="1">
        <f t="shared" si="156"/>
        <v>1</v>
      </c>
      <c r="E1331" s="1">
        <f t="shared" si="159"/>
        <v>0</v>
      </c>
      <c r="F1331" s="31">
        <f t="shared" si="157"/>
        <v>14.6</v>
      </c>
      <c r="G1331" s="31">
        <f t="shared" ca="1" si="161"/>
        <v>10.5</v>
      </c>
      <c r="H1331" s="30">
        <f t="shared" ca="1" si="162"/>
        <v>0</v>
      </c>
      <c r="I1331" s="31">
        <f t="shared" ca="1" si="163"/>
        <v>10.5</v>
      </c>
      <c r="Q1331" s="80"/>
      <c r="R1331" s="42"/>
      <c r="S1331" s="90">
        <f t="shared" si="160"/>
        <v>127.29999999999704</v>
      </c>
      <c r="T1331" s="42"/>
      <c r="U1331" s="42"/>
      <c r="V1331" s="42"/>
      <c r="W1331" s="42"/>
      <c r="X1331" s="81"/>
    </row>
    <row r="1332" spans="2:24" x14ac:dyDescent="0.25">
      <c r="B1332" s="2">
        <v>1</v>
      </c>
      <c r="C1332" s="1">
        <f t="shared" si="158"/>
        <v>3.4117647058822627</v>
      </c>
      <c r="D1332" s="1">
        <f t="shared" si="156"/>
        <v>1</v>
      </c>
      <c r="E1332" s="1">
        <f t="shared" si="159"/>
        <v>0</v>
      </c>
      <c r="F1332" s="31">
        <f t="shared" si="157"/>
        <v>14.6</v>
      </c>
      <c r="G1332" s="31">
        <f t="shared" ca="1" si="161"/>
        <v>12.55</v>
      </c>
      <c r="H1332" s="30">
        <f t="shared" ca="1" si="162"/>
        <v>0</v>
      </c>
      <c r="I1332" s="31">
        <f t="shared" ca="1" si="163"/>
        <v>12.55</v>
      </c>
      <c r="Q1332" s="80"/>
      <c r="R1332" s="42"/>
      <c r="S1332" s="90">
        <f t="shared" si="160"/>
        <v>127.39999999999704</v>
      </c>
      <c r="T1332" s="42"/>
      <c r="U1332" s="42"/>
      <c r="V1332" s="42"/>
      <c r="W1332" s="42"/>
      <c r="X1332" s="81"/>
    </row>
    <row r="1333" spans="2:24" x14ac:dyDescent="0.25">
      <c r="B1333" s="2">
        <v>1</v>
      </c>
      <c r="C1333" s="1">
        <f t="shared" si="158"/>
        <v>4.4117647058822627</v>
      </c>
      <c r="D1333" s="1">
        <f t="shared" si="156"/>
        <v>1</v>
      </c>
      <c r="E1333" s="1">
        <f t="shared" si="159"/>
        <v>0</v>
      </c>
      <c r="F1333" s="31">
        <f t="shared" si="157"/>
        <v>14.6</v>
      </c>
      <c r="G1333" s="31">
        <f t="shared" ca="1" si="161"/>
        <v>14.6</v>
      </c>
      <c r="H1333" s="30">
        <f t="shared" ca="1" si="162"/>
        <v>0</v>
      </c>
      <c r="I1333" s="31">
        <f t="shared" ca="1" si="163"/>
        <v>14.6</v>
      </c>
      <c r="Q1333" s="80"/>
      <c r="R1333" s="42"/>
      <c r="S1333" s="90">
        <f t="shared" si="160"/>
        <v>127.49999999999703</v>
      </c>
      <c r="T1333" s="42"/>
      <c r="U1333" s="42"/>
      <c r="V1333" s="42"/>
      <c r="W1333" s="42"/>
      <c r="X1333" s="81"/>
    </row>
    <row r="1334" spans="2:24" x14ac:dyDescent="0.25">
      <c r="B1334" s="2">
        <v>1</v>
      </c>
      <c r="C1334" s="1">
        <f t="shared" si="158"/>
        <v>5.4117647058822627</v>
      </c>
      <c r="D1334" s="1">
        <f t="shared" si="156"/>
        <v>1</v>
      </c>
      <c r="E1334" s="1">
        <f t="shared" si="159"/>
        <v>0</v>
      </c>
      <c r="F1334" s="31">
        <f t="shared" si="157"/>
        <v>14.6</v>
      </c>
      <c r="G1334" s="31">
        <f t="shared" ca="1" si="161"/>
        <v>14.6</v>
      </c>
      <c r="H1334" s="30">
        <f t="shared" ca="1" si="162"/>
        <v>0</v>
      </c>
      <c r="I1334" s="31">
        <f t="shared" ca="1" si="163"/>
        <v>14.6</v>
      </c>
      <c r="Q1334" s="80"/>
      <c r="R1334" s="42"/>
      <c r="S1334" s="90">
        <f t="shared" si="160"/>
        <v>127.59999999999702</v>
      </c>
      <c r="T1334" s="42"/>
      <c r="U1334" s="42"/>
      <c r="V1334" s="42"/>
      <c r="W1334" s="42"/>
      <c r="X1334" s="81"/>
    </row>
    <row r="1335" spans="2:24" x14ac:dyDescent="0.25">
      <c r="B1335" s="2">
        <v>1</v>
      </c>
      <c r="C1335" s="1">
        <f t="shared" si="158"/>
        <v>6.4117647058822627</v>
      </c>
      <c r="D1335" s="1">
        <f t="shared" si="156"/>
        <v>1</v>
      </c>
      <c r="E1335" s="1">
        <f t="shared" si="159"/>
        <v>0</v>
      </c>
      <c r="F1335" s="31">
        <f t="shared" si="157"/>
        <v>14.6</v>
      </c>
      <c r="G1335" s="31">
        <f t="shared" ca="1" si="161"/>
        <v>14.6</v>
      </c>
      <c r="H1335" s="30">
        <f t="shared" ca="1" si="162"/>
        <v>0</v>
      </c>
      <c r="I1335" s="31">
        <f t="shared" ca="1" si="163"/>
        <v>14.6</v>
      </c>
      <c r="Q1335" s="80"/>
      <c r="R1335" s="42"/>
      <c r="S1335" s="90">
        <f t="shared" si="160"/>
        <v>127.69999999999702</v>
      </c>
      <c r="T1335" s="42"/>
      <c r="U1335" s="42"/>
      <c r="V1335" s="42"/>
      <c r="W1335" s="42"/>
      <c r="X1335" s="81"/>
    </row>
    <row r="1336" spans="2:24" x14ac:dyDescent="0.25">
      <c r="B1336" s="2">
        <v>1</v>
      </c>
      <c r="C1336" s="1">
        <f t="shared" si="158"/>
        <v>7.4117647058822627</v>
      </c>
      <c r="D1336" s="1">
        <f t="shared" si="156"/>
        <v>1</v>
      </c>
      <c r="E1336" s="1">
        <f t="shared" si="159"/>
        <v>0</v>
      </c>
      <c r="F1336" s="31">
        <f t="shared" si="157"/>
        <v>14.6</v>
      </c>
      <c r="G1336" s="31">
        <f t="shared" ca="1" si="161"/>
        <v>14.6</v>
      </c>
      <c r="H1336" s="30">
        <f t="shared" ca="1" si="162"/>
        <v>0</v>
      </c>
      <c r="I1336" s="31">
        <f t="shared" ca="1" si="163"/>
        <v>14.6</v>
      </c>
      <c r="Q1336" s="80"/>
      <c r="R1336" s="42"/>
      <c r="S1336" s="90">
        <f t="shared" si="160"/>
        <v>127.79999999999701</v>
      </c>
      <c r="T1336" s="42"/>
      <c r="U1336" s="42"/>
      <c r="V1336" s="42"/>
      <c r="W1336" s="42"/>
      <c r="X1336" s="81"/>
    </row>
    <row r="1337" spans="2:24" x14ac:dyDescent="0.25">
      <c r="B1337" s="2">
        <v>1</v>
      </c>
      <c r="C1337" s="1">
        <f t="shared" si="158"/>
        <v>8.4117647058822627</v>
      </c>
      <c r="D1337" s="1">
        <f t="shared" si="156"/>
        <v>1</v>
      </c>
      <c r="E1337" s="1">
        <f t="shared" si="159"/>
        <v>0</v>
      </c>
      <c r="F1337" s="31">
        <f t="shared" si="157"/>
        <v>14.6</v>
      </c>
      <c r="G1337" s="31">
        <f t="shared" ca="1" si="161"/>
        <v>14.6</v>
      </c>
      <c r="H1337" s="30">
        <f t="shared" ca="1" si="162"/>
        <v>0</v>
      </c>
      <c r="I1337" s="31">
        <f t="shared" ca="1" si="163"/>
        <v>14.6</v>
      </c>
      <c r="Q1337" s="80"/>
      <c r="R1337" s="42"/>
      <c r="S1337" s="90">
        <f t="shared" si="160"/>
        <v>127.89999999999701</v>
      </c>
      <c r="T1337" s="42"/>
      <c r="U1337" s="42"/>
      <c r="V1337" s="42"/>
      <c r="W1337" s="42"/>
      <c r="X1337" s="81"/>
    </row>
    <row r="1338" spans="2:24" x14ac:dyDescent="0.25">
      <c r="B1338" s="2">
        <v>1</v>
      </c>
      <c r="C1338" s="1">
        <f t="shared" si="158"/>
        <v>9.4117647058822627</v>
      </c>
      <c r="D1338" s="1">
        <f t="shared" ref="D1338:D1401" si="164">IF(C1338&lt;=Inhelation_Time_RT,1,0)</f>
        <v>1</v>
      </c>
      <c r="E1338" s="1">
        <f t="shared" si="159"/>
        <v>0</v>
      </c>
      <c r="F1338" s="31">
        <f t="shared" ref="F1338:F1401" si="165">(D1338*Inspiratory_pressure_level) + (E1338*PEEP)</f>
        <v>14.6</v>
      </c>
      <c r="G1338" s="31">
        <f t="shared" ca="1" si="161"/>
        <v>14.6</v>
      </c>
      <c r="H1338" s="30">
        <f t="shared" ca="1" si="162"/>
        <v>0</v>
      </c>
      <c r="I1338" s="31">
        <f t="shared" ca="1" si="163"/>
        <v>14.6</v>
      </c>
      <c r="Q1338" s="80"/>
      <c r="R1338" s="42"/>
      <c r="S1338" s="90">
        <f t="shared" si="160"/>
        <v>127.999999999997</v>
      </c>
      <c r="T1338" s="42"/>
      <c r="U1338" s="42"/>
      <c r="V1338" s="42"/>
      <c r="W1338" s="42"/>
      <c r="X1338" s="81"/>
    </row>
    <row r="1339" spans="2:24" x14ac:dyDescent="0.25">
      <c r="B1339" s="2">
        <v>1</v>
      </c>
      <c r="C1339" s="1">
        <f t="shared" ref="C1339:C1402" si="166">MOD(C1338+B1339,time_for_breath_RT)</f>
        <v>10.411764705882263</v>
      </c>
      <c r="D1339" s="1">
        <f t="shared" si="164"/>
        <v>1</v>
      </c>
      <c r="E1339" s="1">
        <f t="shared" ref="E1339:E1402" si="167">IF(D1339=1,0,1)</f>
        <v>0</v>
      </c>
      <c r="F1339" s="31">
        <f t="shared" si="165"/>
        <v>14.6</v>
      </c>
      <c r="G1339" s="31">
        <f t="shared" ca="1" si="161"/>
        <v>14.6</v>
      </c>
      <c r="H1339" s="30">
        <f t="shared" ca="1" si="162"/>
        <v>0</v>
      </c>
      <c r="I1339" s="31">
        <f t="shared" ca="1" si="163"/>
        <v>14.6</v>
      </c>
      <c r="Q1339" s="80"/>
      <c r="R1339" s="42"/>
      <c r="S1339" s="90">
        <f t="shared" ref="S1339:S1402" si="168">S1338+(B1338 / RTC_to_seconds)</f>
        <v>128.09999999999701</v>
      </c>
      <c r="T1339" s="42"/>
      <c r="U1339" s="42"/>
      <c r="V1339" s="42"/>
      <c r="W1339" s="42"/>
      <c r="X1339" s="81"/>
    </row>
    <row r="1340" spans="2:24" x14ac:dyDescent="0.25">
      <c r="B1340" s="2">
        <v>1</v>
      </c>
      <c r="C1340" s="1">
        <f t="shared" si="166"/>
        <v>11.411764705882263</v>
      </c>
      <c r="D1340" s="1">
        <f t="shared" si="164"/>
        <v>1</v>
      </c>
      <c r="E1340" s="1">
        <f t="shared" si="167"/>
        <v>0</v>
      </c>
      <c r="F1340" s="31">
        <f t="shared" si="165"/>
        <v>14.6</v>
      </c>
      <c r="G1340" s="31">
        <f t="shared" ca="1" si="161"/>
        <v>14.6</v>
      </c>
      <c r="H1340" s="30">
        <f t="shared" ca="1" si="162"/>
        <v>0</v>
      </c>
      <c r="I1340" s="31">
        <f t="shared" ca="1" si="163"/>
        <v>14.6</v>
      </c>
      <c r="Q1340" s="80"/>
      <c r="R1340" s="42"/>
      <c r="S1340" s="90">
        <f t="shared" si="168"/>
        <v>128.199999999997</v>
      </c>
      <c r="T1340" s="42"/>
      <c r="U1340" s="42"/>
      <c r="V1340" s="42"/>
      <c r="W1340" s="42"/>
      <c r="X1340" s="81"/>
    </row>
    <row r="1341" spans="2:24" x14ac:dyDescent="0.25">
      <c r="B1341" s="2">
        <v>1</v>
      </c>
      <c r="C1341" s="1">
        <f t="shared" si="166"/>
        <v>12.411764705882263</v>
      </c>
      <c r="D1341" s="1">
        <f t="shared" si="164"/>
        <v>1</v>
      </c>
      <c r="E1341" s="1">
        <f t="shared" si="167"/>
        <v>0</v>
      </c>
      <c r="F1341" s="31">
        <f t="shared" si="165"/>
        <v>14.6</v>
      </c>
      <c r="G1341" s="31">
        <f t="shared" ca="1" si="161"/>
        <v>14.6</v>
      </c>
      <c r="H1341" s="30">
        <f t="shared" ca="1" si="162"/>
        <v>0</v>
      </c>
      <c r="I1341" s="31">
        <f t="shared" ca="1" si="163"/>
        <v>14.6</v>
      </c>
      <c r="Q1341" s="80"/>
      <c r="R1341" s="42"/>
      <c r="S1341" s="90">
        <f t="shared" si="168"/>
        <v>128.299999999997</v>
      </c>
      <c r="T1341" s="42"/>
      <c r="U1341" s="42"/>
      <c r="V1341" s="42"/>
      <c r="W1341" s="42"/>
      <c r="X1341" s="81"/>
    </row>
    <row r="1342" spans="2:24" x14ac:dyDescent="0.25">
      <c r="B1342" s="2">
        <v>1</v>
      </c>
      <c r="C1342" s="1">
        <f t="shared" si="166"/>
        <v>13.411764705882263</v>
      </c>
      <c r="D1342" s="1">
        <f t="shared" si="164"/>
        <v>1</v>
      </c>
      <c r="E1342" s="1">
        <f t="shared" si="167"/>
        <v>0</v>
      </c>
      <c r="F1342" s="31">
        <f t="shared" si="165"/>
        <v>14.6</v>
      </c>
      <c r="G1342" s="31">
        <f t="shared" ca="1" si="161"/>
        <v>14.6</v>
      </c>
      <c r="H1342" s="30">
        <f t="shared" ca="1" si="162"/>
        <v>0</v>
      </c>
      <c r="I1342" s="31">
        <f t="shared" ca="1" si="163"/>
        <v>14.6</v>
      </c>
      <c r="Q1342" s="80"/>
      <c r="R1342" s="42"/>
      <c r="S1342" s="90">
        <f t="shared" si="168"/>
        <v>128.39999999999699</v>
      </c>
      <c r="T1342" s="42"/>
      <c r="U1342" s="42"/>
      <c r="V1342" s="42"/>
      <c r="W1342" s="42"/>
      <c r="X1342" s="81"/>
    </row>
    <row r="1343" spans="2:24" x14ac:dyDescent="0.25">
      <c r="B1343" s="2">
        <v>1</v>
      </c>
      <c r="C1343" s="1">
        <f t="shared" si="166"/>
        <v>14.411764705882263</v>
      </c>
      <c r="D1343" s="1">
        <f t="shared" si="164"/>
        <v>1</v>
      </c>
      <c r="E1343" s="1">
        <f t="shared" si="167"/>
        <v>0</v>
      </c>
      <c r="F1343" s="31">
        <f t="shared" si="165"/>
        <v>14.6</v>
      </c>
      <c r="G1343" s="31">
        <f t="shared" ca="1" si="161"/>
        <v>14.6</v>
      </c>
      <c r="H1343" s="30">
        <f t="shared" ca="1" si="162"/>
        <v>0</v>
      </c>
      <c r="I1343" s="31">
        <f t="shared" ca="1" si="163"/>
        <v>14.6</v>
      </c>
      <c r="Q1343" s="80"/>
      <c r="R1343" s="42"/>
      <c r="S1343" s="90">
        <f t="shared" si="168"/>
        <v>128.49999999999699</v>
      </c>
      <c r="T1343" s="42"/>
      <c r="U1343" s="42"/>
      <c r="V1343" s="42"/>
      <c r="W1343" s="42"/>
      <c r="X1343" s="81"/>
    </row>
    <row r="1344" spans="2:24" x14ac:dyDescent="0.25">
      <c r="B1344" s="2">
        <v>1</v>
      </c>
      <c r="C1344" s="1">
        <f t="shared" si="166"/>
        <v>15.411764705882263</v>
      </c>
      <c r="D1344" s="1">
        <f t="shared" si="164"/>
        <v>1</v>
      </c>
      <c r="E1344" s="1">
        <f t="shared" si="167"/>
        <v>0</v>
      </c>
      <c r="F1344" s="31">
        <f t="shared" si="165"/>
        <v>14.6</v>
      </c>
      <c r="G1344" s="31">
        <f t="shared" ca="1" si="161"/>
        <v>14.6</v>
      </c>
      <c r="H1344" s="30">
        <f t="shared" ca="1" si="162"/>
        <v>0</v>
      </c>
      <c r="I1344" s="31">
        <f t="shared" ca="1" si="163"/>
        <v>14.6</v>
      </c>
      <c r="Q1344" s="80"/>
      <c r="R1344" s="42"/>
      <c r="S1344" s="90">
        <f t="shared" si="168"/>
        <v>128.59999999999698</v>
      </c>
      <c r="T1344" s="42"/>
      <c r="U1344" s="42"/>
      <c r="V1344" s="42"/>
      <c r="W1344" s="42"/>
      <c r="X1344" s="81"/>
    </row>
    <row r="1345" spans="2:24" x14ac:dyDescent="0.25">
      <c r="B1345" s="2">
        <v>1</v>
      </c>
      <c r="C1345" s="1">
        <f t="shared" si="166"/>
        <v>16.411764705882263</v>
      </c>
      <c r="D1345" s="1">
        <f t="shared" si="164"/>
        <v>1</v>
      </c>
      <c r="E1345" s="1">
        <f t="shared" si="167"/>
        <v>0</v>
      </c>
      <c r="F1345" s="31">
        <f t="shared" si="165"/>
        <v>14.6</v>
      </c>
      <c r="G1345" s="31">
        <f t="shared" ca="1" si="161"/>
        <v>14.6</v>
      </c>
      <c r="H1345" s="30">
        <f t="shared" ca="1" si="162"/>
        <v>0</v>
      </c>
      <c r="I1345" s="31">
        <f t="shared" ca="1" si="163"/>
        <v>14.6</v>
      </c>
      <c r="Q1345" s="80"/>
      <c r="R1345" s="42"/>
      <c r="S1345" s="90">
        <f t="shared" si="168"/>
        <v>128.69999999999698</v>
      </c>
      <c r="T1345" s="42"/>
      <c r="U1345" s="42"/>
      <c r="V1345" s="42"/>
      <c r="W1345" s="42"/>
      <c r="X1345" s="81"/>
    </row>
    <row r="1346" spans="2:24" x14ac:dyDescent="0.25">
      <c r="B1346" s="2">
        <v>1</v>
      </c>
      <c r="C1346" s="1">
        <f t="shared" si="166"/>
        <v>17.411764705882263</v>
      </c>
      <c r="D1346" s="1">
        <f t="shared" si="164"/>
        <v>1</v>
      </c>
      <c r="E1346" s="1">
        <f t="shared" si="167"/>
        <v>0</v>
      </c>
      <c r="F1346" s="31">
        <f t="shared" si="165"/>
        <v>14.6</v>
      </c>
      <c r="G1346" s="31">
        <f t="shared" ca="1" si="161"/>
        <v>14.6</v>
      </c>
      <c r="H1346" s="30">
        <f t="shared" ca="1" si="162"/>
        <v>0</v>
      </c>
      <c r="I1346" s="31">
        <f t="shared" ca="1" si="163"/>
        <v>14.6</v>
      </c>
      <c r="Q1346" s="80"/>
      <c r="R1346" s="42"/>
      <c r="S1346" s="90">
        <f t="shared" si="168"/>
        <v>128.79999999999697</v>
      </c>
      <c r="T1346" s="42"/>
      <c r="U1346" s="42"/>
      <c r="V1346" s="42"/>
      <c r="W1346" s="42"/>
      <c r="X1346" s="81"/>
    </row>
    <row r="1347" spans="2:24" x14ac:dyDescent="0.25">
      <c r="B1347" s="2">
        <v>1</v>
      </c>
      <c r="C1347" s="1">
        <f t="shared" si="166"/>
        <v>18.411764705882263</v>
      </c>
      <c r="D1347" s="1">
        <f t="shared" si="164"/>
        <v>1</v>
      </c>
      <c r="E1347" s="1">
        <f t="shared" si="167"/>
        <v>0</v>
      </c>
      <c r="F1347" s="31">
        <f t="shared" si="165"/>
        <v>14.6</v>
      </c>
      <c r="G1347" s="31">
        <f t="shared" ca="1" si="161"/>
        <v>14.6</v>
      </c>
      <c r="H1347" s="30">
        <f t="shared" ca="1" si="162"/>
        <v>0</v>
      </c>
      <c r="I1347" s="31">
        <f t="shared" ca="1" si="163"/>
        <v>14.6</v>
      </c>
      <c r="Q1347" s="80"/>
      <c r="R1347" s="42"/>
      <c r="S1347" s="90">
        <f t="shared" si="168"/>
        <v>128.89999999999696</v>
      </c>
      <c r="T1347" s="42"/>
      <c r="U1347" s="42"/>
      <c r="V1347" s="42"/>
      <c r="W1347" s="42"/>
      <c r="X1347" s="81"/>
    </row>
    <row r="1348" spans="2:24" x14ac:dyDescent="0.25">
      <c r="B1348" s="2">
        <v>1</v>
      </c>
      <c r="C1348" s="1">
        <f t="shared" si="166"/>
        <v>19.411764705882263</v>
      </c>
      <c r="D1348" s="1">
        <f t="shared" si="164"/>
        <v>1</v>
      </c>
      <c r="E1348" s="1">
        <f t="shared" si="167"/>
        <v>0</v>
      </c>
      <c r="F1348" s="31">
        <f t="shared" si="165"/>
        <v>14.6</v>
      </c>
      <c r="G1348" s="31">
        <f t="shared" ca="1" si="161"/>
        <v>14.6</v>
      </c>
      <c r="H1348" s="30">
        <f t="shared" ca="1" si="162"/>
        <v>0</v>
      </c>
      <c r="I1348" s="31">
        <f t="shared" ca="1" si="163"/>
        <v>14.6</v>
      </c>
      <c r="Q1348" s="80"/>
      <c r="R1348" s="42"/>
      <c r="S1348" s="90">
        <f t="shared" si="168"/>
        <v>128.99999999999696</v>
      </c>
      <c r="T1348" s="42"/>
      <c r="U1348" s="42"/>
      <c r="V1348" s="42"/>
      <c r="W1348" s="42"/>
      <c r="X1348" s="81"/>
    </row>
    <row r="1349" spans="2:24" x14ac:dyDescent="0.25">
      <c r="B1349" s="2">
        <v>1</v>
      </c>
      <c r="C1349" s="1">
        <f t="shared" si="166"/>
        <v>20.411764705882263</v>
      </c>
      <c r="D1349" s="1">
        <f t="shared" si="164"/>
        <v>1</v>
      </c>
      <c r="E1349" s="1">
        <f t="shared" si="167"/>
        <v>0</v>
      </c>
      <c r="F1349" s="31">
        <f t="shared" si="165"/>
        <v>14.6</v>
      </c>
      <c r="G1349" s="31">
        <f t="shared" ca="1" si="161"/>
        <v>14.6</v>
      </c>
      <c r="H1349" s="30">
        <f t="shared" ca="1" si="162"/>
        <v>0</v>
      </c>
      <c r="I1349" s="31">
        <f t="shared" ca="1" si="163"/>
        <v>14.6</v>
      </c>
      <c r="Q1349" s="80"/>
      <c r="R1349" s="42"/>
      <c r="S1349" s="90">
        <f t="shared" si="168"/>
        <v>129.09999999999695</v>
      </c>
      <c r="T1349" s="42"/>
      <c r="U1349" s="42"/>
      <c r="V1349" s="42"/>
      <c r="W1349" s="42"/>
      <c r="X1349" s="81"/>
    </row>
    <row r="1350" spans="2:24" x14ac:dyDescent="0.25">
      <c r="B1350" s="2">
        <v>1</v>
      </c>
      <c r="C1350" s="1">
        <f t="shared" si="166"/>
        <v>21.411764705882263</v>
      </c>
      <c r="D1350" s="1">
        <f t="shared" si="164"/>
        <v>1</v>
      </c>
      <c r="E1350" s="1">
        <f t="shared" si="167"/>
        <v>0</v>
      </c>
      <c r="F1350" s="31">
        <f t="shared" si="165"/>
        <v>14.6</v>
      </c>
      <c r="G1350" s="31">
        <f t="shared" ca="1" si="161"/>
        <v>14.6</v>
      </c>
      <c r="H1350" s="30">
        <f t="shared" ca="1" si="162"/>
        <v>0</v>
      </c>
      <c r="I1350" s="31">
        <f t="shared" ca="1" si="163"/>
        <v>14.6</v>
      </c>
      <c r="Q1350" s="80"/>
      <c r="R1350" s="42"/>
      <c r="S1350" s="90">
        <f t="shared" si="168"/>
        <v>129.19999999999695</v>
      </c>
      <c r="T1350" s="42"/>
      <c r="U1350" s="42"/>
      <c r="V1350" s="42"/>
      <c r="W1350" s="42"/>
      <c r="X1350" s="81"/>
    </row>
    <row r="1351" spans="2:24" x14ac:dyDescent="0.25">
      <c r="B1351" s="2">
        <v>1</v>
      </c>
      <c r="C1351" s="1">
        <f t="shared" si="166"/>
        <v>22.411764705882263</v>
      </c>
      <c r="D1351" s="1">
        <f t="shared" si="164"/>
        <v>1</v>
      </c>
      <c r="E1351" s="1">
        <f t="shared" si="167"/>
        <v>0</v>
      </c>
      <c r="F1351" s="31">
        <f t="shared" si="165"/>
        <v>14.6</v>
      </c>
      <c r="G1351" s="31">
        <f t="shared" ca="1" si="161"/>
        <v>14.6</v>
      </c>
      <c r="H1351" s="30">
        <f t="shared" ca="1" si="162"/>
        <v>0</v>
      </c>
      <c r="I1351" s="31">
        <f t="shared" ca="1" si="163"/>
        <v>14.6</v>
      </c>
      <c r="Q1351" s="80"/>
      <c r="R1351" s="42"/>
      <c r="S1351" s="90">
        <f t="shared" si="168"/>
        <v>129.29999999999694</v>
      </c>
      <c r="T1351" s="42"/>
      <c r="U1351" s="42"/>
      <c r="V1351" s="42"/>
      <c r="W1351" s="42"/>
      <c r="X1351" s="81"/>
    </row>
    <row r="1352" spans="2:24" x14ac:dyDescent="0.25">
      <c r="B1352" s="2">
        <v>1</v>
      </c>
      <c r="C1352" s="1">
        <f t="shared" si="166"/>
        <v>23.411764705882263</v>
      </c>
      <c r="D1352" s="1">
        <f t="shared" si="164"/>
        <v>0</v>
      </c>
      <c r="E1352" s="1">
        <f t="shared" si="167"/>
        <v>1</v>
      </c>
      <c r="F1352" s="31">
        <f t="shared" si="165"/>
        <v>6.4</v>
      </c>
      <c r="G1352" s="31">
        <f t="shared" ca="1" si="161"/>
        <v>0</v>
      </c>
      <c r="H1352" s="30">
        <f t="shared" ca="1" si="162"/>
        <v>14.6</v>
      </c>
      <c r="I1352" s="31">
        <f t="shared" ca="1" si="163"/>
        <v>14.6</v>
      </c>
      <c r="Q1352" s="80"/>
      <c r="R1352" s="42"/>
      <c r="S1352" s="90">
        <f t="shared" si="168"/>
        <v>129.39999999999694</v>
      </c>
      <c r="T1352" s="42"/>
      <c r="U1352" s="42"/>
      <c r="V1352" s="42"/>
      <c r="W1352" s="42"/>
      <c r="X1352" s="81"/>
    </row>
    <row r="1353" spans="2:24" x14ac:dyDescent="0.25">
      <c r="B1353" s="2">
        <v>1</v>
      </c>
      <c r="C1353" s="1">
        <f t="shared" si="166"/>
        <v>24.411764705882263</v>
      </c>
      <c r="D1353" s="1">
        <f t="shared" si="164"/>
        <v>0</v>
      </c>
      <c r="E1353" s="1">
        <f t="shared" si="167"/>
        <v>1</v>
      </c>
      <c r="F1353" s="31">
        <f t="shared" si="165"/>
        <v>6.4</v>
      </c>
      <c r="G1353" s="31">
        <f t="shared" ca="1" si="161"/>
        <v>0</v>
      </c>
      <c r="H1353" s="30">
        <f t="shared" ca="1" si="162"/>
        <v>6.4</v>
      </c>
      <c r="I1353" s="31">
        <f t="shared" ca="1" si="163"/>
        <v>6.4</v>
      </c>
      <c r="Q1353" s="80"/>
      <c r="R1353" s="42"/>
      <c r="S1353" s="90">
        <f t="shared" si="168"/>
        <v>129.49999999999693</v>
      </c>
      <c r="T1353" s="42"/>
      <c r="U1353" s="42"/>
      <c r="V1353" s="42"/>
      <c r="W1353" s="42"/>
      <c r="X1353" s="81"/>
    </row>
    <row r="1354" spans="2:24" x14ac:dyDescent="0.25">
      <c r="B1354" s="2">
        <v>1</v>
      </c>
      <c r="C1354" s="1">
        <f t="shared" si="166"/>
        <v>25.411764705882263</v>
      </c>
      <c r="D1354" s="1">
        <f t="shared" si="164"/>
        <v>0</v>
      </c>
      <c r="E1354" s="1">
        <f t="shared" si="167"/>
        <v>1</v>
      </c>
      <c r="F1354" s="31">
        <f t="shared" si="165"/>
        <v>6.4</v>
      </c>
      <c r="G1354" s="31">
        <f t="shared" ca="1" si="161"/>
        <v>0</v>
      </c>
      <c r="H1354" s="30">
        <f t="shared" ca="1" si="162"/>
        <v>6.4</v>
      </c>
      <c r="I1354" s="31">
        <f t="shared" ca="1" si="163"/>
        <v>6.4</v>
      </c>
      <c r="Q1354" s="80"/>
      <c r="R1354" s="42"/>
      <c r="S1354" s="90">
        <f t="shared" si="168"/>
        <v>129.59999999999692</v>
      </c>
      <c r="T1354" s="42"/>
      <c r="U1354" s="42"/>
      <c r="V1354" s="42"/>
      <c r="W1354" s="42"/>
      <c r="X1354" s="81"/>
    </row>
    <row r="1355" spans="2:24" x14ac:dyDescent="0.25">
      <c r="B1355" s="2">
        <v>1</v>
      </c>
      <c r="C1355" s="1">
        <f t="shared" si="166"/>
        <v>26.411764705882263</v>
      </c>
      <c r="D1355" s="1">
        <f t="shared" si="164"/>
        <v>0</v>
      </c>
      <c r="E1355" s="1">
        <f t="shared" si="167"/>
        <v>1</v>
      </c>
      <c r="F1355" s="31">
        <f t="shared" si="165"/>
        <v>6.4</v>
      </c>
      <c r="G1355" s="31">
        <f t="shared" ref="G1355:G1418" ca="1" si="169">IF(D1355=1, AVERAGE(OFFSET(F1355,-$L$27,0,$L$27,1)),0)</f>
        <v>0</v>
      </c>
      <c r="H1355" s="30">
        <f t="shared" ref="H1355:H1418" ca="1" si="170">IF(D1355=0, AVERAGE(OFFSET(F1355,-$L$28,0,$L$28,1)),0)</f>
        <v>6.4</v>
      </c>
      <c r="I1355" s="31">
        <f t="shared" ref="I1355:I1418" ca="1" si="171">G1355+H1355</f>
        <v>6.4</v>
      </c>
      <c r="Q1355" s="80"/>
      <c r="R1355" s="42"/>
      <c r="S1355" s="90">
        <f t="shared" si="168"/>
        <v>129.69999999999692</v>
      </c>
      <c r="T1355" s="42"/>
      <c r="U1355" s="42"/>
      <c r="V1355" s="42"/>
      <c r="W1355" s="42"/>
      <c r="X1355" s="81"/>
    </row>
    <row r="1356" spans="2:24" x14ac:dyDescent="0.25">
      <c r="B1356" s="2">
        <v>1</v>
      </c>
      <c r="C1356" s="1">
        <f t="shared" si="166"/>
        <v>27.411764705882263</v>
      </c>
      <c r="D1356" s="1">
        <f t="shared" si="164"/>
        <v>0</v>
      </c>
      <c r="E1356" s="1">
        <f t="shared" si="167"/>
        <v>1</v>
      </c>
      <c r="F1356" s="31">
        <f t="shared" si="165"/>
        <v>6.4</v>
      </c>
      <c r="G1356" s="31">
        <f t="shared" ca="1" si="169"/>
        <v>0</v>
      </c>
      <c r="H1356" s="30">
        <f t="shared" ca="1" si="170"/>
        <v>6.4</v>
      </c>
      <c r="I1356" s="31">
        <f t="shared" ca="1" si="171"/>
        <v>6.4</v>
      </c>
      <c r="Q1356" s="80"/>
      <c r="R1356" s="42"/>
      <c r="S1356" s="90">
        <f t="shared" si="168"/>
        <v>129.79999999999691</v>
      </c>
      <c r="T1356" s="42"/>
      <c r="U1356" s="42"/>
      <c r="V1356" s="42"/>
      <c r="W1356" s="42"/>
      <c r="X1356" s="81"/>
    </row>
    <row r="1357" spans="2:24" x14ac:dyDescent="0.25">
      <c r="B1357" s="2">
        <v>1</v>
      </c>
      <c r="C1357" s="1">
        <f t="shared" si="166"/>
        <v>28.411764705882263</v>
      </c>
      <c r="D1357" s="1">
        <f t="shared" si="164"/>
        <v>0</v>
      </c>
      <c r="E1357" s="1">
        <f t="shared" si="167"/>
        <v>1</v>
      </c>
      <c r="F1357" s="31">
        <f t="shared" si="165"/>
        <v>6.4</v>
      </c>
      <c r="G1357" s="31">
        <f t="shared" ca="1" si="169"/>
        <v>0</v>
      </c>
      <c r="H1357" s="30">
        <f t="shared" ca="1" si="170"/>
        <v>6.4</v>
      </c>
      <c r="I1357" s="31">
        <f t="shared" ca="1" si="171"/>
        <v>6.4</v>
      </c>
      <c r="Q1357" s="80"/>
      <c r="R1357" s="42"/>
      <c r="S1357" s="90">
        <f t="shared" si="168"/>
        <v>129.89999999999691</v>
      </c>
      <c r="T1357" s="42"/>
      <c r="U1357" s="42"/>
      <c r="V1357" s="42"/>
      <c r="W1357" s="42"/>
      <c r="X1357" s="81"/>
    </row>
    <row r="1358" spans="2:24" x14ac:dyDescent="0.25">
      <c r="B1358" s="2">
        <v>1</v>
      </c>
      <c r="C1358" s="1">
        <f t="shared" si="166"/>
        <v>29.411764705882263</v>
      </c>
      <c r="D1358" s="1">
        <f t="shared" si="164"/>
        <v>0</v>
      </c>
      <c r="E1358" s="1">
        <f t="shared" si="167"/>
        <v>1</v>
      </c>
      <c r="F1358" s="31">
        <f t="shared" si="165"/>
        <v>6.4</v>
      </c>
      <c r="G1358" s="31">
        <f t="shared" ca="1" si="169"/>
        <v>0</v>
      </c>
      <c r="H1358" s="30">
        <f t="shared" ca="1" si="170"/>
        <v>6.4</v>
      </c>
      <c r="I1358" s="31">
        <f t="shared" ca="1" si="171"/>
        <v>6.4</v>
      </c>
      <c r="Q1358" s="80"/>
      <c r="R1358" s="42"/>
      <c r="S1358" s="90">
        <f t="shared" si="168"/>
        <v>129.9999999999969</v>
      </c>
      <c r="T1358" s="42"/>
      <c r="U1358" s="42"/>
      <c r="V1358" s="42"/>
      <c r="W1358" s="42"/>
      <c r="X1358" s="81"/>
    </row>
    <row r="1359" spans="2:24" x14ac:dyDescent="0.25">
      <c r="B1359" s="2">
        <v>1</v>
      </c>
      <c r="C1359" s="1">
        <f t="shared" si="166"/>
        <v>30.411764705882263</v>
      </c>
      <c r="D1359" s="1">
        <f t="shared" si="164"/>
        <v>0</v>
      </c>
      <c r="E1359" s="1">
        <f t="shared" si="167"/>
        <v>1</v>
      </c>
      <c r="F1359" s="31">
        <f t="shared" si="165"/>
        <v>6.4</v>
      </c>
      <c r="G1359" s="31">
        <f t="shared" ca="1" si="169"/>
        <v>0</v>
      </c>
      <c r="H1359" s="30">
        <f t="shared" ca="1" si="170"/>
        <v>6.4</v>
      </c>
      <c r="I1359" s="31">
        <f t="shared" ca="1" si="171"/>
        <v>6.4</v>
      </c>
      <c r="Q1359" s="80"/>
      <c r="R1359" s="42"/>
      <c r="S1359" s="90">
        <f t="shared" si="168"/>
        <v>130.0999999999969</v>
      </c>
      <c r="T1359" s="42"/>
      <c r="U1359" s="42"/>
      <c r="V1359" s="42"/>
      <c r="W1359" s="42"/>
      <c r="X1359" s="81"/>
    </row>
    <row r="1360" spans="2:24" x14ac:dyDescent="0.25">
      <c r="B1360" s="2">
        <v>1</v>
      </c>
      <c r="C1360" s="1">
        <f t="shared" si="166"/>
        <v>31.411764705882263</v>
      </c>
      <c r="D1360" s="1">
        <f t="shared" si="164"/>
        <v>0</v>
      </c>
      <c r="E1360" s="1">
        <f t="shared" si="167"/>
        <v>1</v>
      </c>
      <c r="F1360" s="31">
        <f t="shared" si="165"/>
        <v>6.4</v>
      </c>
      <c r="G1360" s="31">
        <f t="shared" ca="1" si="169"/>
        <v>0</v>
      </c>
      <c r="H1360" s="30">
        <f t="shared" ca="1" si="170"/>
        <v>6.4</v>
      </c>
      <c r="I1360" s="31">
        <f t="shared" ca="1" si="171"/>
        <v>6.4</v>
      </c>
      <c r="Q1360" s="80"/>
      <c r="R1360" s="42"/>
      <c r="S1360" s="90">
        <f t="shared" si="168"/>
        <v>130.19999999999689</v>
      </c>
      <c r="T1360" s="42"/>
      <c r="U1360" s="42"/>
      <c r="V1360" s="42"/>
      <c r="W1360" s="42"/>
      <c r="X1360" s="81"/>
    </row>
    <row r="1361" spans="2:24" x14ac:dyDescent="0.25">
      <c r="B1361" s="2">
        <v>1</v>
      </c>
      <c r="C1361" s="1">
        <f t="shared" si="166"/>
        <v>32.411764705882263</v>
      </c>
      <c r="D1361" s="1">
        <f t="shared" si="164"/>
        <v>0</v>
      </c>
      <c r="E1361" s="1">
        <f t="shared" si="167"/>
        <v>1</v>
      </c>
      <c r="F1361" s="31">
        <f t="shared" si="165"/>
        <v>6.4</v>
      </c>
      <c r="G1361" s="31">
        <f t="shared" ca="1" si="169"/>
        <v>0</v>
      </c>
      <c r="H1361" s="30">
        <f t="shared" ca="1" si="170"/>
        <v>6.4</v>
      </c>
      <c r="I1361" s="31">
        <f t="shared" ca="1" si="171"/>
        <v>6.4</v>
      </c>
      <c r="Q1361" s="80"/>
      <c r="R1361" s="42"/>
      <c r="S1361" s="90">
        <f t="shared" si="168"/>
        <v>130.29999999999688</v>
      </c>
      <c r="T1361" s="42"/>
      <c r="U1361" s="42"/>
      <c r="V1361" s="42"/>
      <c r="W1361" s="42"/>
      <c r="X1361" s="81"/>
    </row>
    <row r="1362" spans="2:24" x14ac:dyDescent="0.25">
      <c r="B1362" s="2">
        <v>1</v>
      </c>
      <c r="C1362" s="1">
        <f t="shared" si="166"/>
        <v>33.411764705882263</v>
      </c>
      <c r="D1362" s="1">
        <f t="shared" si="164"/>
        <v>0</v>
      </c>
      <c r="E1362" s="1">
        <f t="shared" si="167"/>
        <v>1</v>
      </c>
      <c r="F1362" s="31">
        <f t="shared" si="165"/>
        <v>6.4</v>
      </c>
      <c r="G1362" s="31">
        <f t="shared" ca="1" si="169"/>
        <v>0</v>
      </c>
      <c r="H1362" s="30">
        <f t="shared" ca="1" si="170"/>
        <v>6.4</v>
      </c>
      <c r="I1362" s="31">
        <f t="shared" ca="1" si="171"/>
        <v>6.4</v>
      </c>
      <c r="Q1362" s="80"/>
      <c r="R1362" s="42"/>
      <c r="S1362" s="90">
        <f t="shared" si="168"/>
        <v>130.39999999999688</v>
      </c>
      <c r="T1362" s="42"/>
      <c r="U1362" s="42"/>
      <c r="V1362" s="42"/>
      <c r="W1362" s="42"/>
      <c r="X1362" s="81"/>
    </row>
    <row r="1363" spans="2:24" x14ac:dyDescent="0.25">
      <c r="B1363" s="2">
        <v>1</v>
      </c>
      <c r="C1363" s="1">
        <f t="shared" si="166"/>
        <v>34.411764705882263</v>
      </c>
      <c r="D1363" s="1">
        <f t="shared" si="164"/>
        <v>0</v>
      </c>
      <c r="E1363" s="1">
        <f t="shared" si="167"/>
        <v>1</v>
      </c>
      <c r="F1363" s="31">
        <f t="shared" si="165"/>
        <v>6.4</v>
      </c>
      <c r="G1363" s="31">
        <f t="shared" ca="1" si="169"/>
        <v>0</v>
      </c>
      <c r="H1363" s="30">
        <f t="shared" ca="1" si="170"/>
        <v>6.4</v>
      </c>
      <c r="I1363" s="31">
        <f t="shared" ca="1" si="171"/>
        <v>6.4</v>
      </c>
      <c r="Q1363" s="80"/>
      <c r="R1363" s="42"/>
      <c r="S1363" s="90">
        <f t="shared" si="168"/>
        <v>130.49999999999687</v>
      </c>
      <c r="T1363" s="42"/>
      <c r="U1363" s="42"/>
      <c r="V1363" s="42"/>
      <c r="W1363" s="42"/>
      <c r="X1363" s="81"/>
    </row>
    <row r="1364" spans="2:24" x14ac:dyDescent="0.25">
      <c r="B1364" s="2">
        <v>1</v>
      </c>
      <c r="C1364" s="1">
        <f t="shared" si="166"/>
        <v>0.11764705882343662</v>
      </c>
      <c r="D1364" s="1">
        <f t="shared" si="164"/>
        <v>1</v>
      </c>
      <c r="E1364" s="1">
        <f t="shared" si="167"/>
        <v>0</v>
      </c>
      <c r="F1364" s="31">
        <f t="shared" si="165"/>
        <v>14.6</v>
      </c>
      <c r="G1364" s="31">
        <f t="shared" ca="1" si="169"/>
        <v>6.4</v>
      </c>
      <c r="H1364" s="30">
        <f t="shared" ca="1" si="170"/>
        <v>0</v>
      </c>
      <c r="I1364" s="31">
        <f t="shared" ca="1" si="171"/>
        <v>6.4</v>
      </c>
      <c r="Q1364" s="80"/>
      <c r="R1364" s="42"/>
      <c r="S1364" s="90">
        <f t="shared" si="168"/>
        <v>130.59999999999687</v>
      </c>
      <c r="T1364" s="42"/>
      <c r="U1364" s="42"/>
      <c r="V1364" s="42"/>
      <c r="W1364" s="42"/>
      <c r="X1364" s="81"/>
    </row>
    <row r="1365" spans="2:24" x14ac:dyDescent="0.25">
      <c r="B1365" s="2">
        <v>1</v>
      </c>
      <c r="C1365" s="1">
        <f t="shared" si="166"/>
        <v>1.1176470588234366</v>
      </c>
      <c r="D1365" s="1">
        <f t="shared" si="164"/>
        <v>1</v>
      </c>
      <c r="E1365" s="1">
        <f t="shared" si="167"/>
        <v>0</v>
      </c>
      <c r="F1365" s="31">
        <f t="shared" si="165"/>
        <v>14.6</v>
      </c>
      <c r="G1365" s="31">
        <f t="shared" ca="1" si="169"/>
        <v>8.4500000000000011</v>
      </c>
      <c r="H1365" s="30">
        <f t="shared" ca="1" si="170"/>
        <v>0</v>
      </c>
      <c r="I1365" s="31">
        <f t="shared" ca="1" si="171"/>
        <v>8.4500000000000011</v>
      </c>
      <c r="Q1365" s="80"/>
      <c r="R1365" s="42"/>
      <c r="S1365" s="90">
        <f t="shared" si="168"/>
        <v>130.69999999999686</v>
      </c>
      <c r="T1365" s="42"/>
      <c r="U1365" s="42"/>
      <c r="V1365" s="42"/>
      <c r="W1365" s="42"/>
      <c r="X1365" s="81"/>
    </row>
    <row r="1366" spans="2:24" x14ac:dyDescent="0.25">
      <c r="B1366" s="2">
        <v>1</v>
      </c>
      <c r="C1366" s="1">
        <f t="shared" si="166"/>
        <v>2.1176470588234366</v>
      </c>
      <c r="D1366" s="1">
        <f t="shared" si="164"/>
        <v>1</v>
      </c>
      <c r="E1366" s="1">
        <f t="shared" si="167"/>
        <v>0</v>
      </c>
      <c r="F1366" s="31">
        <f t="shared" si="165"/>
        <v>14.6</v>
      </c>
      <c r="G1366" s="31">
        <f t="shared" ca="1" si="169"/>
        <v>10.5</v>
      </c>
      <c r="H1366" s="30">
        <f t="shared" ca="1" si="170"/>
        <v>0</v>
      </c>
      <c r="I1366" s="31">
        <f t="shared" ca="1" si="171"/>
        <v>10.5</v>
      </c>
      <c r="Q1366" s="80"/>
      <c r="R1366" s="42"/>
      <c r="S1366" s="90">
        <f t="shared" si="168"/>
        <v>130.79999999999686</v>
      </c>
      <c r="T1366" s="42"/>
      <c r="U1366" s="42"/>
      <c r="V1366" s="42"/>
      <c r="W1366" s="42"/>
      <c r="X1366" s="81"/>
    </row>
    <row r="1367" spans="2:24" x14ac:dyDescent="0.25">
      <c r="B1367" s="2">
        <v>1</v>
      </c>
      <c r="C1367" s="1">
        <f t="shared" si="166"/>
        <v>3.1176470588234366</v>
      </c>
      <c r="D1367" s="1">
        <f t="shared" si="164"/>
        <v>1</v>
      </c>
      <c r="E1367" s="1">
        <f t="shared" si="167"/>
        <v>0</v>
      </c>
      <c r="F1367" s="31">
        <f t="shared" si="165"/>
        <v>14.6</v>
      </c>
      <c r="G1367" s="31">
        <f t="shared" ca="1" si="169"/>
        <v>12.55</v>
      </c>
      <c r="H1367" s="30">
        <f t="shared" ca="1" si="170"/>
        <v>0</v>
      </c>
      <c r="I1367" s="31">
        <f t="shared" ca="1" si="171"/>
        <v>12.55</v>
      </c>
      <c r="Q1367" s="80"/>
      <c r="R1367" s="42"/>
      <c r="S1367" s="90">
        <f t="shared" si="168"/>
        <v>130.89999999999685</v>
      </c>
      <c r="T1367" s="42"/>
      <c r="U1367" s="42"/>
      <c r="V1367" s="42"/>
      <c r="W1367" s="42"/>
      <c r="X1367" s="81"/>
    </row>
    <row r="1368" spans="2:24" x14ac:dyDescent="0.25">
      <c r="B1368" s="2">
        <v>1</v>
      </c>
      <c r="C1368" s="1">
        <f t="shared" si="166"/>
        <v>4.1176470588234366</v>
      </c>
      <c r="D1368" s="1">
        <f t="shared" si="164"/>
        <v>1</v>
      </c>
      <c r="E1368" s="1">
        <f t="shared" si="167"/>
        <v>0</v>
      </c>
      <c r="F1368" s="31">
        <f t="shared" si="165"/>
        <v>14.6</v>
      </c>
      <c r="G1368" s="31">
        <f t="shared" ca="1" si="169"/>
        <v>14.6</v>
      </c>
      <c r="H1368" s="30">
        <f t="shared" ca="1" si="170"/>
        <v>0</v>
      </c>
      <c r="I1368" s="31">
        <f t="shared" ca="1" si="171"/>
        <v>14.6</v>
      </c>
      <c r="Q1368" s="80"/>
      <c r="R1368" s="42"/>
      <c r="S1368" s="90">
        <f t="shared" si="168"/>
        <v>130.99999999999685</v>
      </c>
      <c r="T1368" s="42"/>
      <c r="U1368" s="42"/>
      <c r="V1368" s="42"/>
      <c r="W1368" s="42"/>
      <c r="X1368" s="81"/>
    </row>
    <row r="1369" spans="2:24" x14ac:dyDescent="0.25">
      <c r="B1369" s="2">
        <v>1</v>
      </c>
      <c r="C1369" s="1">
        <f t="shared" si="166"/>
        <v>5.1176470588234366</v>
      </c>
      <c r="D1369" s="1">
        <f t="shared" si="164"/>
        <v>1</v>
      </c>
      <c r="E1369" s="1">
        <f t="shared" si="167"/>
        <v>0</v>
      </c>
      <c r="F1369" s="31">
        <f t="shared" si="165"/>
        <v>14.6</v>
      </c>
      <c r="G1369" s="31">
        <f t="shared" ca="1" si="169"/>
        <v>14.6</v>
      </c>
      <c r="H1369" s="30">
        <f t="shared" ca="1" si="170"/>
        <v>0</v>
      </c>
      <c r="I1369" s="31">
        <f t="shared" ca="1" si="171"/>
        <v>14.6</v>
      </c>
      <c r="Q1369" s="80"/>
      <c r="R1369" s="42"/>
      <c r="S1369" s="90">
        <f t="shared" si="168"/>
        <v>131.09999999999684</v>
      </c>
      <c r="T1369" s="42"/>
      <c r="U1369" s="42"/>
      <c r="V1369" s="42"/>
      <c r="W1369" s="42"/>
      <c r="X1369" s="81"/>
    </row>
    <row r="1370" spans="2:24" x14ac:dyDescent="0.25">
      <c r="B1370" s="2">
        <v>1</v>
      </c>
      <c r="C1370" s="1">
        <f t="shared" si="166"/>
        <v>6.1176470588234366</v>
      </c>
      <c r="D1370" s="1">
        <f t="shared" si="164"/>
        <v>1</v>
      </c>
      <c r="E1370" s="1">
        <f t="shared" si="167"/>
        <v>0</v>
      </c>
      <c r="F1370" s="31">
        <f t="shared" si="165"/>
        <v>14.6</v>
      </c>
      <c r="G1370" s="31">
        <f t="shared" ca="1" si="169"/>
        <v>14.6</v>
      </c>
      <c r="H1370" s="30">
        <f t="shared" ca="1" si="170"/>
        <v>0</v>
      </c>
      <c r="I1370" s="31">
        <f t="shared" ca="1" si="171"/>
        <v>14.6</v>
      </c>
      <c r="Q1370" s="80"/>
      <c r="R1370" s="42"/>
      <c r="S1370" s="90">
        <f t="shared" si="168"/>
        <v>131.19999999999683</v>
      </c>
      <c r="T1370" s="42"/>
      <c r="U1370" s="42"/>
      <c r="V1370" s="42"/>
      <c r="W1370" s="42"/>
      <c r="X1370" s="81"/>
    </row>
    <row r="1371" spans="2:24" x14ac:dyDescent="0.25">
      <c r="B1371" s="2">
        <v>1</v>
      </c>
      <c r="C1371" s="1">
        <f t="shared" si="166"/>
        <v>7.1176470588234366</v>
      </c>
      <c r="D1371" s="1">
        <f t="shared" si="164"/>
        <v>1</v>
      </c>
      <c r="E1371" s="1">
        <f t="shared" si="167"/>
        <v>0</v>
      </c>
      <c r="F1371" s="31">
        <f t="shared" si="165"/>
        <v>14.6</v>
      </c>
      <c r="G1371" s="31">
        <f t="shared" ca="1" si="169"/>
        <v>14.6</v>
      </c>
      <c r="H1371" s="30">
        <f t="shared" ca="1" si="170"/>
        <v>0</v>
      </c>
      <c r="I1371" s="31">
        <f t="shared" ca="1" si="171"/>
        <v>14.6</v>
      </c>
      <c r="Q1371" s="80"/>
      <c r="R1371" s="42"/>
      <c r="S1371" s="90">
        <f t="shared" si="168"/>
        <v>131.29999999999683</v>
      </c>
      <c r="T1371" s="42"/>
      <c r="U1371" s="42"/>
      <c r="V1371" s="42"/>
      <c r="W1371" s="42"/>
      <c r="X1371" s="81"/>
    </row>
    <row r="1372" spans="2:24" x14ac:dyDescent="0.25">
      <c r="B1372" s="2">
        <v>1</v>
      </c>
      <c r="C1372" s="1">
        <f t="shared" si="166"/>
        <v>8.1176470588234366</v>
      </c>
      <c r="D1372" s="1">
        <f t="shared" si="164"/>
        <v>1</v>
      </c>
      <c r="E1372" s="1">
        <f t="shared" si="167"/>
        <v>0</v>
      </c>
      <c r="F1372" s="31">
        <f t="shared" si="165"/>
        <v>14.6</v>
      </c>
      <c r="G1372" s="31">
        <f t="shared" ca="1" si="169"/>
        <v>14.6</v>
      </c>
      <c r="H1372" s="30">
        <f t="shared" ca="1" si="170"/>
        <v>0</v>
      </c>
      <c r="I1372" s="31">
        <f t="shared" ca="1" si="171"/>
        <v>14.6</v>
      </c>
      <c r="Q1372" s="80"/>
      <c r="R1372" s="42"/>
      <c r="S1372" s="90">
        <f t="shared" si="168"/>
        <v>131.39999999999682</v>
      </c>
      <c r="T1372" s="42"/>
      <c r="U1372" s="42"/>
      <c r="V1372" s="42"/>
      <c r="W1372" s="42"/>
      <c r="X1372" s="81"/>
    </row>
    <row r="1373" spans="2:24" x14ac:dyDescent="0.25">
      <c r="B1373" s="2">
        <v>1</v>
      </c>
      <c r="C1373" s="1">
        <f t="shared" si="166"/>
        <v>9.1176470588234366</v>
      </c>
      <c r="D1373" s="1">
        <f t="shared" si="164"/>
        <v>1</v>
      </c>
      <c r="E1373" s="1">
        <f t="shared" si="167"/>
        <v>0</v>
      </c>
      <c r="F1373" s="31">
        <f t="shared" si="165"/>
        <v>14.6</v>
      </c>
      <c r="G1373" s="31">
        <f t="shared" ca="1" si="169"/>
        <v>14.6</v>
      </c>
      <c r="H1373" s="30">
        <f t="shared" ca="1" si="170"/>
        <v>0</v>
      </c>
      <c r="I1373" s="31">
        <f t="shared" ca="1" si="171"/>
        <v>14.6</v>
      </c>
      <c r="Q1373" s="80"/>
      <c r="R1373" s="42"/>
      <c r="S1373" s="90">
        <f t="shared" si="168"/>
        <v>131.49999999999682</v>
      </c>
      <c r="T1373" s="42"/>
      <c r="U1373" s="42"/>
      <c r="V1373" s="42"/>
      <c r="W1373" s="42"/>
      <c r="X1373" s="81"/>
    </row>
    <row r="1374" spans="2:24" x14ac:dyDescent="0.25">
      <c r="B1374" s="2">
        <v>1</v>
      </c>
      <c r="C1374" s="1">
        <f t="shared" si="166"/>
        <v>10.117647058823437</v>
      </c>
      <c r="D1374" s="1">
        <f t="shared" si="164"/>
        <v>1</v>
      </c>
      <c r="E1374" s="1">
        <f t="shared" si="167"/>
        <v>0</v>
      </c>
      <c r="F1374" s="31">
        <f t="shared" si="165"/>
        <v>14.6</v>
      </c>
      <c r="G1374" s="31">
        <f t="shared" ca="1" si="169"/>
        <v>14.6</v>
      </c>
      <c r="H1374" s="30">
        <f t="shared" ca="1" si="170"/>
        <v>0</v>
      </c>
      <c r="I1374" s="31">
        <f t="shared" ca="1" si="171"/>
        <v>14.6</v>
      </c>
      <c r="Q1374" s="80"/>
      <c r="R1374" s="42"/>
      <c r="S1374" s="90">
        <f t="shared" si="168"/>
        <v>131.59999999999681</v>
      </c>
      <c r="T1374" s="42"/>
      <c r="U1374" s="42"/>
      <c r="V1374" s="42"/>
      <c r="W1374" s="42"/>
      <c r="X1374" s="81"/>
    </row>
    <row r="1375" spans="2:24" x14ac:dyDescent="0.25">
      <c r="B1375" s="2">
        <v>1</v>
      </c>
      <c r="C1375" s="1">
        <f t="shared" si="166"/>
        <v>11.117647058823437</v>
      </c>
      <c r="D1375" s="1">
        <f t="shared" si="164"/>
        <v>1</v>
      </c>
      <c r="E1375" s="1">
        <f t="shared" si="167"/>
        <v>0</v>
      </c>
      <c r="F1375" s="31">
        <f t="shared" si="165"/>
        <v>14.6</v>
      </c>
      <c r="G1375" s="31">
        <f t="shared" ca="1" si="169"/>
        <v>14.6</v>
      </c>
      <c r="H1375" s="30">
        <f t="shared" ca="1" si="170"/>
        <v>0</v>
      </c>
      <c r="I1375" s="31">
        <f t="shared" ca="1" si="171"/>
        <v>14.6</v>
      </c>
      <c r="Q1375" s="80"/>
      <c r="R1375" s="42"/>
      <c r="S1375" s="90">
        <f t="shared" si="168"/>
        <v>131.69999999999681</v>
      </c>
      <c r="T1375" s="42"/>
      <c r="U1375" s="42"/>
      <c r="V1375" s="42"/>
      <c r="W1375" s="42"/>
      <c r="X1375" s="81"/>
    </row>
    <row r="1376" spans="2:24" x14ac:dyDescent="0.25">
      <c r="B1376" s="2">
        <v>1</v>
      </c>
      <c r="C1376" s="1">
        <f t="shared" si="166"/>
        <v>12.117647058823437</v>
      </c>
      <c r="D1376" s="1">
        <f t="shared" si="164"/>
        <v>1</v>
      </c>
      <c r="E1376" s="1">
        <f t="shared" si="167"/>
        <v>0</v>
      </c>
      <c r="F1376" s="31">
        <f t="shared" si="165"/>
        <v>14.6</v>
      </c>
      <c r="G1376" s="31">
        <f t="shared" ca="1" si="169"/>
        <v>14.6</v>
      </c>
      <c r="H1376" s="30">
        <f t="shared" ca="1" si="170"/>
        <v>0</v>
      </c>
      <c r="I1376" s="31">
        <f t="shared" ca="1" si="171"/>
        <v>14.6</v>
      </c>
      <c r="Q1376" s="80"/>
      <c r="R1376" s="42"/>
      <c r="S1376" s="90">
        <f t="shared" si="168"/>
        <v>131.7999999999968</v>
      </c>
      <c r="T1376" s="42"/>
      <c r="U1376" s="42"/>
      <c r="V1376" s="42"/>
      <c r="W1376" s="42"/>
      <c r="X1376" s="81"/>
    </row>
    <row r="1377" spans="2:24" x14ac:dyDescent="0.25">
      <c r="B1377" s="2">
        <v>1</v>
      </c>
      <c r="C1377" s="1">
        <f t="shared" si="166"/>
        <v>13.117647058823437</v>
      </c>
      <c r="D1377" s="1">
        <f t="shared" si="164"/>
        <v>1</v>
      </c>
      <c r="E1377" s="1">
        <f t="shared" si="167"/>
        <v>0</v>
      </c>
      <c r="F1377" s="31">
        <f t="shared" si="165"/>
        <v>14.6</v>
      </c>
      <c r="G1377" s="31">
        <f t="shared" ca="1" si="169"/>
        <v>14.6</v>
      </c>
      <c r="H1377" s="30">
        <f t="shared" ca="1" si="170"/>
        <v>0</v>
      </c>
      <c r="I1377" s="31">
        <f t="shared" ca="1" si="171"/>
        <v>14.6</v>
      </c>
      <c r="Q1377" s="80"/>
      <c r="R1377" s="42"/>
      <c r="S1377" s="90">
        <f t="shared" si="168"/>
        <v>131.89999999999679</v>
      </c>
      <c r="T1377" s="42"/>
      <c r="U1377" s="42"/>
      <c r="V1377" s="42"/>
      <c r="W1377" s="42"/>
      <c r="X1377" s="81"/>
    </row>
    <row r="1378" spans="2:24" x14ac:dyDescent="0.25">
      <c r="B1378" s="2">
        <v>1</v>
      </c>
      <c r="C1378" s="1">
        <f t="shared" si="166"/>
        <v>14.117647058823437</v>
      </c>
      <c r="D1378" s="1">
        <f t="shared" si="164"/>
        <v>1</v>
      </c>
      <c r="E1378" s="1">
        <f t="shared" si="167"/>
        <v>0</v>
      </c>
      <c r="F1378" s="31">
        <f t="shared" si="165"/>
        <v>14.6</v>
      </c>
      <c r="G1378" s="31">
        <f t="shared" ca="1" si="169"/>
        <v>14.6</v>
      </c>
      <c r="H1378" s="30">
        <f t="shared" ca="1" si="170"/>
        <v>0</v>
      </c>
      <c r="I1378" s="31">
        <f t="shared" ca="1" si="171"/>
        <v>14.6</v>
      </c>
      <c r="Q1378" s="80"/>
      <c r="R1378" s="42"/>
      <c r="S1378" s="90">
        <f t="shared" si="168"/>
        <v>131.99999999999679</v>
      </c>
      <c r="T1378" s="42"/>
      <c r="U1378" s="42"/>
      <c r="V1378" s="42"/>
      <c r="W1378" s="42"/>
      <c r="X1378" s="81"/>
    </row>
    <row r="1379" spans="2:24" x14ac:dyDescent="0.25">
      <c r="B1379" s="2">
        <v>1</v>
      </c>
      <c r="C1379" s="1">
        <f t="shared" si="166"/>
        <v>15.117647058823437</v>
      </c>
      <c r="D1379" s="1">
        <f t="shared" si="164"/>
        <v>1</v>
      </c>
      <c r="E1379" s="1">
        <f t="shared" si="167"/>
        <v>0</v>
      </c>
      <c r="F1379" s="31">
        <f t="shared" si="165"/>
        <v>14.6</v>
      </c>
      <c r="G1379" s="31">
        <f t="shared" ca="1" si="169"/>
        <v>14.6</v>
      </c>
      <c r="H1379" s="30">
        <f t="shared" ca="1" si="170"/>
        <v>0</v>
      </c>
      <c r="I1379" s="31">
        <f t="shared" ca="1" si="171"/>
        <v>14.6</v>
      </c>
      <c r="Q1379" s="80"/>
      <c r="R1379" s="42"/>
      <c r="S1379" s="90">
        <f t="shared" si="168"/>
        <v>132.09999999999678</v>
      </c>
      <c r="T1379" s="42"/>
      <c r="U1379" s="42"/>
      <c r="V1379" s="42"/>
      <c r="W1379" s="42"/>
      <c r="X1379" s="81"/>
    </row>
    <row r="1380" spans="2:24" x14ac:dyDescent="0.25">
      <c r="B1380" s="2">
        <v>1</v>
      </c>
      <c r="C1380" s="1">
        <f t="shared" si="166"/>
        <v>16.117647058823437</v>
      </c>
      <c r="D1380" s="1">
        <f t="shared" si="164"/>
        <v>1</v>
      </c>
      <c r="E1380" s="1">
        <f t="shared" si="167"/>
        <v>0</v>
      </c>
      <c r="F1380" s="31">
        <f t="shared" si="165"/>
        <v>14.6</v>
      </c>
      <c r="G1380" s="31">
        <f t="shared" ca="1" si="169"/>
        <v>14.6</v>
      </c>
      <c r="H1380" s="30">
        <f t="shared" ca="1" si="170"/>
        <v>0</v>
      </c>
      <c r="I1380" s="31">
        <f t="shared" ca="1" si="171"/>
        <v>14.6</v>
      </c>
      <c r="Q1380" s="80"/>
      <c r="R1380" s="42"/>
      <c r="S1380" s="90">
        <f t="shared" si="168"/>
        <v>132.19999999999678</v>
      </c>
      <c r="T1380" s="42"/>
      <c r="U1380" s="42"/>
      <c r="V1380" s="42"/>
      <c r="W1380" s="42"/>
      <c r="X1380" s="81"/>
    </row>
    <row r="1381" spans="2:24" x14ac:dyDescent="0.25">
      <c r="B1381" s="2">
        <v>1</v>
      </c>
      <c r="C1381" s="1">
        <f t="shared" si="166"/>
        <v>17.117647058823437</v>
      </c>
      <c r="D1381" s="1">
        <f t="shared" si="164"/>
        <v>1</v>
      </c>
      <c r="E1381" s="1">
        <f t="shared" si="167"/>
        <v>0</v>
      </c>
      <c r="F1381" s="31">
        <f t="shared" si="165"/>
        <v>14.6</v>
      </c>
      <c r="G1381" s="31">
        <f t="shared" ca="1" si="169"/>
        <v>14.6</v>
      </c>
      <c r="H1381" s="30">
        <f t="shared" ca="1" si="170"/>
        <v>0</v>
      </c>
      <c r="I1381" s="31">
        <f t="shared" ca="1" si="171"/>
        <v>14.6</v>
      </c>
      <c r="Q1381" s="80"/>
      <c r="R1381" s="42"/>
      <c r="S1381" s="90">
        <f t="shared" si="168"/>
        <v>132.29999999999677</v>
      </c>
      <c r="T1381" s="42"/>
      <c r="U1381" s="42"/>
      <c r="V1381" s="42"/>
      <c r="W1381" s="42"/>
      <c r="X1381" s="81"/>
    </row>
    <row r="1382" spans="2:24" x14ac:dyDescent="0.25">
      <c r="B1382" s="2">
        <v>1</v>
      </c>
      <c r="C1382" s="1">
        <f t="shared" si="166"/>
        <v>18.117647058823437</v>
      </c>
      <c r="D1382" s="1">
        <f t="shared" si="164"/>
        <v>1</v>
      </c>
      <c r="E1382" s="1">
        <f t="shared" si="167"/>
        <v>0</v>
      </c>
      <c r="F1382" s="31">
        <f t="shared" si="165"/>
        <v>14.6</v>
      </c>
      <c r="G1382" s="31">
        <f t="shared" ca="1" si="169"/>
        <v>14.6</v>
      </c>
      <c r="H1382" s="30">
        <f t="shared" ca="1" si="170"/>
        <v>0</v>
      </c>
      <c r="I1382" s="31">
        <f t="shared" ca="1" si="171"/>
        <v>14.6</v>
      </c>
      <c r="Q1382" s="80"/>
      <c r="R1382" s="42"/>
      <c r="S1382" s="90">
        <f t="shared" si="168"/>
        <v>132.39999999999677</v>
      </c>
      <c r="T1382" s="42"/>
      <c r="U1382" s="42"/>
      <c r="V1382" s="42"/>
      <c r="W1382" s="42"/>
      <c r="X1382" s="81"/>
    </row>
    <row r="1383" spans="2:24" x14ac:dyDescent="0.25">
      <c r="B1383" s="2">
        <v>1</v>
      </c>
      <c r="C1383" s="1">
        <f t="shared" si="166"/>
        <v>19.117647058823437</v>
      </c>
      <c r="D1383" s="1">
        <f t="shared" si="164"/>
        <v>1</v>
      </c>
      <c r="E1383" s="1">
        <f t="shared" si="167"/>
        <v>0</v>
      </c>
      <c r="F1383" s="31">
        <f t="shared" si="165"/>
        <v>14.6</v>
      </c>
      <c r="G1383" s="31">
        <f t="shared" ca="1" si="169"/>
        <v>14.6</v>
      </c>
      <c r="H1383" s="30">
        <f t="shared" ca="1" si="170"/>
        <v>0</v>
      </c>
      <c r="I1383" s="31">
        <f t="shared" ca="1" si="171"/>
        <v>14.6</v>
      </c>
      <c r="Q1383" s="80"/>
      <c r="R1383" s="42"/>
      <c r="S1383" s="90">
        <f t="shared" si="168"/>
        <v>132.49999999999676</v>
      </c>
      <c r="T1383" s="42"/>
      <c r="U1383" s="42"/>
      <c r="V1383" s="42"/>
      <c r="W1383" s="42"/>
      <c r="X1383" s="81"/>
    </row>
    <row r="1384" spans="2:24" x14ac:dyDescent="0.25">
      <c r="B1384" s="2">
        <v>1</v>
      </c>
      <c r="C1384" s="1">
        <f t="shared" si="166"/>
        <v>20.117647058823437</v>
      </c>
      <c r="D1384" s="1">
        <f t="shared" si="164"/>
        <v>1</v>
      </c>
      <c r="E1384" s="1">
        <f t="shared" si="167"/>
        <v>0</v>
      </c>
      <c r="F1384" s="31">
        <f t="shared" si="165"/>
        <v>14.6</v>
      </c>
      <c r="G1384" s="31">
        <f t="shared" ca="1" si="169"/>
        <v>14.6</v>
      </c>
      <c r="H1384" s="30">
        <f t="shared" ca="1" si="170"/>
        <v>0</v>
      </c>
      <c r="I1384" s="31">
        <f t="shared" ca="1" si="171"/>
        <v>14.6</v>
      </c>
      <c r="Q1384" s="80"/>
      <c r="R1384" s="42"/>
      <c r="S1384" s="90">
        <f t="shared" si="168"/>
        <v>132.59999999999675</v>
      </c>
      <c r="T1384" s="42"/>
      <c r="U1384" s="42"/>
      <c r="V1384" s="42"/>
      <c r="W1384" s="42"/>
      <c r="X1384" s="81"/>
    </row>
    <row r="1385" spans="2:24" x14ac:dyDescent="0.25">
      <c r="B1385" s="2">
        <v>1</v>
      </c>
      <c r="C1385" s="1">
        <f t="shared" si="166"/>
        <v>21.117647058823437</v>
      </c>
      <c r="D1385" s="1">
        <f t="shared" si="164"/>
        <v>1</v>
      </c>
      <c r="E1385" s="1">
        <f t="shared" si="167"/>
        <v>0</v>
      </c>
      <c r="F1385" s="31">
        <f t="shared" si="165"/>
        <v>14.6</v>
      </c>
      <c r="G1385" s="31">
        <f t="shared" ca="1" si="169"/>
        <v>14.6</v>
      </c>
      <c r="H1385" s="30">
        <f t="shared" ca="1" si="170"/>
        <v>0</v>
      </c>
      <c r="I1385" s="31">
        <f t="shared" ca="1" si="171"/>
        <v>14.6</v>
      </c>
      <c r="Q1385" s="80"/>
      <c r="R1385" s="42"/>
      <c r="S1385" s="90">
        <f t="shared" si="168"/>
        <v>132.69999999999675</v>
      </c>
      <c r="T1385" s="42"/>
      <c r="U1385" s="42"/>
      <c r="V1385" s="42"/>
      <c r="W1385" s="42"/>
      <c r="X1385" s="81"/>
    </row>
    <row r="1386" spans="2:24" x14ac:dyDescent="0.25">
      <c r="B1386" s="2">
        <v>1</v>
      </c>
      <c r="C1386" s="1">
        <f t="shared" si="166"/>
        <v>22.117647058823437</v>
      </c>
      <c r="D1386" s="1">
        <f t="shared" si="164"/>
        <v>1</v>
      </c>
      <c r="E1386" s="1">
        <f t="shared" si="167"/>
        <v>0</v>
      </c>
      <c r="F1386" s="31">
        <f t="shared" si="165"/>
        <v>14.6</v>
      </c>
      <c r="G1386" s="31">
        <f t="shared" ca="1" si="169"/>
        <v>14.6</v>
      </c>
      <c r="H1386" s="30">
        <f t="shared" ca="1" si="170"/>
        <v>0</v>
      </c>
      <c r="I1386" s="31">
        <f t="shared" ca="1" si="171"/>
        <v>14.6</v>
      </c>
      <c r="Q1386" s="80"/>
      <c r="R1386" s="42"/>
      <c r="S1386" s="90">
        <f t="shared" si="168"/>
        <v>132.79999999999674</v>
      </c>
      <c r="T1386" s="42"/>
      <c r="U1386" s="42"/>
      <c r="V1386" s="42"/>
      <c r="W1386" s="42"/>
      <c r="X1386" s="81"/>
    </row>
    <row r="1387" spans="2:24" x14ac:dyDescent="0.25">
      <c r="B1387" s="2">
        <v>1</v>
      </c>
      <c r="C1387" s="1">
        <f t="shared" si="166"/>
        <v>23.117647058823437</v>
      </c>
      <c r="D1387" s="1">
        <f t="shared" si="164"/>
        <v>0</v>
      </c>
      <c r="E1387" s="1">
        <f t="shared" si="167"/>
        <v>1</v>
      </c>
      <c r="F1387" s="31">
        <f t="shared" si="165"/>
        <v>6.4</v>
      </c>
      <c r="G1387" s="31">
        <f t="shared" ca="1" si="169"/>
        <v>0</v>
      </c>
      <c r="H1387" s="30">
        <f t="shared" ca="1" si="170"/>
        <v>14.6</v>
      </c>
      <c r="I1387" s="31">
        <f t="shared" ca="1" si="171"/>
        <v>14.6</v>
      </c>
      <c r="Q1387" s="80"/>
      <c r="R1387" s="42"/>
      <c r="S1387" s="90">
        <f t="shared" si="168"/>
        <v>132.89999999999674</v>
      </c>
      <c r="T1387" s="42"/>
      <c r="U1387" s="42"/>
      <c r="V1387" s="42"/>
      <c r="W1387" s="42"/>
      <c r="X1387" s="81"/>
    </row>
    <row r="1388" spans="2:24" x14ac:dyDescent="0.25">
      <c r="B1388" s="2">
        <v>1</v>
      </c>
      <c r="C1388" s="1">
        <f t="shared" si="166"/>
        <v>24.117647058823437</v>
      </c>
      <c r="D1388" s="1">
        <f t="shared" si="164"/>
        <v>0</v>
      </c>
      <c r="E1388" s="1">
        <f t="shared" si="167"/>
        <v>1</v>
      </c>
      <c r="F1388" s="31">
        <f t="shared" si="165"/>
        <v>6.4</v>
      </c>
      <c r="G1388" s="31">
        <f t="shared" ca="1" si="169"/>
        <v>0</v>
      </c>
      <c r="H1388" s="30">
        <f t="shared" ca="1" si="170"/>
        <v>6.4</v>
      </c>
      <c r="I1388" s="31">
        <f t="shared" ca="1" si="171"/>
        <v>6.4</v>
      </c>
      <c r="Q1388" s="80"/>
      <c r="R1388" s="42"/>
      <c r="S1388" s="90">
        <f t="shared" si="168"/>
        <v>132.99999999999673</v>
      </c>
      <c r="T1388" s="42"/>
      <c r="U1388" s="42"/>
      <c r="V1388" s="42"/>
      <c r="W1388" s="42"/>
      <c r="X1388" s="81"/>
    </row>
    <row r="1389" spans="2:24" x14ac:dyDescent="0.25">
      <c r="B1389" s="2">
        <v>1</v>
      </c>
      <c r="C1389" s="1">
        <f t="shared" si="166"/>
        <v>25.117647058823437</v>
      </c>
      <c r="D1389" s="1">
        <f t="shared" si="164"/>
        <v>0</v>
      </c>
      <c r="E1389" s="1">
        <f t="shared" si="167"/>
        <v>1</v>
      </c>
      <c r="F1389" s="31">
        <f t="shared" si="165"/>
        <v>6.4</v>
      </c>
      <c r="G1389" s="31">
        <f t="shared" ca="1" si="169"/>
        <v>0</v>
      </c>
      <c r="H1389" s="30">
        <f t="shared" ca="1" si="170"/>
        <v>6.4</v>
      </c>
      <c r="I1389" s="31">
        <f t="shared" ca="1" si="171"/>
        <v>6.4</v>
      </c>
      <c r="Q1389" s="80"/>
      <c r="R1389" s="42"/>
      <c r="S1389" s="90">
        <f t="shared" si="168"/>
        <v>133.09999999999673</v>
      </c>
      <c r="T1389" s="42"/>
      <c r="U1389" s="42"/>
      <c r="V1389" s="42"/>
      <c r="W1389" s="42"/>
      <c r="X1389" s="81"/>
    </row>
    <row r="1390" spans="2:24" x14ac:dyDescent="0.25">
      <c r="B1390" s="2">
        <v>1</v>
      </c>
      <c r="C1390" s="1">
        <f t="shared" si="166"/>
        <v>26.117647058823437</v>
      </c>
      <c r="D1390" s="1">
        <f t="shared" si="164"/>
        <v>0</v>
      </c>
      <c r="E1390" s="1">
        <f t="shared" si="167"/>
        <v>1</v>
      </c>
      <c r="F1390" s="31">
        <f t="shared" si="165"/>
        <v>6.4</v>
      </c>
      <c r="G1390" s="31">
        <f t="shared" ca="1" si="169"/>
        <v>0</v>
      </c>
      <c r="H1390" s="30">
        <f t="shared" ca="1" si="170"/>
        <v>6.4</v>
      </c>
      <c r="I1390" s="31">
        <f t="shared" ca="1" si="171"/>
        <v>6.4</v>
      </c>
      <c r="Q1390" s="80"/>
      <c r="R1390" s="42"/>
      <c r="S1390" s="90">
        <f t="shared" si="168"/>
        <v>133.19999999999672</v>
      </c>
      <c r="T1390" s="42"/>
      <c r="U1390" s="42"/>
      <c r="V1390" s="42"/>
      <c r="W1390" s="42"/>
      <c r="X1390" s="81"/>
    </row>
    <row r="1391" spans="2:24" x14ac:dyDescent="0.25">
      <c r="B1391" s="2">
        <v>1</v>
      </c>
      <c r="C1391" s="1">
        <f t="shared" si="166"/>
        <v>27.117647058823437</v>
      </c>
      <c r="D1391" s="1">
        <f t="shared" si="164"/>
        <v>0</v>
      </c>
      <c r="E1391" s="1">
        <f t="shared" si="167"/>
        <v>1</v>
      </c>
      <c r="F1391" s="31">
        <f t="shared" si="165"/>
        <v>6.4</v>
      </c>
      <c r="G1391" s="31">
        <f t="shared" ca="1" si="169"/>
        <v>0</v>
      </c>
      <c r="H1391" s="30">
        <f t="shared" ca="1" si="170"/>
        <v>6.4</v>
      </c>
      <c r="I1391" s="31">
        <f t="shared" ca="1" si="171"/>
        <v>6.4</v>
      </c>
      <c r="Q1391" s="80"/>
      <c r="R1391" s="42"/>
      <c r="S1391" s="90">
        <f t="shared" si="168"/>
        <v>133.29999999999671</v>
      </c>
      <c r="T1391" s="42"/>
      <c r="U1391" s="42"/>
      <c r="V1391" s="42"/>
      <c r="W1391" s="42"/>
      <c r="X1391" s="81"/>
    </row>
    <row r="1392" spans="2:24" x14ac:dyDescent="0.25">
      <c r="B1392" s="2">
        <v>1</v>
      </c>
      <c r="C1392" s="1">
        <f t="shared" si="166"/>
        <v>28.117647058823437</v>
      </c>
      <c r="D1392" s="1">
        <f t="shared" si="164"/>
        <v>0</v>
      </c>
      <c r="E1392" s="1">
        <f t="shared" si="167"/>
        <v>1</v>
      </c>
      <c r="F1392" s="31">
        <f t="shared" si="165"/>
        <v>6.4</v>
      </c>
      <c r="G1392" s="31">
        <f t="shared" ca="1" si="169"/>
        <v>0</v>
      </c>
      <c r="H1392" s="30">
        <f t="shared" ca="1" si="170"/>
        <v>6.4</v>
      </c>
      <c r="I1392" s="31">
        <f t="shared" ca="1" si="171"/>
        <v>6.4</v>
      </c>
      <c r="Q1392" s="80"/>
      <c r="R1392" s="42"/>
      <c r="S1392" s="90">
        <f t="shared" si="168"/>
        <v>133.39999999999671</v>
      </c>
      <c r="T1392" s="42"/>
      <c r="U1392" s="42"/>
      <c r="V1392" s="42"/>
      <c r="W1392" s="42"/>
      <c r="X1392" s="81"/>
    </row>
    <row r="1393" spans="2:24" x14ac:dyDescent="0.25">
      <c r="B1393" s="2">
        <v>1</v>
      </c>
      <c r="C1393" s="1">
        <f t="shared" si="166"/>
        <v>29.117647058823437</v>
      </c>
      <c r="D1393" s="1">
        <f t="shared" si="164"/>
        <v>0</v>
      </c>
      <c r="E1393" s="1">
        <f t="shared" si="167"/>
        <v>1</v>
      </c>
      <c r="F1393" s="31">
        <f t="shared" si="165"/>
        <v>6.4</v>
      </c>
      <c r="G1393" s="31">
        <f t="shared" ca="1" si="169"/>
        <v>0</v>
      </c>
      <c r="H1393" s="30">
        <f t="shared" ca="1" si="170"/>
        <v>6.4</v>
      </c>
      <c r="I1393" s="31">
        <f t="shared" ca="1" si="171"/>
        <v>6.4</v>
      </c>
      <c r="Q1393" s="80"/>
      <c r="R1393" s="42"/>
      <c r="S1393" s="90">
        <f t="shared" si="168"/>
        <v>133.4999999999967</v>
      </c>
      <c r="T1393" s="42"/>
      <c r="U1393" s="42"/>
      <c r="V1393" s="42"/>
      <c r="W1393" s="42"/>
      <c r="X1393" s="81"/>
    </row>
    <row r="1394" spans="2:24" x14ac:dyDescent="0.25">
      <c r="B1394" s="2">
        <v>1</v>
      </c>
      <c r="C1394" s="1">
        <f t="shared" si="166"/>
        <v>30.117647058823437</v>
      </c>
      <c r="D1394" s="1">
        <f t="shared" si="164"/>
        <v>0</v>
      </c>
      <c r="E1394" s="1">
        <f t="shared" si="167"/>
        <v>1</v>
      </c>
      <c r="F1394" s="31">
        <f t="shared" si="165"/>
        <v>6.4</v>
      </c>
      <c r="G1394" s="31">
        <f t="shared" ca="1" si="169"/>
        <v>0</v>
      </c>
      <c r="H1394" s="30">
        <f t="shared" ca="1" si="170"/>
        <v>6.4</v>
      </c>
      <c r="I1394" s="31">
        <f t="shared" ca="1" si="171"/>
        <v>6.4</v>
      </c>
      <c r="Q1394" s="80"/>
      <c r="R1394" s="42"/>
      <c r="S1394" s="90">
        <f t="shared" si="168"/>
        <v>133.5999999999967</v>
      </c>
      <c r="T1394" s="42"/>
      <c r="U1394" s="42"/>
      <c r="V1394" s="42"/>
      <c r="W1394" s="42"/>
      <c r="X1394" s="81"/>
    </row>
    <row r="1395" spans="2:24" x14ac:dyDescent="0.25">
      <c r="B1395" s="2">
        <v>1</v>
      </c>
      <c r="C1395" s="1">
        <f t="shared" si="166"/>
        <v>31.117647058823437</v>
      </c>
      <c r="D1395" s="1">
        <f t="shared" si="164"/>
        <v>0</v>
      </c>
      <c r="E1395" s="1">
        <f t="shared" si="167"/>
        <v>1</v>
      </c>
      <c r="F1395" s="31">
        <f t="shared" si="165"/>
        <v>6.4</v>
      </c>
      <c r="G1395" s="31">
        <f t="shared" ca="1" si="169"/>
        <v>0</v>
      </c>
      <c r="H1395" s="30">
        <f t="shared" ca="1" si="170"/>
        <v>6.4</v>
      </c>
      <c r="I1395" s="31">
        <f t="shared" ca="1" si="171"/>
        <v>6.4</v>
      </c>
      <c r="Q1395" s="80"/>
      <c r="R1395" s="42"/>
      <c r="S1395" s="90">
        <f t="shared" si="168"/>
        <v>133.69999999999669</v>
      </c>
      <c r="T1395" s="42"/>
      <c r="U1395" s="42"/>
      <c r="V1395" s="42"/>
      <c r="W1395" s="42"/>
      <c r="X1395" s="81"/>
    </row>
    <row r="1396" spans="2:24" x14ac:dyDescent="0.25">
      <c r="B1396" s="2">
        <v>1</v>
      </c>
      <c r="C1396" s="1">
        <f t="shared" si="166"/>
        <v>32.117647058823437</v>
      </c>
      <c r="D1396" s="1">
        <f t="shared" si="164"/>
        <v>0</v>
      </c>
      <c r="E1396" s="1">
        <f t="shared" si="167"/>
        <v>1</v>
      </c>
      <c r="F1396" s="31">
        <f t="shared" si="165"/>
        <v>6.4</v>
      </c>
      <c r="G1396" s="31">
        <f t="shared" ca="1" si="169"/>
        <v>0</v>
      </c>
      <c r="H1396" s="30">
        <f t="shared" ca="1" si="170"/>
        <v>6.4</v>
      </c>
      <c r="I1396" s="31">
        <f t="shared" ca="1" si="171"/>
        <v>6.4</v>
      </c>
      <c r="Q1396" s="80"/>
      <c r="R1396" s="42"/>
      <c r="S1396" s="90">
        <f t="shared" si="168"/>
        <v>133.79999999999669</v>
      </c>
      <c r="T1396" s="42"/>
      <c r="U1396" s="42"/>
      <c r="V1396" s="42"/>
      <c r="W1396" s="42"/>
      <c r="X1396" s="81"/>
    </row>
    <row r="1397" spans="2:24" x14ac:dyDescent="0.25">
      <c r="B1397" s="2">
        <v>1</v>
      </c>
      <c r="C1397" s="1">
        <f t="shared" si="166"/>
        <v>33.117647058823437</v>
      </c>
      <c r="D1397" s="1">
        <f t="shared" si="164"/>
        <v>0</v>
      </c>
      <c r="E1397" s="1">
        <f t="shared" si="167"/>
        <v>1</v>
      </c>
      <c r="F1397" s="31">
        <f t="shared" si="165"/>
        <v>6.4</v>
      </c>
      <c r="G1397" s="31">
        <f t="shared" ca="1" si="169"/>
        <v>0</v>
      </c>
      <c r="H1397" s="30">
        <f t="shared" ca="1" si="170"/>
        <v>6.4</v>
      </c>
      <c r="I1397" s="31">
        <f t="shared" ca="1" si="171"/>
        <v>6.4</v>
      </c>
      <c r="Q1397" s="80"/>
      <c r="R1397" s="42"/>
      <c r="S1397" s="90">
        <f t="shared" si="168"/>
        <v>133.89999999999668</v>
      </c>
      <c r="T1397" s="42"/>
      <c r="U1397" s="42"/>
      <c r="V1397" s="42"/>
      <c r="W1397" s="42"/>
      <c r="X1397" s="81"/>
    </row>
    <row r="1398" spans="2:24" x14ac:dyDescent="0.25">
      <c r="B1398" s="2">
        <v>1</v>
      </c>
      <c r="C1398" s="1">
        <f t="shared" si="166"/>
        <v>34.117647058823437</v>
      </c>
      <c r="D1398" s="1">
        <f t="shared" si="164"/>
        <v>0</v>
      </c>
      <c r="E1398" s="1">
        <f t="shared" si="167"/>
        <v>1</v>
      </c>
      <c r="F1398" s="31">
        <f t="shared" si="165"/>
        <v>6.4</v>
      </c>
      <c r="G1398" s="31">
        <f t="shared" ca="1" si="169"/>
        <v>0</v>
      </c>
      <c r="H1398" s="30">
        <f t="shared" ca="1" si="170"/>
        <v>6.4</v>
      </c>
      <c r="I1398" s="31">
        <f t="shared" ca="1" si="171"/>
        <v>6.4</v>
      </c>
      <c r="Q1398" s="80"/>
      <c r="R1398" s="42"/>
      <c r="S1398" s="90">
        <f t="shared" si="168"/>
        <v>133.99999999999667</v>
      </c>
      <c r="T1398" s="42"/>
      <c r="U1398" s="42"/>
      <c r="V1398" s="42"/>
      <c r="W1398" s="42"/>
      <c r="X1398" s="81"/>
    </row>
    <row r="1399" spans="2:24" x14ac:dyDescent="0.25">
      <c r="B1399" s="2">
        <v>1</v>
      </c>
      <c r="C1399" s="1">
        <f t="shared" si="166"/>
        <v>35.117647058823437</v>
      </c>
      <c r="D1399" s="1">
        <f t="shared" si="164"/>
        <v>0</v>
      </c>
      <c r="E1399" s="1">
        <f t="shared" si="167"/>
        <v>1</v>
      </c>
      <c r="F1399" s="31">
        <f t="shared" si="165"/>
        <v>6.4</v>
      </c>
      <c r="G1399" s="31">
        <f t="shared" ca="1" si="169"/>
        <v>0</v>
      </c>
      <c r="H1399" s="30">
        <f t="shared" ca="1" si="170"/>
        <v>6.4</v>
      </c>
      <c r="I1399" s="31">
        <f t="shared" ca="1" si="171"/>
        <v>6.4</v>
      </c>
      <c r="Q1399" s="80"/>
      <c r="R1399" s="42"/>
      <c r="S1399" s="90">
        <f t="shared" si="168"/>
        <v>134.09999999999667</v>
      </c>
      <c r="T1399" s="42"/>
      <c r="U1399" s="42"/>
      <c r="V1399" s="42"/>
      <c r="W1399" s="42"/>
      <c r="X1399" s="81"/>
    </row>
    <row r="1400" spans="2:24" x14ac:dyDescent="0.25">
      <c r="B1400" s="2">
        <v>1</v>
      </c>
      <c r="C1400" s="1">
        <f t="shared" si="166"/>
        <v>0.82352941176461059</v>
      </c>
      <c r="D1400" s="1">
        <f t="shared" si="164"/>
        <v>1</v>
      </c>
      <c r="E1400" s="1">
        <f t="shared" si="167"/>
        <v>0</v>
      </c>
      <c r="F1400" s="31">
        <f t="shared" si="165"/>
        <v>14.6</v>
      </c>
      <c r="G1400" s="31">
        <f t="shared" ca="1" si="169"/>
        <v>6.4</v>
      </c>
      <c r="H1400" s="30">
        <f t="shared" ca="1" si="170"/>
        <v>0</v>
      </c>
      <c r="I1400" s="31">
        <f t="shared" ca="1" si="171"/>
        <v>6.4</v>
      </c>
      <c r="Q1400" s="80"/>
      <c r="R1400" s="42"/>
      <c r="S1400" s="90">
        <f t="shared" si="168"/>
        <v>134.19999999999666</v>
      </c>
      <c r="T1400" s="42"/>
      <c r="U1400" s="42"/>
      <c r="V1400" s="42"/>
      <c r="W1400" s="42"/>
      <c r="X1400" s="81"/>
    </row>
    <row r="1401" spans="2:24" x14ac:dyDescent="0.25">
      <c r="B1401" s="2">
        <v>1</v>
      </c>
      <c r="C1401" s="1">
        <f t="shared" si="166"/>
        <v>1.8235294117646106</v>
      </c>
      <c r="D1401" s="1">
        <f t="shared" si="164"/>
        <v>1</v>
      </c>
      <c r="E1401" s="1">
        <f t="shared" si="167"/>
        <v>0</v>
      </c>
      <c r="F1401" s="31">
        <f t="shared" si="165"/>
        <v>14.6</v>
      </c>
      <c r="G1401" s="31">
        <f t="shared" ca="1" si="169"/>
        <v>8.4500000000000011</v>
      </c>
      <c r="H1401" s="30">
        <f t="shared" ca="1" si="170"/>
        <v>0</v>
      </c>
      <c r="I1401" s="31">
        <f t="shared" ca="1" si="171"/>
        <v>8.4500000000000011</v>
      </c>
      <c r="Q1401" s="80"/>
      <c r="R1401" s="42"/>
      <c r="S1401" s="90">
        <f t="shared" si="168"/>
        <v>134.29999999999666</v>
      </c>
      <c r="T1401" s="42"/>
      <c r="U1401" s="42"/>
      <c r="V1401" s="42"/>
      <c r="W1401" s="42"/>
      <c r="X1401" s="81"/>
    </row>
    <row r="1402" spans="2:24" x14ac:dyDescent="0.25">
      <c r="B1402" s="2">
        <v>1</v>
      </c>
      <c r="C1402" s="1">
        <f t="shared" si="166"/>
        <v>2.8235294117646106</v>
      </c>
      <c r="D1402" s="1">
        <f t="shared" ref="D1402:D1465" si="172">IF(C1402&lt;=Inhelation_Time_RT,1,0)</f>
        <v>1</v>
      </c>
      <c r="E1402" s="1">
        <f t="shared" si="167"/>
        <v>0</v>
      </c>
      <c r="F1402" s="31">
        <f t="shared" ref="F1402:F1465" si="173">(D1402*Inspiratory_pressure_level) + (E1402*PEEP)</f>
        <v>14.6</v>
      </c>
      <c r="G1402" s="31">
        <f t="shared" ca="1" si="169"/>
        <v>10.5</v>
      </c>
      <c r="H1402" s="30">
        <f t="shared" ca="1" si="170"/>
        <v>0</v>
      </c>
      <c r="I1402" s="31">
        <f t="shared" ca="1" si="171"/>
        <v>10.5</v>
      </c>
      <c r="Q1402" s="80"/>
      <c r="R1402" s="42"/>
      <c r="S1402" s="90">
        <f t="shared" si="168"/>
        <v>134.39999999999665</v>
      </c>
      <c r="T1402" s="42"/>
      <c r="U1402" s="42"/>
      <c r="V1402" s="42"/>
      <c r="W1402" s="42"/>
      <c r="X1402" s="81"/>
    </row>
    <row r="1403" spans="2:24" x14ac:dyDescent="0.25">
      <c r="B1403" s="2">
        <v>1</v>
      </c>
      <c r="C1403" s="1">
        <f t="shared" ref="C1403:C1466" si="174">MOD(C1402+B1403,time_for_breath_RT)</f>
        <v>3.8235294117646106</v>
      </c>
      <c r="D1403" s="1">
        <f t="shared" si="172"/>
        <v>1</v>
      </c>
      <c r="E1403" s="1">
        <f t="shared" ref="E1403:E1466" si="175">IF(D1403=1,0,1)</f>
        <v>0</v>
      </c>
      <c r="F1403" s="31">
        <f t="shared" si="173"/>
        <v>14.6</v>
      </c>
      <c r="G1403" s="31">
        <f t="shared" ca="1" si="169"/>
        <v>12.55</v>
      </c>
      <c r="H1403" s="30">
        <f t="shared" ca="1" si="170"/>
        <v>0</v>
      </c>
      <c r="I1403" s="31">
        <f t="shared" ca="1" si="171"/>
        <v>12.55</v>
      </c>
      <c r="Q1403" s="80"/>
      <c r="R1403" s="42"/>
      <c r="S1403" s="90">
        <f t="shared" ref="S1403:S1466" si="176">S1402+(B1402 / RTC_to_seconds)</f>
        <v>134.49999999999665</v>
      </c>
      <c r="T1403" s="42"/>
      <c r="U1403" s="42"/>
      <c r="V1403" s="42"/>
      <c r="W1403" s="42"/>
      <c r="X1403" s="81"/>
    </row>
    <row r="1404" spans="2:24" x14ac:dyDescent="0.25">
      <c r="B1404" s="2">
        <v>1</v>
      </c>
      <c r="C1404" s="1">
        <f t="shared" si="174"/>
        <v>4.8235294117646106</v>
      </c>
      <c r="D1404" s="1">
        <f t="shared" si="172"/>
        <v>1</v>
      </c>
      <c r="E1404" s="1">
        <f t="shared" si="175"/>
        <v>0</v>
      </c>
      <c r="F1404" s="31">
        <f t="shared" si="173"/>
        <v>14.6</v>
      </c>
      <c r="G1404" s="31">
        <f t="shared" ca="1" si="169"/>
        <v>14.6</v>
      </c>
      <c r="H1404" s="30">
        <f t="shared" ca="1" si="170"/>
        <v>0</v>
      </c>
      <c r="I1404" s="31">
        <f t="shared" ca="1" si="171"/>
        <v>14.6</v>
      </c>
      <c r="Q1404" s="80"/>
      <c r="R1404" s="42"/>
      <c r="S1404" s="90">
        <f t="shared" si="176"/>
        <v>134.59999999999664</v>
      </c>
      <c r="T1404" s="42"/>
      <c r="U1404" s="42"/>
      <c r="V1404" s="42"/>
      <c r="W1404" s="42"/>
      <c r="X1404" s="81"/>
    </row>
    <row r="1405" spans="2:24" x14ac:dyDescent="0.25">
      <c r="B1405" s="2">
        <v>1</v>
      </c>
      <c r="C1405" s="1">
        <f t="shared" si="174"/>
        <v>5.8235294117646106</v>
      </c>
      <c r="D1405" s="1">
        <f t="shared" si="172"/>
        <v>1</v>
      </c>
      <c r="E1405" s="1">
        <f t="shared" si="175"/>
        <v>0</v>
      </c>
      <c r="F1405" s="31">
        <f t="shared" si="173"/>
        <v>14.6</v>
      </c>
      <c r="G1405" s="31">
        <f t="shared" ca="1" si="169"/>
        <v>14.6</v>
      </c>
      <c r="H1405" s="30">
        <f t="shared" ca="1" si="170"/>
        <v>0</v>
      </c>
      <c r="I1405" s="31">
        <f t="shared" ca="1" si="171"/>
        <v>14.6</v>
      </c>
      <c r="Q1405" s="80"/>
      <c r="R1405" s="42"/>
      <c r="S1405" s="90">
        <f t="shared" si="176"/>
        <v>134.69999999999663</v>
      </c>
      <c r="T1405" s="42"/>
      <c r="U1405" s="42"/>
      <c r="V1405" s="42"/>
      <c r="W1405" s="42"/>
      <c r="X1405" s="81"/>
    </row>
    <row r="1406" spans="2:24" x14ac:dyDescent="0.25">
      <c r="B1406" s="2">
        <v>1</v>
      </c>
      <c r="C1406" s="1">
        <f t="shared" si="174"/>
        <v>6.8235294117646106</v>
      </c>
      <c r="D1406" s="1">
        <f t="shared" si="172"/>
        <v>1</v>
      </c>
      <c r="E1406" s="1">
        <f t="shared" si="175"/>
        <v>0</v>
      </c>
      <c r="F1406" s="31">
        <f t="shared" si="173"/>
        <v>14.6</v>
      </c>
      <c r="G1406" s="31">
        <f t="shared" ca="1" si="169"/>
        <v>14.6</v>
      </c>
      <c r="H1406" s="30">
        <f t="shared" ca="1" si="170"/>
        <v>0</v>
      </c>
      <c r="I1406" s="31">
        <f t="shared" ca="1" si="171"/>
        <v>14.6</v>
      </c>
      <c r="Q1406" s="80"/>
      <c r="R1406" s="42"/>
      <c r="S1406" s="90">
        <f t="shared" si="176"/>
        <v>134.79999999999663</v>
      </c>
      <c r="T1406" s="42"/>
      <c r="U1406" s="42"/>
      <c r="V1406" s="42"/>
      <c r="W1406" s="42"/>
      <c r="X1406" s="81"/>
    </row>
    <row r="1407" spans="2:24" x14ac:dyDescent="0.25">
      <c r="B1407" s="2">
        <v>1</v>
      </c>
      <c r="C1407" s="1">
        <f t="shared" si="174"/>
        <v>7.8235294117646106</v>
      </c>
      <c r="D1407" s="1">
        <f t="shared" si="172"/>
        <v>1</v>
      </c>
      <c r="E1407" s="1">
        <f t="shared" si="175"/>
        <v>0</v>
      </c>
      <c r="F1407" s="31">
        <f t="shared" si="173"/>
        <v>14.6</v>
      </c>
      <c r="G1407" s="31">
        <f t="shared" ca="1" si="169"/>
        <v>14.6</v>
      </c>
      <c r="H1407" s="30">
        <f t="shared" ca="1" si="170"/>
        <v>0</v>
      </c>
      <c r="I1407" s="31">
        <f t="shared" ca="1" si="171"/>
        <v>14.6</v>
      </c>
      <c r="Q1407" s="80"/>
      <c r="R1407" s="42"/>
      <c r="S1407" s="90">
        <f t="shared" si="176"/>
        <v>134.89999999999662</v>
      </c>
      <c r="T1407" s="42"/>
      <c r="U1407" s="42"/>
      <c r="V1407" s="42"/>
      <c r="W1407" s="42"/>
      <c r="X1407" s="81"/>
    </row>
    <row r="1408" spans="2:24" x14ac:dyDescent="0.25">
      <c r="B1408" s="2">
        <v>1</v>
      </c>
      <c r="C1408" s="1">
        <f t="shared" si="174"/>
        <v>8.8235294117646106</v>
      </c>
      <c r="D1408" s="1">
        <f t="shared" si="172"/>
        <v>1</v>
      </c>
      <c r="E1408" s="1">
        <f t="shared" si="175"/>
        <v>0</v>
      </c>
      <c r="F1408" s="31">
        <f t="shared" si="173"/>
        <v>14.6</v>
      </c>
      <c r="G1408" s="31">
        <f t="shared" ca="1" si="169"/>
        <v>14.6</v>
      </c>
      <c r="H1408" s="30">
        <f t="shared" ca="1" si="170"/>
        <v>0</v>
      </c>
      <c r="I1408" s="31">
        <f t="shared" ca="1" si="171"/>
        <v>14.6</v>
      </c>
      <c r="Q1408" s="80"/>
      <c r="R1408" s="42"/>
      <c r="S1408" s="90">
        <f t="shared" si="176"/>
        <v>134.99999999999662</v>
      </c>
      <c r="T1408" s="42"/>
      <c r="U1408" s="42"/>
      <c r="V1408" s="42"/>
      <c r="W1408" s="42"/>
      <c r="X1408" s="81"/>
    </row>
    <row r="1409" spans="2:24" x14ac:dyDescent="0.25">
      <c r="B1409" s="2">
        <v>1</v>
      </c>
      <c r="C1409" s="1">
        <f t="shared" si="174"/>
        <v>9.8235294117646106</v>
      </c>
      <c r="D1409" s="1">
        <f t="shared" si="172"/>
        <v>1</v>
      </c>
      <c r="E1409" s="1">
        <f t="shared" si="175"/>
        <v>0</v>
      </c>
      <c r="F1409" s="31">
        <f t="shared" si="173"/>
        <v>14.6</v>
      </c>
      <c r="G1409" s="31">
        <f t="shared" ca="1" si="169"/>
        <v>14.6</v>
      </c>
      <c r="H1409" s="30">
        <f t="shared" ca="1" si="170"/>
        <v>0</v>
      </c>
      <c r="I1409" s="31">
        <f t="shared" ca="1" si="171"/>
        <v>14.6</v>
      </c>
      <c r="Q1409" s="80"/>
      <c r="R1409" s="42"/>
      <c r="S1409" s="90">
        <f t="shared" si="176"/>
        <v>135.09999999999661</v>
      </c>
      <c r="T1409" s="42"/>
      <c r="U1409" s="42"/>
      <c r="V1409" s="42"/>
      <c r="W1409" s="42"/>
      <c r="X1409" s="81"/>
    </row>
    <row r="1410" spans="2:24" x14ac:dyDescent="0.25">
      <c r="B1410" s="2">
        <v>1</v>
      </c>
      <c r="C1410" s="1">
        <f t="shared" si="174"/>
        <v>10.823529411764611</v>
      </c>
      <c r="D1410" s="1">
        <f t="shared" si="172"/>
        <v>1</v>
      </c>
      <c r="E1410" s="1">
        <f t="shared" si="175"/>
        <v>0</v>
      </c>
      <c r="F1410" s="31">
        <f t="shared" si="173"/>
        <v>14.6</v>
      </c>
      <c r="G1410" s="31">
        <f t="shared" ca="1" si="169"/>
        <v>14.6</v>
      </c>
      <c r="H1410" s="30">
        <f t="shared" ca="1" si="170"/>
        <v>0</v>
      </c>
      <c r="I1410" s="31">
        <f t="shared" ca="1" si="171"/>
        <v>14.6</v>
      </c>
      <c r="Q1410" s="80"/>
      <c r="R1410" s="42"/>
      <c r="S1410" s="90">
        <f t="shared" si="176"/>
        <v>135.19999999999661</v>
      </c>
      <c r="T1410" s="42"/>
      <c r="U1410" s="42"/>
      <c r="V1410" s="42"/>
      <c r="W1410" s="42"/>
      <c r="X1410" s="81"/>
    </row>
    <row r="1411" spans="2:24" x14ac:dyDescent="0.25">
      <c r="B1411" s="2">
        <v>1</v>
      </c>
      <c r="C1411" s="1">
        <f t="shared" si="174"/>
        <v>11.823529411764611</v>
      </c>
      <c r="D1411" s="1">
        <f t="shared" si="172"/>
        <v>1</v>
      </c>
      <c r="E1411" s="1">
        <f t="shared" si="175"/>
        <v>0</v>
      </c>
      <c r="F1411" s="31">
        <f t="shared" si="173"/>
        <v>14.6</v>
      </c>
      <c r="G1411" s="31">
        <f t="shared" ca="1" si="169"/>
        <v>14.6</v>
      </c>
      <c r="H1411" s="30">
        <f t="shared" ca="1" si="170"/>
        <v>0</v>
      </c>
      <c r="I1411" s="31">
        <f t="shared" ca="1" si="171"/>
        <v>14.6</v>
      </c>
      <c r="Q1411" s="80"/>
      <c r="R1411" s="42"/>
      <c r="S1411" s="90">
        <f t="shared" si="176"/>
        <v>135.2999999999966</v>
      </c>
      <c r="T1411" s="42"/>
      <c r="U1411" s="42"/>
      <c r="V1411" s="42"/>
      <c r="W1411" s="42"/>
      <c r="X1411" s="81"/>
    </row>
    <row r="1412" spans="2:24" x14ac:dyDescent="0.25">
      <c r="B1412" s="2">
        <v>1</v>
      </c>
      <c r="C1412" s="1">
        <f t="shared" si="174"/>
        <v>12.823529411764611</v>
      </c>
      <c r="D1412" s="1">
        <f t="shared" si="172"/>
        <v>1</v>
      </c>
      <c r="E1412" s="1">
        <f t="shared" si="175"/>
        <v>0</v>
      </c>
      <c r="F1412" s="31">
        <f t="shared" si="173"/>
        <v>14.6</v>
      </c>
      <c r="G1412" s="31">
        <f t="shared" ca="1" si="169"/>
        <v>14.6</v>
      </c>
      <c r="H1412" s="30">
        <f t="shared" ca="1" si="170"/>
        <v>0</v>
      </c>
      <c r="I1412" s="31">
        <f t="shared" ca="1" si="171"/>
        <v>14.6</v>
      </c>
      <c r="Q1412" s="80"/>
      <c r="R1412" s="42"/>
      <c r="S1412" s="90">
        <f t="shared" si="176"/>
        <v>135.3999999999966</v>
      </c>
      <c r="T1412" s="42"/>
      <c r="U1412" s="42"/>
      <c r="V1412" s="42"/>
      <c r="W1412" s="42"/>
      <c r="X1412" s="81"/>
    </row>
    <row r="1413" spans="2:24" x14ac:dyDescent="0.25">
      <c r="B1413" s="2">
        <v>1</v>
      </c>
      <c r="C1413" s="1">
        <f t="shared" si="174"/>
        <v>13.823529411764611</v>
      </c>
      <c r="D1413" s="1">
        <f t="shared" si="172"/>
        <v>1</v>
      </c>
      <c r="E1413" s="1">
        <f t="shared" si="175"/>
        <v>0</v>
      </c>
      <c r="F1413" s="31">
        <f t="shared" si="173"/>
        <v>14.6</v>
      </c>
      <c r="G1413" s="31">
        <f t="shared" ca="1" si="169"/>
        <v>14.6</v>
      </c>
      <c r="H1413" s="30">
        <f t="shared" ca="1" si="170"/>
        <v>0</v>
      </c>
      <c r="I1413" s="31">
        <f t="shared" ca="1" si="171"/>
        <v>14.6</v>
      </c>
      <c r="Q1413" s="80"/>
      <c r="R1413" s="42"/>
      <c r="S1413" s="90">
        <f t="shared" si="176"/>
        <v>135.49999999999659</v>
      </c>
      <c r="T1413" s="42"/>
      <c r="U1413" s="42"/>
      <c r="V1413" s="42"/>
      <c r="W1413" s="42"/>
      <c r="X1413" s="81"/>
    </row>
    <row r="1414" spans="2:24" x14ac:dyDescent="0.25">
      <c r="B1414" s="2">
        <v>1</v>
      </c>
      <c r="C1414" s="1">
        <f t="shared" si="174"/>
        <v>14.823529411764611</v>
      </c>
      <c r="D1414" s="1">
        <f t="shared" si="172"/>
        <v>1</v>
      </c>
      <c r="E1414" s="1">
        <f t="shared" si="175"/>
        <v>0</v>
      </c>
      <c r="F1414" s="31">
        <f t="shared" si="173"/>
        <v>14.6</v>
      </c>
      <c r="G1414" s="31">
        <f t="shared" ca="1" si="169"/>
        <v>14.6</v>
      </c>
      <c r="H1414" s="30">
        <f t="shared" ca="1" si="170"/>
        <v>0</v>
      </c>
      <c r="I1414" s="31">
        <f t="shared" ca="1" si="171"/>
        <v>14.6</v>
      </c>
      <c r="Q1414" s="80"/>
      <c r="R1414" s="42"/>
      <c r="S1414" s="90">
        <f t="shared" si="176"/>
        <v>135.59999999999658</v>
      </c>
      <c r="T1414" s="42"/>
      <c r="U1414" s="42"/>
      <c r="V1414" s="42"/>
      <c r="W1414" s="42"/>
      <c r="X1414" s="81"/>
    </row>
    <row r="1415" spans="2:24" x14ac:dyDescent="0.25">
      <c r="B1415" s="2">
        <v>1</v>
      </c>
      <c r="C1415" s="1">
        <f t="shared" si="174"/>
        <v>15.823529411764611</v>
      </c>
      <c r="D1415" s="1">
        <f t="shared" si="172"/>
        <v>1</v>
      </c>
      <c r="E1415" s="1">
        <f t="shared" si="175"/>
        <v>0</v>
      </c>
      <c r="F1415" s="31">
        <f t="shared" si="173"/>
        <v>14.6</v>
      </c>
      <c r="G1415" s="31">
        <f t="shared" ca="1" si="169"/>
        <v>14.6</v>
      </c>
      <c r="H1415" s="30">
        <f t="shared" ca="1" si="170"/>
        <v>0</v>
      </c>
      <c r="I1415" s="31">
        <f t="shared" ca="1" si="171"/>
        <v>14.6</v>
      </c>
      <c r="Q1415" s="80"/>
      <c r="R1415" s="42"/>
      <c r="S1415" s="90">
        <f t="shared" si="176"/>
        <v>135.69999999999658</v>
      </c>
      <c r="T1415" s="42"/>
      <c r="U1415" s="42"/>
      <c r="V1415" s="42"/>
      <c r="W1415" s="42"/>
      <c r="X1415" s="81"/>
    </row>
    <row r="1416" spans="2:24" x14ac:dyDescent="0.25">
      <c r="B1416" s="2">
        <v>1</v>
      </c>
      <c r="C1416" s="1">
        <f t="shared" si="174"/>
        <v>16.823529411764611</v>
      </c>
      <c r="D1416" s="1">
        <f t="shared" si="172"/>
        <v>1</v>
      </c>
      <c r="E1416" s="1">
        <f t="shared" si="175"/>
        <v>0</v>
      </c>
      <c r="F1416" s="31">
        <f t="shared" si="173"/>
        <v>14.6</v>
      </c>
      <c r="G1416" s="31">
        <f t="shared" ca="1" si="169"/>
        <v>14.6</v>
      </c>
      <c r="H1416" s="30">
        <f t="shared" ca="1" si="170"/>
        <v>0</v>
      </c>
      <c r="I1416" s="31">
        <f t="shared" ca="1" si="171"/>
        <v>14.6</v>
      </c>
      <c r="Q1416" s="80"/>
      <c r="R1416" s="42"/>
      <c r="S1416" s="90">
        <f t="shared" si="176"/>
        <v>135.79999999999657</v>
      </c>
      <c r="T1416" s="42"/>
      <c r="U1416" s="42"/>
      <c r="V1416" s="42"/>
      <c r="W1416" s="42"/>
      <c r="X1416" s="81"/>
    </row>
    <row r="1417" spans="2:24" x14ac:dyDescent="0.25">
      <c r="B1417" s="2">
        <v>1</v>
      </c>
      <c r="C1417" s="1">
        <f t="shared" si="174"/>
        <v>17.823529411764611</v>
      </c>
      <c r="D1417" s="1">
        <f t="shared" si="172"/>
        <v>1</v>
      </c>
      <c r="E1417" s="1">
        <f t="shared" si="175"/>
        <v>0</v>
      </c>
      <c r="F1417" s="31">
        <f t="shared" si="173"/>
        <v>14.6</v>
      </c>
      <c r="G1417" s="31">
        <f t="shared" ca="1" si="169"/>
        <v>14.6</v>
      </c>
      <c r="H1417" s="30">
        <f t="shared" ca="1" si="170"/>
        <v>0</v>
      </c>
      <c r="I1417" s="31">
        <f t="shared" ca="1" si="171"/>
        <v>14.6</v>
      </c>
      <c r="Q1417" s="80"/>
      <c r="R1417" s="42"/>
      <c r="S1417" s="90">
        <f t="shared" si="176"/>
        <v>135.89999999999657</v>
      </c>
      <c r="T1417" s="42"/>
      <c r="U1417" s="42"/>
      <c r="V1417" s="42"/>
      <c r="W1417" s="42"/>
      <c r="X1417" s="81"/>
    </row>
    <row r="1418" spans="2:24" x14ac:dyDescent="0.25">
      <c r="B1418" s="2">
        <v>1</v>
      </c>
      <c r="C1418" s="1">
        <f t="shared" si="174"/>
        <v>18.823529411764611</v>
      </c>
      <c r="D1418" s="1">
        <f t="shared" si="172"/>
        <v>1</v>
      </c>
      <c r="E1418" s="1">
        <f t="shared" si="175"/>
        <v>0</v>
      </c>
      <c r="F1418" s="31">
        <f t="shared" si="173"/>
        <v>14.6</v>
      </c>
      <c r="G1418" s="31">
        <f t="shared" ca="1" si="169"/>
        <v>14.6</v>
      </c>
      <c r="H1418" s="30">
        <f t="shared" ca="1" si="170"/>
        <v>0</v>
      </c>
      <c r="I1418" s="31">
        <f t="shared" ca="1" si="171"/>
        <v>14.6</v>
      </c>
      <c r="Q1418" s="80"/>
      <c r="R1418" s="42"/>
      <c r="S1418" s="90">
        <f t="shared" si="176"/>
        <v>135.99999999999656</v>
      </c>
      <c r="T1418" s="42"/>
      <c r="U1418" s="42"/>
      <c r="V1418" s="42"/>
      <c r="W1418" s="42"/>
      <c r="X1418" s="81"/>
    </row>
    <row r="1419" spans="2:24" x14ac:dyDescent="0.25">
      <c r="B1419" s="2">
        <v>1</v>
      </c>
      <c r="C1419" s="1">
        <f t="shared" si="174"/>
        <v>19.823529411764611</v>
      </c>
      <c r="D1419" s="1">
        <f t="shared" si="172"/>
        <v>1</v>
      </c>
      <c r="E1419" s="1">
        <f t="shared" si="175"/>
        <v>0</v>
      </c>
      <c r="F1419" s="31">
        <f t="shared" si="173"/>
        <v>14.6</v>
      </c>
      <c r="G1419" s="31">
        <f t="shared" ref="G1419:G1482" ca="1" si="177">IF(D1419=1, AVERAGE(OFFSET(F1419,-$L$27,0,$L$27,1)),0)</f>
        <v>14.6</v>
      </c>
      <c r="H1419" s="30">
        <f t="shared" ref="H1419:H1482" ca="1" si="178">IF(D1419=0, AVERAGE(OFFSET(F1419,-$L$28,0,$L$28,1)),0)</f>
        <v>0</v>
      </c>
      <c r="I1419" s="31">
        <f t="shared" ref="I1419:I1482" ca="1" si="179">G1419+H1419</f>
        <v>14.6</v>
      </c>
      <c r="Q1419" s="80"/>
      <c r="R1419" s="42"/>
      <c r="S1419" s="90">
        <f t="shared" si="176"/>
        <v>136.09999999999656</v>
      </c>
      <c r="T1419" s="42"/>
      <c r="U1419" s="42"/>
      <c r="V1419" s="42"/>
      <c r="W1419" s="42"/>
      <c r="X1419" s="81"/>
    </row>
    <row r="1420" spans="2:24" x14ac:dyDescent="0.25">
      <c r="B1420" s="2">
        <v>1</v>
      </c>
      <c r="C1420" s="1">
        <f t="shared" si="174"/>
        <v>20.823529411764611</v>
      </c>
      <c r="D1420" s="1">
        <f t="shared" si="172"/>
        <v>1</v>
      </c>
      <c r="E1420" s="1">
        <f t="shared" si="175"/>
        <v>0</v>
      </c>
      <c r="F1420" s="31">
        <f t="shared" si="173"/>
        <v>14.6</v>
      </c>
      <c r="G1420" s="31">
        <f t="shared" ca="1" si="177"/>
        <v>14.6</v>
      </c>
      <c r="H1420" s="30">
        <f t="shared" ca="1" si="178"/>
        <v>0</v>
      </c>
      <c r="I1420" s="31">
        <f t="shared" ca="1" si="179"/>
        <v>14.6</v>
      </c>
      <c r="Q1420" s="80"/>
      <c r="R1420" s="42"/>
      <c r="S1420" s="90">
        <f t="shared" si="176"/>
        <v>136.19999999999655</v>
      </c>
      <c r="T1420" s="42"/>
      <c r="U1420" s="42"/>
      <c r="V1420" s="42"/>
      <c r="W1420" s="42"/>
      <c r="X1420" s="81"/>
    </row>
    <row r="1421" spans="2:24" x14ac:dyDescent="0.25">
      <c r="B1421" s="2">
        <v>1</v>
      </c>
      <c r="C1421" s="1">
        <f t="shared" si="174"/>
        <v>21.823529411764611</v>
      </c>
      <c r="D1421" s="1">
        <f t="shared" si="172"/>
        <v>1</v>
      </c>
      <c r="E1421" s="1">
        <f t="shared" si="175"/>
        <v>0</v>
      </c>
      <c r="F1421" s="31">
        <f t="shared" si="173"/>
        <v>14.6</v>
      </c>
      <c r="G1421" s="31">
        <f t="shared" ca="1" si="177"/>
        <v>14.6</v>
      </c>
      <c r="H1421" s="30">
        <f t="shared" ca="1" si="178"/>
        <v>0</v>
      </c>
      <c r="I1421" s="31">
        <f t="shared" ca="1" si="179"/>
        <v>14.6</v>
      </c>
      <c r="Q1421" s="80"/>
      <c r="R1421" s="42"/>
      <c r="S1421" s="90">
        <f t="shared" si="176"/>
        <v>136.29999999999654</v>
      </c>
      <c r="T1421" s="42"/>
      <c r="U1421" s="42"/>
      <c r="V1421" s="42"/>
      <c r="W1421" s="42"/>
      <c r="X1421" s="81"/>
    </row>
    <row r="1422" spans="2:24" x14ac:dyDescent="0.25">
      <c r="B1422" s="2">
        <v>1</v>
      </c>
      <c r="C1422" s="1">
        <f t="shared" si="174"/>
        <v>22.823529411764611</v>
      </c>
      <c r="D1422" s="1">
        <f t="shared" si="172"/>
        <v>0</v>
      </c>
      <c r="E1422" s="1">
        <f t="shared" si="175"/>
        <v>1</v>
      </c>
      <c r="F1422" s="31">
        <f t="shared" si="173"/>
        <v>6.4</v>
      </c>
      <c r="G1422" s="31">
        <f t="shared" ca="1" si="177"/>
        <v>0</v>
      </c>
      <c r="H1422" s="30">
        <f t="shared" ca="1" si="178"/>
        <v>14.6</v>
      </c>
      <c r="I1422" s="31">
        <f t="shared" ca="1" si="179"/>
        <v>14.6</v>
      </c>
      <c r="Q1422" s="80"/>
      <c r="R1422" s="42"/>
      <c r="S1422" s="90">
        <f t="shared" si="176"/>
        <v>136.39999999999654</v>
      </c>
      <c r="T1422" s="42"/>
      <c r="U1422" s="42"/>
      <c r="V1422" s="42"/>
      <c r="W1422" s="42"/>
      <c r="X1422" s="81"/>
    </row>
    <row r="1423" spans="2:24" x14ac:dyDescent="0.25">
      <c r="B1423" s="2">
        <v>1</v>
      </c>
      <c r="C1423" s="1">
        <f t="shared" si="174"/>
        <v>23.823529411764611</v>
      </c>
      <c r="D1423" s="1">
        <f t="shared" si="172"/>
        <v>0</v>
      </c>
      <c r="E1423" s="1">
        <f t="shared" si="175"/>
        <v>1</v>
      </c>
      <c r="F1423" s="31">
        <f t="shared" si="173"/>
        <v>6.4</v>
      </c>
      <c r="G1423" s="31">
        <f t="shared" ca="1" si="177"/>
        <v>0</v>
      </c>
      <c r="H1423" s="30">
        <f t="shared" ca="1" si="178"/>
        <v>6.4</v>
      </c>
      <c r="I1423" s="31">
        <f t="shared" ca="1" si="179"/>
        <v>6.4</v>
      </c>
      <c r="Q1423" s="80"/>
      <c r="R1423" s="42"/>
      <c r="S1423" s="90">
        <f t="shared" si="176"/>
        <v>136.49999999999653</v>
      </c>
      <c r="T1423" s="42"/>
      <c r="U1423" s="42"/>
      <c r="V1423" s="42"/>
      <c r="W1423" s="42"/>
      <c r="X1423" s="81"/>
    </row>
    <row r="1424" spans="2:24" x14ac:dyDescent="0.25">
      <c r="B1424" s="2">
        <v>1</v>
      </c>
      <c r="C1424" s="1">
        <f t="shared" si="174"/>
        <v>24.823529411764611</v>
      </c>
      <c r="D1424" s="1">
        <f t="shared" si="172"/>
        <v>0</v>
      </c>
      <c r="E1424" s="1">
        <f t="shared" si="175"/>
        <v>1</v>
      </c>
      <c r="F1424" s="31">
        <f t="shared" si="173"/>
        <v>6.4</v>
      </c>
      <c r="G1424" s="31">
        <f t="shared" ca="1" si="177"/>
        <v>0</v>
      </c>
      <c r="H1424" s="30">
        <f t="shared" ca="1" si="178"/>
        <v>6.4</v>
      </c>
      <c r="I1424" s="31">
        <f t="shared" ca="1" si="179"/>
        <v>6.4</v>
      </c>
      <c r="Q1424" s="80"/>
      <c r="R1424" s="42"/>
      <c r="S1424" s="90">
        <f t="shared" si="176"/>
        <v>136.59999999999653</v>
      </c>
      <c r="T1424" s="42"/>
      <c r="U1424" s="42"/>
      <c r="V1424" s="42"/>
      <c r="W1424" s="42"/>
      <c r="X1424" s="81"/>
    </row>
    <row r="1425" spans="2:24" x14ac:dyDescent="0.25">
      <c r="B1425" s="2">
        <v>1</v>
      </c>
      <c r="C1425" s="1">
        <f t="shared" si="174"/>
        <v>25.823529411764611</v>
      </c>
      <c r="D1425" s="1">
        <f t="shared" si="172"/>
        <v>0</v>
      </c>
      <c r="E1425" s="1">
        <f t="shared" si="175"/>
        <v>1</v>
      </c>
      <c r="F1425" s="31">
        <f t="shared" si="173"/>
        <v>6.4</v>
      </c>
      <c r="G1425" s="31">
        <f t="shared" ca="1" si="177"/>
        <v>0</v>
      </c>
      <c r="H1425" s="30">
        <f t="shared" ca="1" si="178"/>
        <v>6.4</v>
      </c>
      <c r="I1425" s="31">
        <f t="shared" ca="1" si="179"/>
        <v>6.4</v>
      </c>
      <c r="Q1425" s="80"/>
      <c r="R1425" s="42"/>
      <c r="S1425" s="90">
        <f t="shared" si="176"/>
        <v>136.69999999999652</v>
      </c>
      <c r="T1425" s="42"/>
      <c r="U1425" s="42"/>
      <c r="V1425" s="42"/>
      <c r="W1425" s="42"/>
      <c r="X1425" s="81"/>
    </row>
    <row r="1426" spans="2:24" x14ac:dyDescent="0.25">
      <c r="B1426" s="2">
        <v>1</v>
      </c>
      <c r="C1426" s="1">
        <f t="shared" si="174"/>
        <v>26.823529411764611</v>
      </c>
      <c r="D1426" s="1">
        <f t="shared" si="172"/>
        <v>0</v>
      </c>
      <c r="E1426" s="1">
        <f t="shared" si="175"/>
        <v>1</v>
      </c>
      <c r="F1426" s="31">
        <f t="shared" si="173"/>
        <v>6.4</v>
      </c>
      <c r="G1426" s="31">
        <f t="shared" ca="1" si="177"/>
        <v>0</v>
      </c>
      <c r="H1426" s="30">
        <f t="shared" ca="1" si="178"/>
        <v>6.4</v>
      </c>
      <c r="I1426" s="31">
        <f t="shared" ca="1" si="179"/>
        <v>6.4</v>
      </c>
      <c r="Q1426" s="80"/>
      <c r="R1426" s="42"/>
      <c r="S1426" s="90">
        <f t="shared" si="176"/>
        <v>136.79999999999652</v>
      </c>
      <c r="T1426" s="42"/>
      <c r="U1426" s="42"/>
      <c r="V1426" s="42"/>
      <c r="W1426" s="42"/>
      <c r="X1426" s="81"/>
    </row>
    <row r="1427" spans="2:24" x14ac:dyDescent="0.25">
      <c r="B1427" s="2">
        <v>1</v>
      </c>
      <c r="C1427" s="1">
        <f t="shared" si="174"/>
        <v>27.823529411764611</v>
      </c>
      <c r="D1427" s="1">
        <f t="shared" si="172"/>
        <v>0</v>
      </c>
      <c r="E1427" s="1">
        <f t="shared" si="175"/>
        <v>1</v>
      </c>
      <c r="F1427" s="31">
        <f t="shared" si="173"/>
        <v>6.4</v>
      </c>
      <c r="G1427" s="31">
        <f t="shared" ca="1" si="177"/>
        <v>0</v>
      </c>
      <c r="H1427" s="30">
        <f t="shared" ca="1" si="178"/>
        <v>6.4</v>
      </c>
      <c r="I1427" s="31">
        <f t="shared" ca="1" si="179"/>
        <v>6.4</v>
      </c>
      <c r="Q1427" s="80"/>
      <c r="R1427" s="42"/>
      <c r="S1427" s="90">
        <f t="shared" si="176"/>
        <v>136.89999999999651</v>
      </c>
      <c r="T1427" s="42"/>
      <c r="U1427" s="42"/>
      <c r="V1427" s="42"/>
      <c r="W1427" s="42"/>
      <c r="X1427" s="81"/>
    </row>
    <row r="1428" spans="2:24" x14ac:dyDescent="0.25">
      <c r="B1428" s="2">
        <v>1</v>
      </c>
      <c r="C1428" s="1">
        <f t="shared" si="174"/>
        <v>28.823529411764611</v>
      </c>
      <c r="D1428" s="1">
        <f t="shared" si="172"/>
        <v>0</v>
      </c>
      <c r="E1428" s="1">
        <f t="shared" si="175"/>
        <v>1</v>
      </c>
      <c r="F1428" s="31">
        <f t="shared" si="173"/>
        <v>6.4</v>
      </c>
      <c r="G1428" s="31">
        <f t="shared" ca="1" si="177"/>
        <v>0</v>
      </c>
      <c r="H1428" s="30">
        <f t="shared" ca="1" si="178"/>
        <v>6.4</v>
      </c>
      <c r="I1428" s="31">
        <f t="shared" ca="1" si="179"/>
        <v>6.4</v>
      </c>
      <c r="Q1428" s="80"/>
      <c r="R1428" s="42"/>
      <c r="S1428" s="90">
        <f t="shared" si="176"/>
        <v>136.9999999999965</v>
      </c>
      <c r="T1428" s="42"/>
      <c r="U1428" s="42"/>
      <c r="V1428" s="42"/>
      <c r="W1428" s="42"/>
      <c r="X1428" s="81"/>
    </row>
    <row r="1429" spans="2:24" x14ac:dyDescent="0.25">
      <c r="B1429" s="2">
        <v>1</v>
      </c>
      <c r="C1429" s="1">
        <f t="shared" si="174"/>
        <v>29.823529411764611</v>
      </c>
      <c r="D1429" s="1">
        <f t="shared" si="172"/>
        <v>0</v>
      </c>
      <c r="E1429" s="1">
        <f t="shared" si="175"/>
        <v>1</v>
      </c>
      <c r="F1429" s="31">
        <f t="shared" si="173"/>
        <v>6.4</v>
      </c>
      <c r="G1429" s="31">
        <f t="shared" ca="1" si="177"/>
        <v>0</v>
      </c>
      <c r="H1429" s="30">
        <f t="shared" ca="1" si="178"/>
        <v>6.4</v>
      </c>
      <c r="I1429" s="31">
        <f t="shared" ca="1" si="179"/>
        <v>6.4</v>
      </c>
      <c r="Q1429" s="80"/>
      <c r="R1429" s="42"/>
      <c r="S1429" s="90">
        <f t="shared" si="176"/>
        <v>137.0999999999965</v>
      </c>
      <c r="T1429" s="42"/>
      <c r="U1429" s="42"/>
      <c r="V1429" s="42"/>
      <c r="W1429" s="42"/>
      <c r="X1429" s="81"/>
    </row>
    <row r="1430" spans="2:24" x14ac:dyDescent="0.25">
      <c r="B1430" s="2">
        <v>1</v>
      </c>
      <c r="C1430" s="1">
        <f t="shared" si="174"/>
        <v>30.823529411764611</v>
      </c>
      <c r="D1430" s="1">
        <f t="shared" si="172"/>
        <v>0</v>
      </c>
      <c r="E1430" s="1">
        <f t="shared" si="175"/>
        <v>1</v>
      </c>
      <c r="F1430" s="31">
        <f t="shared" si="173"/>
        <v>6.4</v>
      </c>
      <c r="G1430" s="31">
        <f t="shared" ca="1" si="177"/>
        <v>0</v>
      </c>
      <c r="H1430" s="30">
        <f t="shared" ca="1" si="178"/>
        <v>6.4</v>
      </c>
      <c r="I1430" s="31">
        <f t="shared" ca="1" si="179"/>
        <v>6.4</v>
      </c>
      <c r="Q1430" s="80"/>
      <c r="R1430" s="42"/>
      <c r="S1430" s="90">
        <f t="shared" si="176"/>
        <v>137.19999999999649</v>
      </c>
      <c r="T1430" s="42"/>
      <c r="U1430" s="42"/>
      <c r="V1430" s="42"/>
      <c r="W1430" s="42"/>
      <c r="X1430" s="81"/>
    </row>
    <row r="1431" spans="2:24" x14ac:dyDescent="0.25">
      <c r="B1431" s="2">
        <v>1</v>
      </c>
      <c r="C1431" s="1">
        <f t="shared" si="174"/>
        <v>31.823529411764611</v>
      </c>
      <c r="D1431" s="1">
        <f t="shared" si="172"/>
        <v>0</v>
      </c>
      <c r="E1431" s="1">
        <f t="shared" si="175"/>
        <v>1</v>
      </c>
      <c r="F1431" s="31">
        <f t="shared" si="173"/>
        <v>6.4</v>
      </c>
      <c r="G1431" s="31">
        <f t="shared" ca="1" si="177"/>
        <v>0</v>
      </c>
      <c r="H1431" s="30">
        <f t="shared" ca="1" si="178"/>
        <v>6.4</v>
      </c>
      <c r="I1431" s="31">
        <f t="shared" ca="1" si="179"/>
        <v>6.4</v>
      </c>
      <c r="Q1431" s="80"/>
      <c r="R1431" s="42"/>
      <c r="S1431" s="90">
        <f t="shared" si="176"/>
        <v>137.29999999999649</v>
      </c>
      <c r="T1431" s="42"/>
      <c r="U1431" s="42"/>
      <c r="V1431" s="42"/>
      <c r="W1431" s="42"/>
      <c r="X1431" s="81"/>
    </row>
    <row r="1432" spans="2:24" x14ac:dyDescent="0.25">
      <c r="B1432" s="2">
        <v>1</v>
      </c>
      <c r="C1432" s="1">
        <f t="shared" si="174"/>
        <v>32.823529411764611</v>
      </c>
      <c r="D1432" s="1">
        <f t="shared" si="172"/>
        <v>0</v>
      </c>
      <c r="E1432" s="1">
        <f t="shared" si="175"/>
        <v>1</v>
      </c>
      <c r="F1432" s="31">
        <f t="shared" si="173"/>
        <v>6.4</v>
      </c>
      <c r="G1432" s="31">
        <f t="shared" ca="1" si="177"/>
        <v>0</v>
      </c>
      <c r="H1432" s="30">
        <f t="shared" ca="1" si="178"/>
        <v>6.4</v>
      </c>
      <c r="I1432" s="31">
        <f t="shared" ca="1" si="179"/>
        <v>6.4</v>
      </c>
      <c r="Q1432" s="80"/>
      <c r="R1432" s="42"/>
      <c r="S1432" s="90">
        <f t="shared" si="176"/>
        <v>137.39999999999648</v>
      </c>
      <c r="T1432" s="42"/>
      <c r="U1432" s="42"/>
      <c r="V1432" s="42"/>
      <c r="W1432" s="42"/>
      <c r="X1432" s="81"/>
    </row>
    <row r="1433" spans="2:24" x14ac:dyDescent="0.25">
      <c r="B1433" s="2">
        <v>1</v>
      </c>
      <c r="C1433" s="1">
        <f t="shared" si="174"/>
        <v>33.823529411764611</v>
      </c>
      <c r="D1433" s="1">
        <f t="shared" si="172"/>
        <v>0</v>
      </c>
      <c r="E1433" s="1">
        <f t="shared" si="175"/>
        <v>1</v>
      </c>
      <c r="F1433" s="31">
        <f t="shared" si="173"/>
        <v>6.4</v>
      </c>
      <c r="G1433" s="31">
        <f t="shared" ca="1" si="177"/>
        <v>0</v>
      </c>
      <c r="H1433" s="30">
        <f t="shared" ca="1" si="178"/>
        <v>6.4</v>
      </c>
      <c r="I1433" s="31">
        <f t="shared" ca="1" si="179"/>
        <v>6.4</v>
      </c>
      <c r="Q1433" s="80"/>
      <c r="R1433" s="42"/>
      <c r="S1433" s="90">
        <f t="shared" si="176"/>
        <v>137.49999999999648</v>
      </c>
      <c r="T1433" s="42"/>
      <c r="U1433" s="42"/>
      <c r="V1433" s="42"/>
      <c r="W1433" s="42"/>
      <c r="X1433" s="81"/>
    </row>
    <row r="1434" spans="2:24" x14ac:dyDescent="0.25">
      <c r="B1434" s="2">
        <v>1</v>
      </c>
      <c r="C1434" s="1">
        <f t="shared" si="174"/>
        <v>34.823529411764611</v>
      </c>
      <c r="D1434" s="1">
        <f t="shared" si="172"/>
        <v>0</v>
      </c>
      <c r="E1434" s="1">
        <f t="shared" si="175"/>
        <v>1</v>
      </c>
      <c r="F1434" s="31">
        <f t="shared" si="173"/>
        <v>6.4</v>
      </c>
      <c r="G1434" s="31">
        <f t="shared" ca="1" si="177"/>
        <v>0</v>
      </c>
      <c r="H1434" s="30">
        <f t="shared" ca="1" si="178"/>
        <v>6.4</v>
      </c>
      <c r="I1434" s="31">
        <f t="shared" ca="1" si="179"/>
        <v>6.4</v>
      </c>
      <c r="Q1434" s="80"/>
      <c r="R1434" s="42"/>
      <c r="S1434" s="90">
        <f t="shared" si="176"/>
        <v>137.59999999999647</v>
      </c>
      <c r="T1434" s="42"/>
      <c r="U1434" s="42"/>
      <c r="V1434" s="42"/>
      <c r="W1434" s="42"/>
      <c r="X1434" s="81"/>
    </row>
    <row r="1435" spans="2:24" x14ac:dyDescent="0.25">
      <c r="B1435" s="2">
        <v>1</v>
      </c>
      <c r="C1435" s="1">
        <f t="shared" si="174"/>
        <v>0.52941176470578455</v>
      </c>
      <c r="D1435" s="1">
        <f t="shared" si="172"/>
        <v>1</v>
      </c>
      <c r="E1435" s="1">
        <f t="shared" si="175"/>
        <v>0</v>
      </c>
      <c r="F1435" s="31">
        <f t="shared" si="173"/>
        <v>14.6</v>
      </c>
      <c r="G1435" s="31">
        <f t="shared" ca="1" si="177"/>
        <v>6.4</v>
      </c>
      <c r="H1435" s="30">
        <f t="shared" ca="1" si="178"/>
        <v>0</v>
      </c>
      <c r="I1435" s="31">
        <f t="shared" ca="1" si="179"/>
        <v>6.4</v>
      </c>
      <c r="Q1435" s="80"/>
      <c r="R1435" s="42"/>
      <c r="S1435" s="90">
        <f t="shared" si="176"/>
        <v>137.69999999999646</v>
      </c>
      <c r="T1435" s="42"/>
      <c r="U1435" s="42"/>
      <c r="V1435" s="42"/>
      <c r="W1435" s="42"/>
      <c r="X1435" s="81"/>
    </row>
    <row r="1436" spans="2:24" x14ac:dyDescent="0.25">
      <c r="B1436" s="2">
        <v>1</v>
      </c>
      <c r="C1436" s="1">
        <f t="shared" si="174"/>
        <v>1.5294117647057845</v>
      </c>
      <c r="D1436" s="1">
        <f t="shared" si="172"/>
        <v>1</v>
      </c>
      <c r="E1436" s="1">
        <f t="shared" si="175"/>
        <v>0</v>
      </c>
      <c r="F1436" s="31">
        <f t="shared" si="173"/>
        <v>14.6</v>
      </c>
      <c r="G1436" s="31">
        <f t="shared" ca="1" si="177"/>
        <v>8.4500000000000011</v>
      </c>
      <c r="H1436" s="30">
        <f t="shared" ca="1" si="178"/>
        <v>0</v>
      </c>
      <c r="I1436" s="31">
        <f t="shared" ca="1" si="179"/>
        <v>8.4500000000000011</v>
      </c>
      <c r="Q1436" s="80"/>
      <c r="R1436" s="42"/>
      <c r="S1436" s="90">
        <f t="shared" si="176"/>
        <v>137.79999999999646</v>
      </c>
      <c r="T1436" s="42"/>
      <c r="U1436" s="42"/>
      <c r="V1436" s="42"/>
      <c r="W1436" s="42"/>
      <c r="X1436" s="81"/>
    </row>
    <row r="1437" spans="2:24" x14ac:dyDescent="0.25">
      <c r="B1437" s="2">
        <v>1</v>
      </c>
      <c r="C1437" s="1">
        <f t="shared" si="174"/>
        <v>2.5294117647057845</v>
      </c>
      <c r="D1437" s="1">
        <f t="shared" si="172"/>
        <v>1</v>
      </c>
      <c r="E1437" s="1">
        <f t="shared" si="175"/>
        <v>0</v>
      </c>
      <c r="F1437" s="31">
        <f t="shared" si="173"/>
        <v>14.6</v>
      </c>
      <c r="G1437" s="31">
        <f t="shared" ca="1" si="177"/>
        <v>10.5</v>
      </c>
      <c r="H1437" s="30">
        <f t="shared" ca="1" si="178"/>
        <v>0</v>
      </c>
      <c r="I1437" s="31">
        <f t="shared" ca="1" si="179"/>
        <v>10.5</v>
      </c>
      <c r="Q1437" s="80"/>
      <c r="R1437" s="42"/>
      <c r="S1437" s="90">
        <f t="shared" si="176"/>
        <v>137.89999999999645</v>
      </c>
      <c r="T1437" s="42"/>
      <c r="U1437" s="42"/>
      <c r="V1437" s="42"/>
      <c r="W1437" s="42"/>
      <c r="X1437" s="81"/>
    </row>
    <row r="1438" spans="2:24" x14ac:dyDescent="0.25">
      <c r="B1438" s="2">
        <v>1</v>
      </c>
      <c r="C1438" s="1">
        <f t="shared" si="174"/>
        <v>3.5294117647057845</v>
      </c>
      <c r="D1438" s="1">
        <f t="shared" si="172"/>
        <v>1</v>
      </c>
      <c r="E1438" s="1">
        <f t="shared" si="175"/>
        <v>0</v>
      </c>
      <c r="F1438" s="31">
        <f t="shared" si="173"/>
        <v>14.6</v>
      </c>
      <c r="G1438" s="31">
        <f t="shared" ca="1" si="177"/>
        <v>12.55</v>
      </c>
      <c r="H1438" s="30">
        <f t="shared" ca="1" si="178"/>
        <v>0</v>
      </c>
      <c r="I1438" s="31">
        <f t="shared" ca="1" si="179"/>
        <v>12.55</v>
      </c>
      <c r="Q1438" s="80"/>
      <c r="R1438" s="42"/>
      <c r="S1438" s="90">
        <f t="shared" si="176"/>
        <v>137.99999999999645</v>
      </c>
      <c r="T1438" s="42"/>
      <c r="U1438" s="42"/>
      <c r="V1438" s="42"/>
      <c r="W1438" s="42"/>
      <c r="X1438" s="81"/>
    </row>
    <row r="1439" spans="2:24" x14ac:dyDescent="0.25">
      <c r="B1439" s="2">
        <v>1</v>
      </c>
      <c r="C1439" s="1">
        <f t="shared" si="174"/>
        <v>4.5294117647057845</v>
      </c>
      <c r="D1439" s="1">
        <f t="shared" si="172"/>
        <v>1</v>
      </c>
      <c r="E1439" s="1">
        <f t="shared" si="175"/>
        <v>0</v>
      </c>
      <c r="F1439" s="31">
        <f t="shared" si="173"/>
        <v>14.6</v>
      </c>
      <c r="G1439" s="31">
        <f t="shared" ca="1" si="177"/>
        <v>14.6</v>
      </c>
      <c r="H1439" s="30">
        <f t="shared" ca="1" si="178"/>
        <v>0</v>
      </c>
      <c r="I1439" s="31">
        <f t="shared" ca="1" si="179"/>
        <v>14.6</v>
      </c>
      <c r="Q1439" s="80"/>
      <c r="R1439" s="42"/>
      <c r="S1439" s="90">
        <f t="shared" si="176"/>
        <v>138.09999999999644</v>
      </c>
      <c r="T1439" s="42"/>
      <c r="U1439" s="42"/>
      <c r="V1439" s="42"/>
      <c r="W1439" s="42"/>
      <c r="X1439" s="81"/>
    </row>
    <row r="1440" spans="2:24" x14ac:dyDescent="0.25">
      <c r="B1440" s="2">
        <v>1</v>
      </c>
      <c r="C1440" s="1">
        <f t="shared" si="174"/>
        <v>5.5294117647057845</v>
      </c>
      <c r="D1440" s="1">
        <f t="shared" si="172"/>
        <v>1</v>
      </c>
      <c r="E1440" s="1">
        <f t="shared" si="175"/>
        <v>0</v>
      </c>
      <c r="F1440" s="31">
        <f t="shared" si="173"/>
        <v>14.6</v>
      </c>
      <c r="G1440" s="31">
        <f t="shared" ca="1" si="177"/>
        <v>14.6</v>
      </c>
      <c r="H1440" s="30">
        <f t="shared" ca="1" si="178"/>
        <v>0</v>
      </c>
      <c r="I1440" s="31">
        <f t="shared" ca="1" si="179"/>
        <v>14.6</v>
      </c>
      <c r="Q1440" s="80"/>
      <c r="R1440" s="42"/>
      <c r="S1440" s="90">
        <f t="shared" si="176"/>
        <v>138.19999999999644</v>
      </c>
      <c r="T1440" s="42"/>
      <c r="U1440" s="42"/>
      <c r="V1440" s="42"/>
      <c r="W1440" s="42"/>
      <c r="X1440" s="81"/>
    </row>
    <row r="1441" spans="2:24" x14ac:dyDescent="0.25">
      <c r="B1441" s="2">
        <v>1</v>
      </c>
      <c r="C1441" s="1">
        <f t="shared" si="174"/>
        <v>6.5294117647057845</v>
      </c>
      <c r="D1441" s="1">
        <f t="shared" si="172"/>
        <v>1</v>
      </c>
      <c r="E1441" s="1">
        <f t="shared" si="175"/>
        <v>0</v>
      </c>
      <c r="F1441" s="31">
        <f t="shared" si="173"/>
        <v>14.6</v>
      </c>
      <c r="G1441" s="31">
        <f t="shared" ca="1" si="177"/>
        <v>14.6</v>
      </c>
      <c r="H1441" s="30">
        <f t="shared" ca="1" si="178"/>
        <v>0</v>
      </c>
      <c r="I1441" s="31">
        <f t="shared" ca="1" si="179"/>
        <v>14.6</v>
      </c>
      <c r="Q1441" s="80"/>
      <c r="R1441" s="42"/>
      <c r="S1441" s="90">
        <f t="shared" si="176"/>
        <v>138.29999999999643</v>
      </c>
      <c r="T1441" s="42"/>
      <c r="U1441" s="42"/>
      <c r="V1441" s="42"/>
      <c r="W1441" s="42"/>
      <c r="X1441" s="81"/>
    </row>
    <row r="1442" spans="2:24" x14ac:dyDescent="0.25">
      <c r="B1442" s="2">
        <v>1</v>
      </c>
      <c r="C1442" s="1">
        <f t="shared" si="174"/>
        <v>7.5294117647057845</v>
      </c>
      <c r="D1442" s="1">
        <f t="shared" si="172"/>
        <v>1</v>
      </c>
      <c r="E1442" s="1">
        <f t="shared" si="175"/>
        <v>0</v>
      </c>
      <c r="F1442" s="31">
        <f t="shared" si="173"/>
        <v>14.6</v>
      </c>
      <c r="G1442" s="31">
        <f t="shared" ca="1" si="177"/>
        <v>14.6</v>
      </c>
      <c r="H1442" s="30">
        <f t="shared" ca="1" si="178"/>
        <v>0</v>
      </c>
      <c r="I1442" s="31">
        <f t="shared" ca="1" si="179"/>
        <v>14.6</v>
      </c>
      <c r="Q1442" s="80"/>
      <c r="R1442" s="42"/>
      <c r="S1442" s="90">
        <f t="shared" si="176"/>
        <v>138.39999999999642</v>
      </c>
      <c r="T1442" s="42"/>
      <c r="U1442" s="42"/>
      <c r="V1442" s="42"/>
      <c r="W1442" s="42"/>
      <c r="X1442" s="81"/>
    </row>
    <row r="1443" spans="2:24" x14ac:dyDescent="0.25">
      <c r="B1443" s="2">
        <v>1</v>
      </c>
      <c r="C1443" s="1">
        <f t="shared" si="174"/>
        <v>8.5294117647057845</v>
      </c>
      <c r="D1443" s="1">
        <f t="shared" si="172"/>
        <v>1</v>
      </c>
      <c r="E1443" s="1">
        <f t="shared" si="175"/>
        <v>0</v>
      </c>
      <c r="F1443" s="31">
        <f t="shared" si="173"/>
        <v>14.6</v>
      </c>
      <c r="G1443" s="31">
        <f t="shared" ca="1" si="177"/>
        <v>14.6</v>
      </c>
      <c r="H1443" s="30">
        <f t="shared" ca="1" si="178"/>
        <v>0</v>
      </c>
      <c r="I1443" s="31">
        <f t="shared" ca="1" si="179"/>
        <v>14.6</v>
      </c>
      <c r="Q1443" s="80"/>
      <c r="R1443" s="42"/>
      <c r="S1443" s="90">
        <f t="shared" si="176"/>
        <v>138.49999999999642</v>
      </c>
      <c r="T1443" s="42"/>
      <c r="U1443" s="42"/>
      <c r="V1443" s="42"/>
      <c r="W1443" s="42"/>
      <c r="X1443" s="81"/>
    </row>
    <row r="1444" spans="2:24" x14ac:dyDescent="0.25">
      <c r="B1444" s="2">
        <v>1</v>
      </c>
      <c r="C1444" s="1">
        <f t="shared" si="174"/>
        <v>9.5294117647057845</v>
      </c>
      <c r="D1444" s="1">
        <f t="shared" si="172"/>
        <v>1</v>
      </c>
      <c r="E1444" s="1">
        <f t="shared" si="175"/>
        <v>0</v>
      </c>
      <c r="F1444" s="31">
        <f t="shared" si="173"/>
        <v>14.6</v>
      </c>
      <c r="G1444" s="31">
        <f t="shared" ca="1" si="177"/>
        <v>14.6</v>
      </c>
      <c r="H1444" s="30">
        <f t="shared" ca="1" si="178"/>
        <v>0</v>
      </c>
      <c r="I1444" s="31">
        <f t="shared" ca="1" si="179"/>
        <v>14.6</v>
      </c>
      <c r="Q1444" s="80"/>
      <c r="R1444" s="42"/>
      <c r="S1444" s="90">
        <f t="shared" si="176"/>
        <v>138.59999999999641</v>
      </c>
      <c r="T1444" s="42"/>
      <c r="U1444" s="42"/>
      <c r="V1444" s="42"/>
      <c r="W1444" s="42"/>
      <c r="X1444" s="81"/>
    </row>
    <row r="1445" spans="2:24" x14ac:dyDescent="0.25">
      <c r="B1445" s="2">
        <v>1</v>
      </c>
      <c r="C1445" s="1">
        <f t="shared" si="174"/>
        <v>10.529411764705785</v>
      </c>
      <c r="D1445" s="1">
        <f t="shared" si="172"/>
        <v>1</v>
      </c>
      <c r="E1445" s="1">
        <f t="shared" si="175"/>
        <v>0</v>
      </c>
      <c r="F1445" s="31">
        <f t="shared" si="173"/>
        <v>14.6</v>
      </c>
      <c r="G1445" s="31">
        <f t="shared" ca="1" si="177"/>
        <v>14.6</v>
      </c>
      <c r="H1445" s="30">
        <f t="shared" ca="1" si="178"/>
        <v>0</v>
      </c>
      <c r="I1445" s="31">
        <f t="shared" ca="1" si="179"/>
        <v>14.6</v>
      </c>
      <c r="Q1445" s="80"/>
      <c r="R1445" s="42"/>
      <c r="S1445" s="90">
        <f t="shared" si="176"/>
        <v>138.69999999999641</v>
      </c>
      <c r="T1445" s="42"/>
      <c r="U1445" s="42"/>
      <c r="V1445" s="42"/>
      <c r="W1445" s="42"/>
      <c r="X1445" s="81"/>
    </row>
    <row r="1446" spans="2:24" x14ac:dyDescent="0.25">
      <c r="B1446" s="2">
        <v>1</v>
      </c>
      <c r="C1446" s="1">
        <f t="shared" si="174"/>
        <v>11.529411764705785</v>
      </c>
      <c r="D1446" s="1">
        <f t="shared" si="172"/>
        <v>1</v>
      </c>
      <c r="E1446" s="1">
        <f t="shared" si="175"/>
        <v>0</v>
      </c>
      <c r="F1446" s="31">
        <f t="shared" si="173"/>
        <v>14.6</v>
      </c>
      <c r="G1446" s="31">
        <f t="shared" ca="1" si="177"/>
        <v>14.6</v>
      </c>
      <c r="H1446" s="30">
        <f t="shared" ca="1" si="178"/>
        <v>0</v>
      </c>
      <c r="I1446" s="31">
        <f t="shared" ca="1" si="179"/>
        <v>14.6</v>
      </c>
      <c r="Q1446" s="80"/>
      <c r="R1446" s="42"/>
      <c r="S1446" s="90">
        <f t="shared" si="176"/>
        <v>138.7999999999964</v>
      </c>
      <c r="T1446" s="42"/>
      <c r="U1446" s="42"/>
      <c r="V1446" s="42"/>
      <c r="W1446" s="42"/>
      <c r="X1446" s="81"/>
    </row>
    <row r="1447" spans="2:24" x14ac:dyDescent="0.25">
      <c r="B1447" s="2">
        <v>1</v>
      </c>
      <c r="C1447" s="1">
        <f t="shared" si="174"/>
        <v>12.529411764705785</v>
      </c>
      <c r="D1447" s="1">
        <f t="shared" si="172"/>
        <v>1</v>
      </c>
      <c r="E1447" s="1">
        <f t="shared" si="175"/>
        <v>0</v>
      </c>
      <c r="F1447" s="31">
        <f t="shared" si="173"/>
        <v>14.6</v>
      </c>
      <c r="G1447" s="31">
        <f t="shared" ca="1" si="177"/>
        <v>14.6</v>
      </c>
      <c r="H1447" s="30">
        <f t="shared" ca="1" si="178"/>
        <v>0</v>
      </c>
      <c r="I1447" s="31">
        <f t="shared" ca="1" si="179"/>
        <v>14.6</v>
      </c>
      <c r="Q1447" s="80"/>
      <c r="R1447" s="42"/>
      <c r="S1447" s="90">
        <f t="shared" si="176"/>
        <v>138.8999999999964</v>
      </c>
      <c r="T1447" s="42"/>
      <c r="U1447" s="42"/>
      <c r="V1447" s="42"/>
      <c r="W1447" s="42"/>
      <c r="X1447" s="81"/>
    </row>
    <row r="1448" spans="2:24" x14ac:dyDescent="0.25">
      <c r="B1448" s="2">
        <v>1</v>
      </c>
      <c r="C1448" s="1">
        <f t="shared" si="174"/>
        <v>13.529411764705785</v>
      </c>
      <c r="D1448" s="1">
        <f t="shared" si="172"/>
        <v>1</v>
      </c>
      <c r="E1448" s="1">
        <f t="shared" si="175"/>
        <v>0</v>
      </c>
      <c r="F1448" s="31">
        <f t="shared" si="173"/>
        <v>14.6</v>
      </c>
      <c r="G1448" s="31">
        <f t="shared" ca="1" si="177"/>
        <v>14.6</v>
      </c>
      <c r="H1448" s="30">
        <f t="shared" ca="1" si="178"/>
        <v>0</v>
      </c>
      <c r="I1448" s="31">
        <f t="shared" ca="1" si="179"/>
        <v>14.6</v>
      </c>
      <c r="Q1448" s="80"/>
      <c r="R1448" s="42"/>
      <c r="S1448" s="90">
        <f t="shared" si="176"/>
        <v>138.99999999999639</v>
      </c>
      <c r="T1448" s="42"/>
      <c r="U1448" s="42"/>
      <c r="V1448" s="42"/>
      <c r="W1448" s="42"/>
      <c r="X1448" s="81"/>
    </row>
    <row r="1449" spans="2:24" x14ac:dyDescent="0.25">
      <c r="B1449" s="2">
        <v>1</v>
      </c>
      <c r="C1449" s="1">
        <f t="shared" si="174"/>
        <v>14.529411764705785</v>
      </c>
      <c r="D1449" s="1">
        <f t="shared" si="172"/>
        <v>1</v>
      </c>
      <c r="E1449" s="1">
        <f t="shared" si="175"/>
        <v>0</v>
      </c>
      <c r="F1449" s="31">
        <f t="shared" si="173"/>
        <v>14.6</v>
      </c>
      <c r="G1449" s="31">
        <f t="shared" ca="1" si="177"/>
        <v>14.6</v>
      </c>
      <c r="H1449" s="30">
        <f t="shared" ca="1" si="178"/>
        <v>0</v>
      </c>
      <c r="I1449" s="31">
        <f t="shared" ca="1" si="179"/>
        <v>14.6</v>
      </c>
      <c r="Q1449" s="80"/>
      <c r="R1449" s="42"/>
      <c r="S1449" s="90">
        <f t="shared" si="176"/>
        <v>139.09999999999638</v>
      </c>
      <c r="T1449" s="42"/>
      <c r="U1449" s="42"/>
      <c r="V1449" s="42"/>
      <c r="W1449" s="42"/>
      <c r="X1449" s="81"/>
    </row>
    <row r="1450" spans="2:24" x14ac:dyDescent="0.25">
      <c r="B1450" s="2">
        <v>1</v>
      </c>
      <c r="C1450" s="1">
        <f t="shared" si="174"/>
        <v>15.529411764705785</v>
      </c>
      <c r="D1450" s="1">
        <f t="shared" si="172"/>
        <v>1</v>
      </c>
      <c r="E1450" s="1">
        <f t="shared" si="175"/>
        <v>0</v>
      </c>
      <c r="F1450" s="31">
        <f t="shared" si="173"/>
        <v>14.6</v>
      </c>
      <c r="G1450" s="31">
        <f t="shared" ca="1" si="177"/>
        <v>14.6</v>
      </c>
      <c r="H1450" s="30">
        <f t="shared" ca="1" si="178"/>
        <v>0</v>
      </c>
      <c r="I1450" s="31">
        <f t="shared" ca="1" si="179"/>
        <v>14.6</v>
      </c>
      <c r="Q1450" s="80"/>
      <c r="R1450" s="42"/>
      <c r="S1450" s="90">
        <f t="shared" si="176"/>
        <v>139.19999999999638</v>
      </c>
      <c r="T1450" s="42"/>
      <c r="U1450" s="42"/>
      <c r="V1450" s="42"/>
      <c r="W1450" s="42"/>
      <c r="X1450" s="81"/>
    </row>
    <row r="1451" spans="2:24" x14ac:dyDescent="0.25">
      <c r="B1451" s="2">
        <v>1</v>
      </c>
      <c r="C1451" s="1">
        <f t="shared" si="174"/>
        <v>16.529411764705785</v>
      </c>
      <c r="D1451" s="1">
        <f t="shared" si="172"/>
        <v>1</v>
      </c>
      <c r="E1451" s="1">
        <f t="shared" si="175"/>
        <v>0</v>
      </c>
      <c r="F1451" s="31">
        <f t="shared" si="173"/>
        <v>14.6</v>
      </c>
      <c r="G1451" s="31">
        <f t="shared" ca="1" si="177"/>
        <v>14.6</v>
      </c>
      <c r="H1451" s="30">
        <f t="shared" ca="1" si="178"/>
        <v>0</v>
      </c>
      <c r="I1451" s="31">
        <f t="shared" ca="1" si="179"/>
        <v>14.6</v>
      </c>
      <c r="Q1451" s="80"/>
      <c r="R1451" s="42"/>
      <c r="S1451" s="90">
        <f t="shared" si="176"/>
        <v>139.29999999999637</v>
      </c>
      <c r="T1451" s="42"/>
      <c r="U1451" s="42"/>
      <c r="V1451" s="42"/>
      <c r="W1451" s="42"/>
      <c r="X1451" s="81"/>
    </row>
    <row r="1452" spans="2:24" x14ac:dyDescent="0.25">
      <c r="B1452" s="2">
        <v>1</v>
      </c>
      <c r="C1452" s="1">
        <f t="shared" si="174"/>
        <v>17.529411764705785</v>
      </c>
      <c r="D1452" s="1">
        <f t="shared" si="172"/>
        <v>1</v>
      </c>
      <c r="E1452" s="1">
        <f t="shared" si="175"/>
        <v>0</v>
      </c>
      <c r="F1452" s="31">
        <f t="shared" si="173"/>
        <v>14.6</v>
      </c>
      <c r="G1452" s="31">
        <f t="shared" ca="1" si="177"/>
        <v>14.6</v>
      </c>
      <c r="H1452" s="30">
        <f t="shared" ca="1" si="178"/>
        <v>0</v>
      </c>
      <c r="I1452" s="31">
        <f t="shared" ca="1" si="179"/>
        <v>14.6</v>
      </c>
      <c r="Q1452" s="80"/>
      <c r="R1452" s="42"/>
      <c r="S1452" s="90">
        <f t="shared" si="176"/>
        <v>139.39999999999637</v>
      </c>
      <c r="T1452" s="42"/>
      <c r="U1452" s="42"/>
      <c r="V1452" s="42"/>
      <c r="W1452" s="42"/>
      <c r="X1452" s="81"/>
    </row>
    <row r="1453" spans="2:24" x14ac:dyDescent="0.25">
      <c r="B1453" s="2">
        <v>1</v>
      </c>
      <c r="C1453" s="1">
        <f t="shared" si="174"/>
        <v>18.529411764705785</v>
      </c>
      <c r="D1453" s="1">
        <f t="shared" si="172"/>
        <v>1</v>
      </c>
      <c r="E1453" s="1">
        <f t="shared" si="175"/>
        <v>0</v>
      </c>
      <c r="F1453" s="31">
        <f t="shared" si="173"/>
        <v>14.6</v>
      </c>
      <c r="G1453" s="31">
        <f t="shared" ca="1" si="177"/>
        <v>14.6</v>
      </c>
      <c r="H1453" s="30">
        <f t="shared" ca="1" si="178"/>
        <v>0</v>
      </c>
      <c r="I1453" s="31">
        <f t="shared" ca="1" si="179"/>
        <v>14.6</v>
      </c>
      <c r="Q1453" s="80"/>
      <c r="R1453" s="42"/>
      <c r="S1453" s="90">
        <f t="shared" si="176"/>
        <v>139.49999999999636</v>
      </c>
      <c r="T1453" s="42"/>
      <c r="U1453" s="42"/>
      <c r="V1453" s="42"/>
      <c r="W1453" s="42"/>
      <c r="X1453" s="81"/>
    </row>
    <row r="1454" spans="2:24" x14ac:dyDescent="0.25">
      <c r="B1454" s="2">
        <v>1</v>
      </c>
      <c r="C1454" s="1">
        <f t="shared" si="174"/>
        <v>19.529411764705785</v>
      </c>
      <c r="D1454" s="1">
        <f t="shared" si="172"/>
        <v>1</v>
      </c>
      <c r="E1454" s="1">
        <f t="shared" si="175"/>
        <v>0</v>
      </c>
      <c r="F1454" s="31">
        <f t="shared" si="173"/>
        <v>14.6</v>
      </c>
      <c r="G1454" s="31">
        <f t="shared" ca="1" si="177"/>
        <v>14.6</v>
      </c>
      <c r="H1454" s="30">
        <f t="shared" ca="1" si="178"/>
        <v>0</v>
      </c>
      <c r="I1454" s="31">
        <f t="shared" ca="1" si="179"/>
        <v>14.6</v>
      </c>
      <c r="Q1454" s="80"/>
      <c r="R1454" s="42"/>
      <c r="S1454" s="90">
        <f t="shared" si="176"/>
        <v>139.59999999999636</v>
      </c>
      <c r="T1454" s="42"/>
      <c r="U1454" s="42"/>
      <c r="V1454" s="42"/>
      <c r="W1454" s="42"/>
      <c r="X1454" s="81"/>
    </row>
    <row r="1455" spans="2:24" x14ac:dyDescent="0.25">
      <c r="B1455" s="2">
        <v>1</v>
      </c>
      <c r="C1455" s="1">
        <f t="shared" si="174"/>
        <v>20.529411764705785</v>
      </c>
      <c r="D1455" s="1">
        <f t="shared" si="172"/>
        <v>1</v>
      </c>
      <c r="E1455" s="1">
        <f t="shared" si="175"/>
        <v>0</v>
      </c>
      <c r="F1455" s="31">
        <f t="shared" si="173"/>
        <v>14.6</v>
      </c>
      <c r="G1455" s="31">
        <f t="shared" ca="1" si="177"/>
        <v>14.6</v>
      </c>
      <c r="H1455" s="30">
        <f t="shared" ca="1" si="178"/>
        <v>0</v>
      </c>
      <c r="I1455" s="31">
        <f t="shared" ca="1" si="179"/>
        <v>14.6</v>
      </c>
      <c r="Q1455" s="80"/>
      <c r="R1455" s="42"/>
      <c r="S1455" s="90">
        <f t="shared" si="176"/>
        <v>139.69999999999635</v>
      </c>
      <c r="T1455" s="42"/>
      <c r="U1455" s="42"/>
      <c r="V1455" s="42"/>
      <c r="W1455" s="42"/>
      <c r="X1455" s="81"/>
    </row>
    <row r="1456" spans="2:24" x14ac:dyDescent="0.25">
      <c r="B1456" s="2">
        <v>1</v>
      </c>
      <c r="C1456" s="1">
        <f t="shared" si="174"/>
        <v>21.529411764705785</v>
      </c>
      <c r="D1456" s="1">
        <f t="shared" si="172"/>
        <v>1</v>
      </c>
      <c r="E1456" s="1">
        <f t="shared" si="175"/>
        <v>0</v>
      </c>
      <c r="F1456" s="31">
        <f t="shared" si="173"/>
        <v>14.6</v>
      </c>
      <c r="G1456" s="31">
        <f t="shared" ca="1" si="177"/>
        <v>14.6</v>
      </c>
      <c r="H1456" s="30">
        <f t="shared" ca="1" si="178"/>
        <v>0</v>
      </c>
      <c r="I1456" s="31">
        <f t="shared" ca="1" si="179"/>
        <v>14.6</v>
      </c>
      <c r="Q1456" s="80"/>
      <c r="R1456" s="42"/>
      <c r="S1456" s="90">
        <f t="shared" si="176"/>
        <v>139.79999999999634</v>
      </c>
      <c r="T1456" s="42"/>
      <c r="U1456" s="42"/>
      <c r="V1456" s="42"/>
      <c r="W1456" s="42"/>
      <c r="X1456" s="81"/>
    </row>
    <row r="1457" spans="2:24" x14ac:dyDescent="0.25">
      <c r="B1457" s="2">
        <v>1</v>
      </c>
      <c r="C1457" s="1">
        <f t="shared" si="174"/>
        <v>22.529411764705785</v>
      </c>
      <c r="D1457" s="1">
        <f t="shared" si="172"/>
        <v>1</v>
      </c>
      <c r="E1457" s="1">
        <f t="shared" si="175"/>
        <v>0</v>
      </c>
      <c r="F1457" s="31">
        <f t="shared" si="173"/>
        <v>14.6</v>
      </c>
      <c r="G1457" s="31">
        <f t="shared" ca="1" si="177"/>
        <v>14.6</v>
      </c>
      <c r="H1457" s="30">
        <f t="shared" ca="1" si="178"/>
        <v>0</v>
      </c>
      <c r="I1457" s="31">
        <f t="shared" ca="1" si="179"/>
        <v>14.6</v>
      </c>
      <c r="Q1457" s="80"/>
      <c r="R1457" s="42"/>
      <c r="S1457" s="90">
        <f t="shared" si="176"/>
        <v>139.89999999999634</v>
      </c>
      <c r="T1457" s="42"/>
      <c r="U1457" s="42"/>
      <c r="V1457" s="42"/>
      <c r="W1457" s="42"/>
      <c r="X1457" s="81"/>
    </row>
    <row r="1458" spans="2:24" x14ac:dyDescent="0.25">
      <c r="B1458" s="2">
        <v>1</v>
      </c>
      <c r="C1458" s="1">
        <f t="shared" si="174"/>
        <v>23.529411764705785</v>
      </c>
      <c r="D1458" s="1">
        <f t="shared" si="172"/>
        <v>0</v>
      </c>
      <c r="E1458" s="1">
        <f t="shared" si="175"/>
        <v>1</v>
      </c>
      <c r="F1458" s="31">
        <f t="shared" si="173"/>
        <v>6.4</v>
      </c>
      <c r="G1458" s="31">
        <f t="shared" ca="1" si="177"/>
        <v>0</v>
      </c>
      <c r="H1458" s="30">
        <f t="shared" ca="1" si="178"/>
        <v>14.6</v>
      </c>
      <c r="I1458" s="31">
        <f t="shared" ca="1" si="179"/>
        <v>14.6</v>
      </c>
      <c r="Q1458" s="80"/>
      <c r="R1458" s="42"/>
      <c r="S1458" s="90">
        <f t="shared" si="176"/>
        <v>139.99999999999633</v>
      </c>
      <c r="T1458" s="42"/>
      <c r="U1458" s="42"/>
      <c r="V1458" s="42"/>
      <c r="W1458" s="42"/>
      <c r="X1458" s="81"/>
    </row>
    <row r="1459" spans="2:24" x14ac:dyDescent="0.25">
      <c r="B1459" s="2">
        <v>1</v>
      </c>
      <c r="C1459" s="1">
        <f t="shared" si="174"/>
        <v>24.529411764705785</v>
      </c>
      <c r="D1459" s="1">
        <f t="shared" si="172"/>
        <v>0</v>
      </c>
      <c r="E1459" s="1">
        <f t="shared" si="175"/>
        <v>1</v>
      </c>
      <c r="F1459" s="31">
        <f t="shared" si="173"/>
        <v>6.4</v>
      </c>
      <c r="G1459" s="31">
        <f t="shared" ca="1" si="177"/>
        <v>0</v>
      </c>
      <c r="H1459" s="30">
        <f t="shared" ca="1" si="178"/>
        <v>6.4</v>
      </c>
      <c r="I1459" s="31">
        <f t="shared" ca="1" si="179"/>
        <v>6.4</v>
      </c>
      <c r="Q1459" s="80"/>
      <c r="R1459" s="42"/>
      <c r="S1459" s="90">
        <f t="shared" si="176"/>
        <v>140.09999999999633</v>
      </c>
      <c r="T1459" s="42"/>
      <c r="U1459" s="42"/>
      <c r="V1459" s="42"/>
      <c r="W1459" s="42"/>
      <c r="X1459" s="81"/>
    </row>
    <row r="1460" spans="2:24" x14ac:dyDescent="0.25">
      <c r="B1460" s="2">
        <v>1</v>
      </c>
      <c r="C1460" s="1">
        <f t="shared" si="174"/>
        <v>25.529411764705785</v>
      </c>
      <c r="D1460" s="1">
        <f t="shared" si="172"/>
        <v>0</v>
      </c>
      <c r="E1460" s="1">
        <f t="shared" si="175"/>
        <v>1</v>
      </c>
      <c r="F1460" s="31">
        <f t="shared" si="173"/>
        <v>6.4</v>
      </c>
      <c r="G1460" s="31">
        <f t="shared" ca="1" si="177"/>
        <v>0</v>
      </c>
      <c r="H1460" s="30">
        <f t="shared" ca="1" si="178"/>
        <v>6.4</v>
      </c>
      <c r="I1460" s="31">
        <f t="shared" ca="1" si="179"/>
        <v>6.4</v>
      </c>
      <c r="Q1460" s="80"/>
      <c r="R1460" s="42"/>
      <c r="S1460" s="90">
        <f t="shared" si="176"/>
        <v>140.19999999999632</v>
      </c>
      <c r="T1460" s="42"/>
      <c r="U1460" s="42"/>
      <c r="V1460" s="42"/>
      <c r="W1460" s="42"/>
      <c r="X1460" s="81"/>
    </row>
    <row r="1461" spans="2:24" x14ac:dyDescent="0.25">
      <c r="B1461" s="2">
        <v>1</v>
      </c>
      <c r="C1461" s="1">
        <f t="shared" si="174"/>
        <v>26.529411764705785</v>
      </c>
      <c r="D1461" s="1">
        <f t="shared" si="172"/>
        <v>0</v>
      </c>
      <c r="E1461" s="1">
        <f t="shared" si="175"/>
        <v>1</v>
      </c>
      <c r="F1461" s="31">
        <f t="shared" si="173"/>
        <v>6.4</v>
      </c>
      <c r="G1461" s="31">
        <f t="shared" ca="1" si="177"/>
        <v>0</v>
      </c>
      <c r="H1461" s="30">
        <f t="shared" ca="1" si="178"/>
        <v>6.4</v>
      </c>
      <c r="I1461" s="31">
        <f t="shared" ca="1" si="179"/>
        <v>6.4</v>
      </c>
      <c r="Q1461" s="80"/>
      <c r="R1461" s="42"/>
      <c r="S1461" s="90">
        <f t="shared" si="176"/>
        <v>140.29999999999632</v>
      </c>
      <c r="T1461" s="42"/>
      <c r="U1461" s="42"/>
      <c r="V1461" s="42"/>
      <c r="W1461" s="42"/>
      <c r="X1461" s="81"/>
    </row>
    <row r="1462" spans="2:24" x14ac:dyDescent="0.25">
      <c r="B1462" s="2">
        <v>1</v>
      </c>
      <c r="C1462" s="1">
        <f t="shared" si="174"/>
        <v>27.529411764705785</v>
      </c>
      <c r="D1462" s="1">
        <f t="shared" si="172"/>
        <v>0</v>
      </c>
      <c r="E1462" s="1">
        <f t="shared" si="175"/>
        <v>1</v>
      </c>
      <c r="F1462" s="31">
        <f t="shared" si="173"/>
        <v>6.4</v>
      </c>
      <c r="G1462" s="31">
        <f t="shared" ca="1" si="177"/>
        <v>0</v>
      </c>
      <c r="H1462" s="30">
        <f t="shared" ca="1" si="178"/>
        <v>6.4</v>
      </c>
      <c r="I1462" s="31">
        <f t="shared" ca="1" si="179"/>
        <v>6.4</v>
      </c>
      <c r="Q1462" s="80"/>
      <c r="R1462" s="42"/>
      <c r="S1462" s="90">
        <f t="shared" si="176"/>
        <v>140.39999999999631</v>
      </c>
      <c r="T1462" s="42"/>
      <c r="U1462" s="42"/>
      <c r="V1462" s="42"/>
      <c r="W1462" s="42"/>
      <c r="X1462" s="81"/>
    </row>
    <row r="1463" spans="2:24" x14ac:dyDescent="0.25">
      <c r="B1463" s="2">
        <v>1</v>
      </c>
      <c r="C1463" s="1">
        <f t="shared" si="174"/>
        <v>28.529411764705785</v>
      </c>
      <c r="D1463" s="1">
        <f t="shared" si="172"/>
        <v>0</v>
      </c>
      <c r="E1463" s="1">
        <f t="shared" si="175"/>
        <v>1</v>
      </c>
      <c r="F1463" s="31">
        <f t="shared" si="173"/>
        <v>6.4</v>
      </c>
      <c r="G1463" s="31">
        <f t="shared" ca="1" si="177"/>
        <v>0</v>
      </c>
      <c r="H1463" s="30">
        <f t="shared" ca="1" si="178"/>
        <v>6.4</v>
      </c>
      <c r="I1463" s="31">
        <f t="shared" ca="1" si="179"/>
        <v>6.4</v>
      </c>
      <c r="Q1463" s="80"/>
      <c r="R1463" s="42"/>
      <c r="S1463" s="90">
        <f t="shared" si="176"/>
        <v>140.49999999999631</v>
      </c>
      <c r="T1463" s="42"/>
      <c r="U1463" s="42"/>
      <c r="V1463" s="42"/>
      <c r="W1463" s="42"/>
      <c r="X1463" s="81"/>
    </row>
    <row r="1464" spans="2:24" x14ac:dyDescent="0.25">
      <c r="B1464" s="2">
        <v>1</v>
      </c>
      <c r="C1464" s="1">
        <f t="shared" si="174"/>
        <v>29.529411764705785</v>
      </c>
      <c r="D1464" s="1">
        <f t="shared" si="172"/>
        <v>0</v>
      </c>
      <c r="E1464" s="1">
        <f t="shared" si="175"/>
        <v>1</v>
      </c>
      <c r="F1464" s="31">
        <f t="shared" si="173"/>
        <v>6.4</v>
      </c>
      <c r="G1464" s="31">
        <f t="shared" ca="1" si="177"/>
        <v>0</v>
      </c>
      <c r="H1464" s="30">
        <f t="shared" ca="1" si="178"/>
        <v>6.4</v>
      </c>
      <c r="I1464" s="31">
        <f t="shared" ca="1" si="179"/>
        <v>6.4</v>
      </c>
      <c r="Q1464" s="80"/>
      <c r="R1464" s="42"/>
      <c r="S1464" s="90">
        <f t="shared" si="176"/>
        <v>140.5999999999963</v>
      </c>
      <c r="T1464" s="42"/>
      <c r="U1464" s="42"/>
      <c r="V1464" s="42"/>
      <c r="W1464" s="42"/>
      <c r="X1464" s="81"/>
    </row>
    <row r="1465" spans="2:24" x14ac:dyDescent="0.25">
      <c r="B1465" s="2">
        <v>1</v>
      </c>
      <c r="C1465" s="1">
        <f t="shared" si="174"/>
        <v>30.529411764705785</v>
      </c>
      <c r="D1465" s="1">
        <f t="shared" si="172"/>
        <v>0</v>
      </c>
      <c r="E1465" s="1">
        <f t="shared" si="175"/>
        <v>1</v>
      </c>
      <c r="F1465" s="31">
        <f t="shared" si="173"/>
        <v>6.4</v>
      </c>
      <c r="G1465" s="31">
        <f t="shared" ca="1" si="177"/>
        <v>0</v>
      </c>
      <c r="H1465" s="30">
        <f t="shared" ca="1" si="178"/>
        <v>6.4</v>
      </c>
      <c r="I1465" s="31">
        <f t="shared" ca="1" si="179"/>
        <v>6.4</v>
      </c>
      <c r="Q1465" s="80"/>
      <c r="R1465" s="42"/>
      <c r="S1465" s="90">
        <f t="shared" si="176"/>
        <v>140.69999999999629</v>
      </c>
      <c r="T1465" s="42"/>
      <c r="U1465" s="42"/>
      <c r="V1465" s="42"/>
      <c r="W1465" s="42"/>
      <c r="X1465" s="81"/>
    </row>
    <row r="1466" spans="2:24" x14ac:dyDescent="0.25">
      <c r="B1466" s="2">
        <v>1</v>
      </c>
      <c r="C1466" s="1">
        <f t="shared" si="174"/>
        <v>31.529411764705785</v>
      </c>
      <c r="D1466" s="1">
        <f t="shared" ref="D1466:D1529" si="180">IF(C1466&lt;=Inhelation_Time_RT,1,0)</f>
        <v>0</v>
      </c>
      <c r="E1466" s="1">
        <f t="shared" si="175"/>
        <v>1</v>
      </c>
      <c r="F1466" s="31">
        <f t="shared" ref="F1466:F1529" si="181">(D1466*Inspiratory_pressure_level) + (E1466*PEEP)</f>
        <v>6.4</v>
      </c>
      <c r="G1466" s="31">
        <f t="shared" ca="1" si="177"/>
        <v>0</v>
      </c>
      <c r="H1466" s="30">
        <f t="shared" ca="1" si="178"/>
        <v>6.4</v>
      </c>
      <c r="I1466" s="31">
        <f t="shared" ca="1" si="179"/>
        <v>6.4</v>
      </c>
      <c r="Q1466" s="80"/>
      <c r="R1466" s="42"/>
      <c r="S1466" s="90">
        <f t="shared" si="176"/>
        <v>140.79999999999629</v>
      </c>
      <c r="T1466" s="42"/>
      <c r="U1466" s="42"/>
      <c r="V1466" s="42"/>
      <c r="W1466" s="42"/>
      <c r="X1466" s="81"/>
    </row>
    <row r="1467" spans="2:24" x14ac:dyDescent="0.25">
      <c r="B1467" s="2">
        <v>1</v>
      </c>
      <c r="C1467" s="1">
        <f t="shared" ref="C1467:C1530" si="182">MOD(C1466+B1467,time_for_breath_RT)</f>
        <v>32.529411764705785</v>
      </c>
      <c r="D1467" s="1">
        <f t="shared" si="180"/>
        <v>0</v>
      </c>
      <c r="E1467" s="1">
        <f t="shared" ref="E1467:E1530" si="183">IF(D1467=1,0,1)</f>
        <v>1</v>
      </c>
      <c r="F1467" s="31">
        <f t="shared" si="181"/>
        <v>6.4</v>
      </c>
      <c r="G1467" s="31">
        <f t="shared" ca="1" si="177"/>
        <v>0</v>
      </c>
      <c r="H1467" s="30">
        <f t="shared" ca="1" si="178"/>
        <v>6.4</v>
      </c>
      <c r="I1467" s="31">
        <f t="shared" ca="1" si="179"/>
        <v>6.4</v>
      </c>
      <c r="Q1467" s="80"/>
      <c r="R1467" s="42"/>
      <c r="S1467" s="90">
        <f t="shared" ref="S1467:S1530" si="184">S1466+(B1466 / RTC_to_seconds)</f>
        <v>140.89999999999628</v>
      </c>
      <c r="T1467" s="42"/>
      <c r="U1467" s="42"/>
      <c r="V1467" s="42"/>
      <c r="W1467" s="42"/>
      <c r="X1467" s="81"/>
    </row>
    <row r="1468" spans="2:24" x14ac:dyDescent="0.25">
      <c r="B1468" s="2">
        <v>1</v>
      </c>
      <c r="C1468" s="1">
        <f t="shared" si="182"/>
        <v>33.529411764705785</v>
      </c>
      <c r="D1468" s="1">
        <f t="shared" si="180"/>
        <v>0</v>
      </c>
      <c r="E1468" s="1">
        <f t="shared" si="183"/>
        <v>1</v>
      </c>
      <c r="F1468" s="31">
        <f t="shared" si="181"/>
        <v>6.4</v>
      </c>
      <c r="G1468" s="31">
        <f t="shared" ca="1" si="177"/>
        <v>0</v>
      </c>
      <c r="H1468" s="30">
        <f t="shared" ca="1" si="178"/>
        <v>6.4</v>
      </c>
      <c r="I1468" s="31">
        <f t="shared" ca="1" si="179"/>
        <v>6.4</v>
      </c>
      <c r="Q1468" s="80"/>
      <c r="R1468" s="42"/>
      <c r="S1468" s="90">
        <f t="shared" si="184"/>
        <v>140.99999999999628</v>
      </c>
      <c r="T1468" s="42"/>
      <c r="U1468" s="42"/>
      <c r="V1468" s="42"/>
      <c r="W1468" s="42"/>
      <c r="X1468" s="81"/>
    </row>
    <row r="1469" spans="2:24" x14ac:dyDescent="0.25">
      <c r="B1469" s="2">
        <v>1</v>
      </c>
      <c r="C1469" s="1">
        <f t="shared" si="182"/>
        <v>34.529411764705785</v>
      </c>
      <c r="D1469" s="1">
        <f t="shared" si="180"/>
        <v>0</v>
      </c>
      <c r="E1469" s="1">
        <f t="shared" si="183"/>
        <v>1</v>
      </c>
      <c r="F1469" s="31">
        <f t="shared" si="181"/>
        <v>6.4</v>
      </c>
      <c r="G1469" s="31">
        <f t="shared" ca="1" si="177"/>
        <v>0</v>
      </c>
      <c r="H1469" s="30">
        <f t="shared" ca="1" si="178"/>
        <v>6.4</v>
      </c>
      <c r="I1469" s="31">
        <f t="shared" ca="1" si="179"/>
        <v>6.4</v>
      </c>
      <c r="Q1469" s="80"/>
      <c r="R1469" s="42"/>
      <c r="S1469" s="90">
        <f t="shared" si="184"/>
        <v>141.09999999999627</v>
      </c>
      <c r="T1469" s="42"/>
      <c r="U1469" s="42"/>
      <c r="V1469" s="42"/>
      <c r="W1469" s="42"/>
      <c r="X1469" s="81"/>
    </row>
    <row r="1470" spans="2:24" x14ac:dyDescent="0.25">
      <c r="B1470" s="2">
        <v>1</v>
      </c>
      <c r="C1470" s="1">
        <f t="shared" si="182"/>
        <v>0.23529411764695851</v>
      </c>
      <c r="D1470" s="1">
        <f t="shared" si="180"/>
        <v>1</v>
      </c>
      <c r="E1470" s="1">
        <f t="shared" si="183"/>
        <v>0</v>
      </c>
      <c r="F1470" s="31">
        <f t="shared" si="181"/>
        <v>14.6</v>
      </c>
      <c r="G1470" s="31">
        <f t="shared" ca="1" si="177"/>
        <v>6.4</v>
      </c>
      <c r="H1470" s="30">
        <f t="shared" ca="1" si="178"/>
        <v>0</v>
      </c>
      <c r="I1470" s="31">
        <f t="shared" ca="1" si="179"/>
        <v>6.4</v>
      </c>
      <c r="Q1470" s="80"/>
      <c r="R1470" s="42"/>
      <c r="S1470" s="90">
        <f t="shared" si="184"/>
        <v>141.19999999999627</v>
      </c>
      <c r="T1470" s="42"/>
      <c r="U1470" s="42"/>
      <c r="V1470" s="42"/>
      <c r="W1470" s="42"/>
      <c r="X1470" s="81"/>
    </row>
    <row r="1471" spans="2:24" x14ac:dyDescent="0.25">
      <c r="B1471" s="2">
        <v>1</v>
      </c>
      <c r="C1471" s="1">
        <f t="shared" si="182"/>
        <v>1.2352941176469585</v>
      </c>
      <c r="D1471" s="1">
        <f t="shared" si="180"/>
        <v>1</v>
      </c>
      <c r="E1471" s="1">
        <f t="shared" si="183"/>
        <v>0</v>
      </c>
      <c r="F1471" s="31">
        <f t="shared" si="181"/>
        <v>14.6</v>
      </c>
      <c r="G1471" s="31">
        <f t="shared" ca="1" si="177"/>
        <v>8.4500000000000011</v>
      </c>
      <c r="H1471" s="30">
        <f t="shared" ca="1" si="178"/>
        <v>0</v>
      </c>
      <c r="I1471" s="31">
        <f t="shared" ca="1" si="179"/>
        <v>8.4500000000000011</v>
      </c>
      <c r="Q1471" s="80"/>
      <c r="R1471" s="42"/>
      <c r="S1471" s="90">
        <f t="shared" si="184"/>
        <v>141.29999999999626</v>
      </c>
      <c r="T1471" s="42"/>
      <c r="U1471" s="42"/>
      <c r="V1471" s="42"/>
      <c r="W1471" s="42"/>
      <c r="X1471" s="81"/>
    </row>
    <row r="1472" spans="2:24" x14ac:dyDescent="0.25">
      <c r="B1472" s="2">
        <v>1</v>
      </c>
      <c r="C1472" s="1">
        <f t="shared" si="182"/>
        <v>2.2352941176469585</v>
      </c>
      <c r="D1472" s="1">
        <f t="shared" si="180"/>
        <v>1</v>
      </c>
      <c r="E1472" s="1">
        <f t="shared" si="183"/>
        <v>0</v>
      </c>
      <c r="F1472" s="31">
        <f t="shared" si="181"/>
        <v>14.6</v>
      </c>
      <c r="G1472" s="31">
        <f t="shared" ca="1" si="177"/>
        <v>10.5</v>
      </c>
      <c r="H1472" s="30">
        <f t="shared" ca="1" si="178"/>
        <v>0</v>
      </c>
      <c r="I1472" s="31">
        <f t="shared" ca="1" si="179"/>
        <v>10.5</v>
      </c>
      <c r="Q1472" s="80"/>
      <c r="R1472" s="42"/>
      <c r="S1472" s="90">
        <f t="shared" si="184"/>
        <v>141.39999999999625</v>
      </c>
      <c r="T1472" s="42"/>
      <c r="U1472" s="42"/>
      <c r="V1472" s="42"/>
      <c r="W1472" s="42"/>
      <c r="X1472" s="81"/>
    </row>
    <row r="1473" spans="2:24" x14ac:dyDescent="0.25">
      <c r="B1473" s="2">
        <v>1</v>
      </c>
      <c r="C1473" s="1">
        <f t="shared" si="182"/>
        <v>3.2352941176469585</v>
      </c>
      <c r="D1473" s="1">
        <f t="shared" si="180"/>
        <v>1</v>
      </c>
      <c r="E1473" s="1">
        <f t="shared" si="183"/>
        <v>0</v>
      </c>
      <c r="F1473" s="31">
        <f t="shared" si="181"/>
        <v>14.6</v>
      </c>
      <c r="G1473" s="31">
        <f t="shared" ca="1" si="177"/>
        <v>12.55</v>
      </c>
      <c r="H1473" s="30">
        <f t="shared" ca="1" si="178"/>
        <v>0</v>
      </c>
      <c r="I1473" s="31">
        <f t="shared" ca="1" si="179"/>
        <v>12.55</v>
      </c>
      <c r="Q1473" s="80"/>
      <c r="R1473" s="42"/>
      <c r="S1473" s="90">
        <f t="shared" si="184"/>
        <v>141.49999999999625</v>
      </c>
      <c r="T1473" s="42"/>
      <c r="U1473" s="42"/>
      <c r="V1473" s="42"/>
      <c r="W1473" s="42"/>
      <c r="X1473" s="81"/>
    </row>
    <row r="1474" spans="2:24" x14ac:dyDescent="0.25">
      <c r="B1474" s="2">
        <v>1</v>
      </c>
      <c r="C1474" s="1">
        <f t="shared" si="182"/>
        <v>4.2352941176469585</v>
      </c>
      <c r="D1474" s="1">
        <f t="shared" si="180"/>
        <v>1</v>
      </c>
      <c r="E1474" s="1">
        <f t="shared" si="183"/>
        <v>0</v>
      </c>
      <c r="F1474" s="31">
        <f t="shared" si="181"/>
        <v>14.6</v>
      </c>
      <c r="G1474" s="31">
        <f t="shared" ca="1" si="177"/>
        <v>14.6</v>
      </c>
      <c r="H1474" s="30">
        <f t="shared" ca="1" si="178"/>
        <v>0</v>
      </c>
      <c r="I1474" s="31">
        <f t="shared" ca="1" si="179"/>
        <v>14.6</v>
      </c>
      <c r="Q1474" s="80"/>
      <c r="R1474" s="42"/>
      <c r="S1474" s="90">
        <f t="shared" si="184"/>
        <v>141.59999999999624</v>
      </c>
      <c r="T1474" s="42"/>
      <c r="U1474" s="42"/>
      <c r="V1474" s="42"/>
      <c r="W1474" s="42"/>
      <c r="X1474" s="81"/>
    </row>
    <row r="1475" spans="2:24" x14ac:dyDescent="0.25">
      <c r="B1475" s="2">
        <v>1</v>
      </c>
      <c r="C1475" s="1">
        <f t="shared" si="182"/>
        <v>5.2352941176469585</v>
      </c>
      <c r="D1475" s="1">
        <f t="shared" si="180"/>
        <v>1</v>
      </c>
      <c r="E1475" s="1">
        <f t="shared" si="183"/>
        <v>0</v>
      </c>
      <c r="F1475" s="31">
        <f t="shared" si="181"/>
        <v>14.6</v>
      </c>
      <c r="G1475" s="31">
        <f t="shared" ca="1" si="177"/>
        <v>14.6</v>
      </c>
      <c r="H1475" s="30">
        <f t="shared" ca="1" si="178"/>
        <v>0</v>
      </c>
      <c r="I1475" s="31">
        <f t="shared" ca="1" si="179"/>
        <v>14.6</v>
      </c>
      <c r="Q1475" s="80"/>
      <c r="R1475" s="42"/>
      <c r="S1475" s="90">
        <f t="shared" si="184"/>
        <v>141.69999999999624</v>
      </c>
      <c r="T1475" s="42"/>
      <c r="U1475" s="42"/>
      <c r="V1475" s="42"/>
      <c r="W1475" s="42"/>
      <c r="X1475" s="81"/>
    </row>
    <row r="1476" spans="2:24" x14ac:dyDescent="0.25">
      <c r="B1476" s="2">
        <v>1</v>
      </c>
      <c r="C1476" s="1">
        <f t="shared" si="182"/>
        <v>6.2352941176469585</v>
      </c>
      <c r="D1476" s="1">
        <f t="shared" si="180"/>
        <v>1</v>
      </c>
      <c r="E1476" s="1">
        <f t="shared" si="183"/>
        <v>0</v>
      </c>
      <c r="F1476" s="31">
        <f t="shared" si="181"/>
        <v>14.6</v>
      </c>
      <c r="G1476" s="31">
        <f t="shared" ca="1" si="177"/>
        <v>14.6</v>
      </c>
      <c r="H1476" s="30">
        <f t="shared" ca="1" si="178"/>
        <v>0</v>
      </c>
      <c r="I1476" s="31">
        <f t="shared" ca="1" si="179"/>
        <v>14.6</v>
      </c>
      <c r="Q1476" s="80"/>
      <c r="R1476" s="42"/>
      <c r="S1476" s="90">
        <f t="shared" si="184"/>
        <v>141.79999999999623</v>
      </c>
      <c r="T1476" s="42"/>
      <c r="U1476" s="42"/>
      <c r="V1476" s="42"/>
      <c r="W1476" s="42"/>
      <c r="X1476" s="81"/>
    </row>
    <row r="1477" spans="2:24" x14ac:dyDescent="0.25">
      <c r="B1477" s="2">
        <v>1</v>
      </c>
      <c r="C1477" s="1">
        <f t="shared" si="182"/>
        <v>7.2352941176469585</v>
      </c>
      <c r="D1477" s="1">
        <f t="shared" si="180"/>
        <v>1</v>
      </c>
      <c r="E1477" s="1">
        <f t="shared" si="183"/>
        <v>0</v>
      </c>
      <c r="F1477" s="31">
        <f t="shared" si="181"/>
        <v>14.6</v>
      </c>
      <c r="G1477" s="31">
        <f t="shared" ca="1" si="177"/>
        <v>14.6</v>
      </c>
      <c r="H1477" s="30">
        <f t="shared" ca="1" si="178"/>
        <v>0</v>
      </c>
      <c r="I1477" s="31">
        <f t="shared" ca="1" si="179"/>
        <v>14.6</v>
      </c>
      <c r="Q1477" s="80"/>
      <c r="R1477" s="42"/>
      <c r="S1477" s="90">
        <f t="shared" si="184"/>
        <v>141.89999999999623</v>
      </c>
      <c r="T1477" s="42"/>
      <c r="U1477" s="42"/>
      <c r="V1477" s="42"/>
      <c r="W1477" s="42"/>
      <c r="X1477" s="81"/>
    </row>
    <row r="1478" spans="2:24" x14ac:dyDescent="0.25">
      <c r="B1478" s="2">
        <v>1</v>
      </c>
      <c r="C1478" s="1">
        <f t="shared" si="182"/>
        <v>8.2352941176469585</v>
      </c>
      <c r="D1478" s="1">
        <f t="shared" si="180"/>
        <v>1</v>
      </c>
      <c r="E1478" s="1">
        <f t="shared" si="183"/>
        <v>0</v>
      </c>
      <c r="F1478" s="31">
        <f t="shared" si="181"/>
        <v>14.6</v>
      </c>
      <c r="G1478" s="31">
        <f t="shared" ca="1" si="177"/>
        <v>14.6</v>
      </c>
      <c r="H1478" s="30">
        <f t="shared" ca="1" si="178"/>
        <v>0</v>
      </c>
      <c r="I1478" s="31">
        <f t="shared" ca="1" si="179"/>
        <v>14.6</v>
      </c>
      <c r="Q1478" s="80"/>
      <c r="R1478" s="42"/>
      <c r="S1478" s="90">
        <f t="shared" si="184"/>
        <v>141.99999999999622</v>
      </c>
      <c r="T1478" s="42"/>
      <c r="U1478" s="42"/>
      <c r="V1478" s="42"/>
      <c r="W1478" s="42"/>
      <c r="X1478" s="81"/>
    </row>
    <row r="1479" spans="2:24" x14ac:dyDescent="0.25">
      <c r="B1479" s="2">
        <v>1</v>
      </c>
      <c r="C1479" s="1">
        <f t="shared" si="182"/>
        <v>9.2352941176469585</v>
      </c>
      <c r="D1479" s="1">
        <f t="shared" si="180"/>
        <v>1</v>
      </c>
      <c r="E1479" s="1">
        <f t="shared" si="183"/>
        <v>0</v>
      </c>
      <c r="F1479" s="31">
        <f t="shared" si="181"/>
        <v>14.6</v>
      </c>
      <c r="G1479" s="31">
        <f t="shared" ca="1" si="177"/>
        <v>14.6</v>
      </c>
      <c r="H1479" s="30">
        <f t="shared" ca="1" si="178"/>
        <v>0</v>
      </c>
      <c r="I1479" s="31">
        <f t="shared" ca="1" si="179"/>
        <v>14.6</v>
      </c>
      <c r="Q1479" s="80"/>
      <c r="R1479" s="42"/>
      <c r="S1479" s="90">
        <f t="shared" si="184"/>
        <v>142.09999999999621</v>
      </c>
      <c r="T1479" s="42"/>
      <c r="U1479" s="42"/>
      <c r="V1479" s="42"/>
      <c r="W1479" s="42"/>
      <c r="X1479" s="81"/>
    </row>
    <row r="1480" spans="2:24" x14ac:dyDescent="0.25">
      <c r="B1480" s="2">
        <v>1</v>
      </c>
      <c r="C1480" s="1">
        <f t="shared" si="182"/>
        <v>10.235294117646959</v>
      </c>
      <c r="D1480" s="1">
        <f t="shared" si="180"/>
        <v>1</v>
      </c>
      <c r="E1480" s="1">
        <f t="shared" si="183"/>
        <v>0</v>
      </c>
      <c r="F1480" s="31">
        <f t="shared" si="181"/>
        <v>14.6</v>
      </c>
      <c r="G1480" s="31">
        <f t="shared" ca="1" si="177"/>
        <v>14.6</v>
      </c>
      <c r="H1480" s="30">
        <f t="shared" ca="1" si="178"/>
        <v>0</v>
      </c>
      <c r="I1480" s="31">
        <f t="shared" ca="1" si="179"/>
        <v>14.6</v>
      </c>
      <c r="Q1480" s="80"/>
      <c r="R1480" s="42"/>
      <c r="S1480" s="90">
        <f t="shared" si="184"/>
        <v>142.19999999999621</v>
      </c>
      <c r="T1480" s="42"/>
      <c r="U1480" s="42"/>
      <c r="V1480" s="42"/>
      <c r="W1480" s="42"/>
      <c r="X1480" s="81"/>
    </row>
    <row r="1481" spans="2:24" x14ac:dyDescent="0.25">
      <c r="B1481" s="2">
        <v>1</v>
      </c>
      <c r="C1481" s="1">
        <f t="shared" si="182"/>
        <v>11.235294117646959</v>
      </c>
      <c r="D1481" s="1">
        <f t="shared" si="180"/>
        <v>1</v>
      </c>
      <c r="E1481" s="1">
        <f t="shared" si="183"/>
        <v>0</v>
      </c>
      <c r="F1481" s="31">
        <f t="shared" si="181"/>
        <v>14.6</v>
      </c>
      <c r="G1481" s="31">
        <f t="shared" ca="1" si="177"/>
        <v>14.6</v>
      </c>
      <c r="H1481" s="30">
        <f t="shared" ca="1" si="178"/>
        <v>0</v>
      </c>
      <c r="I1481" s="31">
        <f t="shared" ca="1" si="179"/>
        <v>14.6</v>
      </c>
      <c r="Q1481" s="80"/>
      <c r="R1481" s="42"/>
      <c r="S1481" s="90">
        <f t="shared" si="184"/>
        <v>142.2999999999962</v>
      </c>
      <c r="T1481" s="42"/>
      <c r="U1481" s="42"/>
      <c r="V1481" s="42"/>
      <c r="W1481" s="42"/>
      <c r="X1481" s="81"/>
    </row>
    <row r="1482" spans="2:24" x14ac:dyDescent="0.25">
      <c r="B1482" s="2">
        <v>1</v>
      </c>
      <c r="C1482" s="1">
        <f t="shared" si="182"/>
        <v>12.235294117646959</v>
      </c>
      <c r="D1482" s="1">
        <f t="shared" si="180"/>
        <v>1</v>
      </c>
      <c r="E1482" s="1">
        <f t="shared" si="183"/>
        <v>0</v>
      </c>
      <c r="F1482" s="31">
        <f t="shared" si="181"/>
        <v>14.6</v>
      </c>
      <c r="G1482" s="31">
        <f t="shared" ca="1" si="177"/>
        <v>14.6</v>
      </c>
      <c r="H1482" s="30">
        <f t="shared" ca="1" si="178"/>
        <v>0</v>
      </c>
      <c r="I1482" s="31">
        <f t="shared" ca="1" si="179"/>
        <v>14.6</v>
      </c>
      <c r="Q1482" s="80"/>
      <c r="R1482" s="42"/>
      <c r="S1482" s="90">
        <f t="shared" si="184"/>
        <v>142.3999999999962</v>
      </c>
      <c r="T1482" s="42"/>
      <c r="U1482" s="42"/>
      <c r="V1482" s="42"/>
      <c r="W1482" s="42"/>
      <c r="X1482" s="81"/>
    </row>
    <row r="1483" spans="2:24" x14ac:dyDescent="0.25">
      <c r="B1483" s="2">
        <v>1</v>
      </c>
      <c r="C1483" s="1">
        <f t="shared" si="182"/>
        <v>13.235294117646959</v>
      </c>
      <c r="D1483" s="1">
        <f t="shared" si="180"/>
        <v>1</v>
      </c>
      <c r="E1483" s="1">
        <f t="shared" si="183"/>
        <v>0</v>
      </c>
      <c r="F1483" s="31">
        <f t="shared" si="181"/>
        <v>14.6</v>
      </c>
      <c r="G1483" s="31">
        <f t="shared" ref="G1483:G1546" ca="1" si="185">IF(D1483=1, AVERAGE(OFFSET(F1483,-$L$27,0,$L$27,1)),0)</f>
        <v>14.6</v>
      </c>
      <c r="H1483" s="30">
        <f t="shared" ref="H1483:H1546" ca="1" si="186">IF(D1483=0, AVERAGE(OFFSET(F1483,-$L$28,0,$L$28,1)),0)</f>
        <v>0</v>
      </c>
      <c r="I1483" s="31">
        <f t="shared" ref="I1483:I1546" ca="1" si="187">G1483+H1483</f>
        <v>14.6</v>
      </c>
      <c r="Q1483" s="80"/>
      <c r="R1483" s="42"/>
      <c r="S1483" s="90">
        <f t="shared" si="184"/>
        <v>142.49999999999619</v>
      </c>
      <c r="T1483" s="42"/>
      <c r="U1483" s="42"/>
      <c r="V1483" s="42"/>
      <c r="W1483" s="42"/>
      <c r="X1483" s="81"/>
    </row>
    <row r="1484" spans="2:24" x14ac:dyDescent="0.25">
      <c r="B1484" s="2">
        <v>1</v>
      </c>
      <c r="C1484" s="1">
        <f t="shared" si="182"/>
        <v>14.235294117646959</v>
      </c>
      <c r="D1484" s="1">
        <f t="shared" si="180"/>
        <v>1</v>
      </c>
      <c r="E1484" s="1">
        <f t="shared" si="183"/>
        <v>0</v>
      </c>
      <c r="F1484" s="31">
        <f t="shared" si="181"/>
        <v>14.6</v>
      </c>
      <c r="G1484" s="31">
        <f t="shared" ca="1" si="185"/>
        <v>14.6</v>
      </c>
      <c r="H1484" s="30">
        <f t="shared" ca="1" si="186"/>
        <v>0</v>
      </c>
      <c r="I1484" s="31">
        <f t="shared" ca="1" si="187"/>
        <v>14.6</v>
      </c>
      <c r="Q1484" s="80"/>
      <c r="R1484" s="42"/>
      <c r="S1484" s="90">
        <f t="shared" si="184"/>
        <v>142.59999999999619</v>
      </c>
      <c r="T1484" s="42"/>
      <c r="U1484" s="42"/>
      <c r="V1484" s="42"/>
      <c r="W1484" s="42"/>
      <c r="X1484" s="81"/>
    </row>
    <row r="1485" spans="2:24" x14ac:dyDescent="0.25">
      <c r="B1485" s="2">
        <v>1</v>
      </c>
      <c r="C1485" s="1">
        <f t="shared" si="182"/>
        <v>15.235294117646959</v>
      </c>
      <c r="D1485" s="1">
        <f t="shared" si="180"/>
        <v>1</v>
      </c>
      <c r="E1485" s="1">
        <f t="shared" si="183"/>
        <v>0</v>
      </c>
      <c r="F1485" s="31">
        <f t="shared" si="181"/>
        <v>14.6</v>
      </c>
      <c r="G1485" s="31">
        <f t="shared" ca="1" si="185"/>
        <v>14.6</v>
      </c>
      <c r="H1485" s="30">
        <f t="shared" ca="1" si="186"/>
        <v>0</v>
      </c>
      <c r="I1485" s="31">
        <f t="shared" ca="1" si="187"/>
        <v>14.6</v>
      </c>
      <c r="Q1485" s="80"/>
      <c r="R1485" s="42"/>
      <c r="S1485" s="90">
        <f t="shared" si="184"/>
        <v>142.69999999999618</v>
      </c>
      <c r="T1485" s="42"/>
      <c r="U1485" s="42"/>
      <c r="V1485" s="42"/>
      <c r="W1485" s="42"/>
      <c r="X1485" s="81"/>
    </row>
    <row r="1486" spans="2:24" x14ac:dyDescent="0.25">
      <c r="B1486" s="2">
        <v>1</v>
      </c>
      <c r="C1486" s="1">
        <f t="shared" si="182"/>
        <v>16.235294117646959</v>
      </c>
      <c r="D1486" s="1">
        <f t="shared" si="180"/>
        <v>1</v>
      </c>
      <c r="E1486" s="1">
        <f t="shared" si="183"/>
        <v>0</v>
      </c>
      <c r="F1486" s="31">
        <f t="shared" si="181"/>
        <v>14.6</v>
      </c>
      <c r="G1486" s="31">
        <f t="shared" ca="1" si="185"/>
        <v>14.6</v>
      </c>
      <c r="H1486" s="30">
        <f t="shared" ca="1" si="186"/>
        <v>0</v>
      </c>
      <c r="I1486" s="31">
        <f t="shared" ca="1" si="187"/>
        <v>14.6</v>
      </c>
      <c r="Q1486" s="80"/>
      <c r="R1486" s="42"/>
      <c r="S1486" s="90">
        <f t="shared" si="184"/>
        <v>142.79999999999617</v>
      </c>
      <c r="T1486" s="42"/>
      <c r="U1486" s="42"/>
      <c r="V1486" s="42"/>
      <c r="W1486" s="42"/>
      <c r="X1486" s="81"/>
    </row>
    <row r="1487" spans="2:24" x14ac:dyDescent="0.25">
      <c r="B1487" s="2">
        <v>1</v>
      </c>
      <c r="C1487" s="1">
        <f t="shared" si="182"/>
        <v>17.235294117646959</v>
      </c>
      <c r="D1487" s="1">
        <f t="shared" si="180"/>
        <v>1</v>
      </c>
      <c r="E1487" s="1">
        <f t="shared" si="183"/>
        <v>0</v>
      </c>
      <c r="F1487" s="31">
        <f t="shared" si="181"/>
        <v>14.6</v>
      </c>
      <c r="G1487" s="31">
        <f t="shared" ca="1" si="185"/>
        <v>14.6</v>
      </c>
      <c r="H1487" s="30">
        <f t="shared" ca="1" si="186"/>
        <v>0</v>
      </c>
      <c r="I1487" s="31">
        <f t="shared" ca="1" si="187"/>
        <v>14.6</v>
      </c>
      <c r="Q1487" s="80"/>
      <c r="R1487" s="42"/>
      <c r="S1487" s="90">
        <f t="shared" si="184"/>
        <v>142.89999999999617</v>
      </c>
      <c r="T1487" s="42"/>
      <c r="U1487" s="42"/>
      <c r="V1487" s="42"/>
      <c r="W1487" s="42"/>
      <c r="X1487" s="81"/>
    </row>
    <row r="1488" spans="2:24" x14ac:dyDescent="0.25">
      <c r="B1488" s="2">
        <v>1</v>
      </c>
      <c r="C1488" s="1">
        <f t="shared" si="182"/>
        <v>18.235294117646959</v>
      </c>
      <c r="D1488" s="1">
        <f t="shared" si="180"/>
        <v>1</v>
      </c>
      <c r="E1488" s="1">
        <f t="shared" si="183"/>
        <v>0</v>
      </c>
      <c r="F1488" s="31">
        <f t="shared" si="181"/>
        <v>14.6</v>
      </c>
      <c r="G1488" s="31">
        <f t="shared" ca="1" si="185"/>
        <v>14.6</v>
      </c>
      <c r="H1488" s="30">
        <f t="shared" ca="1" si="186"/>
        <v>0</v>
      </c>
      <c r="I1488" s="31">
        <f t="shared" ca="1" si="187"/>
        <v>14.6</v>
      </c>
      <c r="Q1488" s="80"/>
      <c r="R1488" s="42"/>
      <c r="S1488" s="90">
        <f t="shared" si="184"/>
        <v>142.99999999999616</v>
      </c>
      <c r="T1488" s="42"/>
      <c r="U1488" s="42"/>
      <c r="V1488" s="42"/>
      <c r="W1488" s="42"/>
      <c r="X1488" s="81"/>
    </row>
    <row r="1489" spans="2:24" x14ac:dyDescent="0.25">
      <c r="B1489" s="2">
        <v>1</v>
      </c>
      <c r="C1489" s="1">
        <f t="shared" si="182"/>
        <v>19.235294117646959</v>
      </c>
      <c r="D1489" s="1">
        <f t="shared" si="180"/>
        <v>1</v>
      </c>
      <c r="E1489" s="1">
        <f t="shared" si="183"/>
        <v>0</v>
      </c>
      <c r="F1489" s="31">
        <f t="shared" si="181"/>
        <v>14.6</v>
      </c>
      <c r="G1489" s="31">
        <f t="shared" ca="1" si="185"/>
        <v>14.6</v>
      </c>
      <c r="H1489" s="30">
        <f t="shared" ca="1" si="186"/>
        <v>0</v>
      </c>
      <c r="I1489" s="31">
        <f t="shared" ca="1" si="187"/>
        <v>14.6</v>
      </c>
      <c r="Q1489" s="80"/>
      <c r="R1489" s="42"/>
      <c r="S1489" s="90">
        <f t="shared" si="184"/>
        <v>143.09999999999616</v>
      </c>
      <c r="T1489" s="42"/>
      <c r="U1489" s="42"/>
      <c r="V1489" s="42"/>
      <c r="W1489" s="42"/>
      <c r="X1489" s="81"/>
    </row>
    <row r="1490" spans="2:24" x14ac:dyDescent="0.25">
      <c r="B1490" s="2">
        <v>1</v>
      </c>
      <c r="C1490" s="1">
        <f t="shared" si="182"/>
        <v>20.235294117646959</v>
      </c>
      <c r="D1490" s="1">
        <f t="shared" si="180"/>
        <v>1</v>
      </c>
      <c r="E1490" s="1">
        <f t="shared" si="183"/>
        <v>0</v>
      </c>
      <c r="F1490" s="31">
        <f t="shared" si="181"/>
        <v>14.6</v>
      </c>
      <c r="G1490" s="31">
        <f t="shared" ca="1" si="185"/>
        <v>14.6</v>
      </c>
      <c r="H1490" s="30">
        <f t="shared" ca="1" si="186"/>
        <v>0</v>
      </c>
      <c r="I1490" s="31">
        <f t="shared" ca="1" si="187"/>
        <v>14.6</v>
      </c>
      <c r="Q1490" s="80"/>
      <c r="R1490" s="42"/>
      <c r="S1490" s="90">
        <f t="shared" si="184"/>
        <v>143.19999999999615</v>
      </c>
      <c r="T1490" s="42"/>
      <c r="U1490" s="42"/>
      <c r="V1490" s="42"/>
      <c r="W1490" s="42"/>
      <c r="X1490" s="81"/>
    </row>
    <row r="1491" spans="2:24" x14ac:dyDescent="0.25">
      <c r="B1491" s="2">
        <v>1</v>
      </c>
      <c r="C1491" s="1">
        <f t="shared" si="182"/>
        <v>21.235294117646959</v>
      </c>
      <c r="D1491" s="1">
        <f t="shared" si="180"/>
        <v>1</v>
      </c>
      <c r="E1491" s="1">
        <f t="shared" si="183"/>
        <v>0</v>
      </c>
      <c r="F1491" s="31">
        <f t="shared" si="181"/>
        <v>14.6</v>
      </c>
      <c r="G1491" s="31">
        <f t="shared" ca="1" si="185"/>
        <v>14.6</v>
      </c>
      <c r="H1491" s="30">
        <f t="shared" ca="1" si="186"/>
        <v>0</v>
      </c>
      <c r="I1491" s="31">
        <f t="shared" ca="1" si="187"/>
        <v>14.6</v>
      </c>
      <c r="Q1491" s="80"/>
      <c r="R1491" s="42"/>
      <c r="S1491" s="90">
        <f t="shared" si="184"/>
        <v>143.29999999999615</v>
      </c>
      <c r="T1491" s="42"/>
      <c r="U1491" s="42"/>
      <c r="V1491" s="42"/>
      <c r="W1491" s="42"/>
      <c r="X1491" s="81"/>
    </row>
    <row r="1492" spans="2:24" x14ac:dyDescent="0.25">
      <c r="B1492" s="2">
        <v>1</v>
      </c>
      <c r="C1492" s="1">
        <f t="shared" si="182"/>
        <v>22.235294117646959</v>
      </c>
      <c r="D1492" s="1">
        <f t="shared" si="180"/>
        <v>1</v>
      </c>
      <c r="E1492" s="1">
        <f t="shared" si="183"/>
        <v>0</v>
      </c>
      <c r="F1492" s="31">
        <f t="shared" si="181"/>
        <v>14.6</v>
      </c>
      <c r="G1492" s="31">
        <f t="shared" ca="1" si="185"/>
        <v>14.6</v>
      </c>
      <c r="H1492" s="30">
        <f t="shared" ca="1" si="186"/>
        <v>0</v>
      </c>
      <c r="I1492" s="31">
        <f t="shared" ca="1" si="187"/>
        <v>14.6</v>
      </c>
      <c r="Q1492" s="80"/>
      <c r="R1492" s="42"/>
      <c r="S1492" s="90">
        <f t="shared" si="184"/>
        <v>143.39999999999614</v>
      </c>
      <c r="T1492" s="42"/>
      <c r="U1492" s="42"/>
      <c r="V1492" s="42"/>
      <c r="W1492" s="42"/>
      <c r="X1492" s="81"/>
    </row>
    <row r="1493" spans="2:24" x14ac:dyDescent="0.25">
      <c r="B1493" s="2">
        <v>1</v>
      </c>
      <c r="C1493" s="1">
        <f t="shared" si="182"/>
        <v>23.235294117646959</v>
      </c>
      <c r="D1493" s="1">
        <f t="shared" si="180"/>
        <v>0</v>
      </c>
      <c r="E1493" s="1">
        <f t="shared" si="183"/>
        <v>1</v>
      </c>
      <c r="F1493" s="31">
        <f t="shared" si="181"/>
        <v>6.4</v>
      </c>
      <c r="G1493" s="31">
        <f t="shared" ca="1" si="185"/>
        <v>0</v>
      </c>
      <c r="H1493" s="30">
        <f t="shared" ca="1" si="186"/>
        <v>14.6</v>
      </c>
      <c r="I1493" s="31">
        <f t="shared" ca="1" si="187"/>
        <v>14.6</v>
      </c>
      <c r="Q1493" s="80"/>
      <c r="R1493" s="42"/>
      <c r="S1493" s="90">
        <f t="shared" si="184"/>
        <v>143.49999999999613</v>
      </c>
      <c r="T1493" s="42"/>
      <c r="U1493" s="42"/>
      <c r="V1493" s="42"/>
      <c r="W1493" s="42"/>
      <c r="X1493" s="81"/>
    </row>
    <row r="1494" spans="2:24" x14ac:dyDescent="0.25">
      <c r="B1494" s="2">
        <v>1</v>
      </c>
      <c r="C1494" s="1">
        <f t="shared" si="182"/>
        <v>24.235294117646959</v>
      </c>
      <c r="D1494" s="1">
        <f t="shared" si="180"/>
        <v>0</v>
      </c>
      <c r="E1494" s="1">
        <f t="shared" si="183"/>
        <v>1</v>
      </c>
      <c r="F1494" s="31">
        <f t="shared" si="181"/>
        <v>6.4</v>
      </c>
      <c r="G1494" s="31">
        <f t="shared" ca="1" si="185"/>
        <v>0</v>
      </c>
      <c r="H1494" s="30">
        <f t="shared" ca="1" si="186"/>
        <v>6.4</v>
      </c>
      <c r="I1494" s="31">
        <f t="shared" ca="1" si="187"/>
        <v>6.4</v>
      </c>
      <c r="Q1494" s="80"/>
      <c r="R1494" s="42"/>
      <c r="S1494" s="90">
        <f t="shared" si="184"/>
        <v>143.59999999999613</v>
      </c>
      <c r="T1494" s="42"/>
      <c r="U1494" s="42"/>
      <c r="V1494" s="42"/>
      <c r="W1494" s="42"/>
      <c r="X1494" s="81"/>
    </row>
    <row r="1495" spans="2:24" x14ac:dyDescent="0.25">
      <c r="B1495" s="2">
        <v>1</v>
      </c>
      <c r="C1495" s="1">
        <f t="shared" si="182"/>
        <v>25.235294117646959</v>
      </c>
      <c r="D1495" s="1">
        <f t="shared" si="180"/>
        <v>0</v>
      </c>
      <c r="E1495" s="1">
        <f t="shared" si="183"/>
        <v>1</v>
      </c>
      <c r="F1495" s="31">
        <f t="shared" si="181"/>
        <v>6.4</v>
      </c>
      <c r="G1495" s="31">
        <f t="shared" ca="1" si="185"/>
        <v>0</v>
      </c>
      <c r="H1495" s="30">
        <f t="shared" ca="1" si="186"/>
        <v>6.4</v>
      </c>
      <c r="I1495" s="31">
        <f t="shared" ca="1" si="187"/>
        <v>6.4</v>
      </c>
      <c r="Q1495" s="80"/>
      <c r="R1495" s="42"/>
      <c r="S1495" s="90">
        <f t="shared" si="184"/>
        <v>143.69999999999612</v>
      </c>
      <c r="T1495" s="42"/>
      <c r="U1495" s="42"/>
      <c r="V1495" s="42"/>
      <c r="W1495" s="42"/>
      <c r="X1495" s="81"/>
    </row>
    <row r="1496" spans="2:24" x14ac:dyDescent="0.25">
      <c r="B1496" s="2">
        <v>1</v>
      </c>
      <c r="C1496" s="1">
        <f t="shared" si="182"/>
        <v>26.235294117646959</v>
      </c>
      <c r="D1496" s="1">
        <f t="shared" si="180"/>
        <v>0</v>
      </c>
      <c r="E1496" s="1">
        <f t="shared" si="183"/>
        <v>1</v>
      </c>
      <c r="F1496" s="31">
        <f t="shared" si="181"/>
        <v>6.4</v>
      </c>
      <c r="G1496" s="31">
        <f t="shared" ca="1" si="185"/>
        <v>0</v>
      </c>
      <c r="H1496" s="30">
        <f t="shared" ca="1" si="186"/>
        <v>6.4</v>
      </c>
      <c r="I1496" s="31">
        <f t="shared" ca="1" si="187"/>
        <v>6.4</v>
      </c>
      <c r="Q1496" s="80"/>
      <c r="R1496" s="42"/>
      <c r="S1496" s="90">
        <f t="shared" si="184"/>
        <v>143.79999999999612</v>
      </c>
      <c r="T1496" s="42"/>
      <c r="U1496" s="42"/>
      <c r="V1496" s="42"/>
      <c r="W1496" s="42"/>
      <c r="X1496" s="81"/>
    </row>
    <row r="1497" spans="2:24" x14ac:dyDescent="0.25">
      <c r="B1497" s="2">
        <v>1</v>
      </c>
      <c r="C1497" s="1">
        <f t="shared" si="182"/>
        <v>27.235294117646959</v>
      </c>
      <c r="D1497" s="1">
        <f t="shared" si="180"/>
        <v>0</v>
      </c>
      <c r="E1497" s="1">
        <f t="shared" si="183"/>
        <v>1</v>
      </c>
      <c r="F1497" s="31">
        <f t="shared" si="181"/>
        <v>6.4</v>
      </c>
      <c r="G1497" s="31">
        <f t="shared" ca="1" si="185"/>
        <v>0</v>
      </c>
      <c r="H1497" s="30">
        <f t="shared" ca="1" si="186"/>
        <v>6.4</v>
      </c>
      <c r="I1497" s="31">
        <f t="shared" ca="1" si="187"/>
        <v>6.4</v>
      </c>
      <c r="Q1497" s="80"/>
      <c r="R1497" s="42"/>
      <c r="S1497" s="90">
        <f t="shared" si="184"/>
        <v>143.89999999999611</v>
      </c>
      <c r="T1497" s="42"/>
      <c r="U1497" s="42"/>
      <c r="V1497" s="42"/>
      <c r="W1497" s="42"/>
      <c r="X1497" s="81"/>
    </row>
    <row r="1498" spans="2:24" x14ac:dyDescent="0.25">
      <c r="B1498" s="2">
        <v>1</v>
      </c>
      <c r="C1498" s="1">
        <f t="shared" si="182"/>
        <v>28.235294117646959</v>
      </c>
      <c r="D1498" s="1">
        <f t="shared" si="180"/>
        <v>0</v>
      </c>
      <c r="E1498" s="1">
        <f t="shared" si="183"/>
        <v>1</v>
      </c>
      <c r="F1498" s="31">
        <f t="shared" si="181"/>
        <v>6.4</v>
      </c>
      <c r="G1498" s="31">
        <f t="shared" ca="1" si="185"/>
        <v>0</v>
      </c>
      <c r="H1498" s="30">
        <f t="shared" ca="1" si="186"/>
        <v>6.4</v>
      </c>
      <c r="I1498" s="31">
        <f t="shared" ca="1" si="187"/>
        <v>6.4</v>
      </c>
      <c r="Q1498" s="80"/>
      <c r="R1498" s="42"/>
      <c r="S1498" s="90">
        <f t="shared" si="184"/>
        <v>143.99999999999611</v>
      </c>
      <c r="T1498" s="42"/>
      <c r="U1498" s="42"/>
      <c r="V1498" s="42"/>
      <c r="W1498" s="42"/>
      <c r="X1498" s="81"/>
    </row>
    <row r="1499" spans="2:24" x14ac:dyDescent="0.25">
      <c r="B1499" s="2">
        <v>1</v>
      </c>
      <c r="C1499" s="1">
        <f t="shared" si="182"/>
        <v>29.235294117646959</v>
      </c>
      <c r="D1499" s="1">
        <f t="shared" si="180"/>
        <v>0</v>
      </c>
      <c r="E1499" s="1">
        <f t="shared" si="183"/>
        <v>1</v>
      </c>
      <c r="F1499" s="31">
        <f t="shared" si="181"/>
        <v>6.4</v>
      </c>
      <c r="G1499" s="31">
        <f t="shared" ca="1" si="185"/>
        <v>0</v>
      </c>
      <c r="H1499" s="30">
        <f t="shared" ca="1" si="186"/>
        <v>6.4</v>
      </c>
      <c r="I1499" s="31">
        <f t="shared" ca="1" si="187"/>
        <v>6.4</v>
      </c>
      <c r="Q1499" s="80"/>
      <c r="R1499" s="42"/>
      <c r="S1499" s="90">
        <f t="shared" si="184"/>
        <v>144.0999999999961</v>
      </c>
      <c r="T1499" s="42"/>
      <c r="U1499" s="42"/>
      <c r="V1499" s="42"/>
      <c r="W1499" s="42"/>
      <c r="X1499" s="81"/>
    </row>
    <row r="1500" spans="2:24" x14ac:dyDescent="0.25">
      <c r="B1500" s="2">
        <v>1</v>
      </c>
      <c r="C1500" s="1">
        <f t="shared" si="182"/>
        <v>30.235294117646959</v>
      </c>
      <c r="D1500" s="1">
        <f t="shared" si="180"/>
        <v>0</v>
      </c>
      <c r="E1500" s="1">
        <f t="shared" si="183"/>
        <v>1</v>
      </c>
      <c r="F1500" s="31">
        <f t="shared" si="181"/>
        <v>6.4</v>
      </c>
      <c r="G1500" s="31">
        <f t="shared" ca="1" si="185"/>
        <v>0</v>
      </c>
      <c r="H1500" s="30">
        <f t="shared" ca="1" si="186"/>
        <v>6.4</v>
      </c>
      <c r="I1500" s="31">
        <f t="shared" ca="1" si="187"/>
        <v>6.4</v>
      </c>
      <c r="Q1500" s="80"/>
      <c r="R1500" s="42"/>
      <c r="S1500" s="90">
        <f t="shared" si="184"/>
        <v>144.19999999999609</v>
      </c>
      <c r="T1500" s="42"/>
      <c r="U1500" s="42"/>
      <c r="V1500" s="42"/>
      <c r="W1500" s="42"/>
      <c r="X1500" s="81"/>
    </row>
    <row r="1501" spans="2:24" x14ac:dyDescent="0.25">
      <c r="B1501" s="2">
        <v>1</v>
      </c>
      <c r="C1501" s="1">
        <f t="shared" si="182"/>
        <v>31.235294117646959</v>
      </c>
      <c r="D1501" s="1">
        <f t="shared" si="180"/>
        <v>0</v>
      </c>
      <c r="E1501" s="1">
        <f t="shared" si="183"/>
        <v>1</v>
      </c>
      <c r="F1501" s="31">
        <f t="shared" si="181"/>
        <v>6.4</v>
      </c>
      <c r="G1501" s="31">
        <f t="shared" ca="1" si="185"/>
        <v>0</v>
      </c>
      <c r="H1501" s="30">
        <f t="shared" ca="1" si="186"/>
        <v>6.4</v>
      </c>
      <c r="I1501" s="31">
        <f t="shared" ca="1" si="187"/>
        <v>6.4</v>
      </c>
      <c r="Q1501" s="80"/>
      <c r="R1501" s="42"/>
      <c r="S1501" s="90">
        <f t="shared" si="184"/>
        <v>144.29999999999609</v>
      </c>
      <c r="T1501" s="42"/>
      <c r="U1501" s="42"/>
      <c r="V1501" s="42"/>
      <c r="W1501" s="42"/>
      <c r="X1501" s="81"/>
    </row>
    <row r="1502" spans="2:24" x14ac:dyDescent="0.25">
      <c r="B1502" s="2">
        <v>1</v>
      </c>
      <c r="C1502" s="1">
        <f t="shared" si="182"/>
        <v>32.235294117646959</v>
      </c>
      <c r="D1502" s="1">
        <f t="shared" si="180"/>
        <v>0</v>
      </c>
      <c r="E1502" s="1">
        <f t="shared" si="183"/>
        <v>1</v>
      </c>
      <c r="F1502" s="31">
        <f t="shared" si="181"/>
        <v>6.4</v>
      </c>
      <c r="G1502" s="31">
        <f t="shared" ca="1" si="185"/>
        <v>0</v>
      </c>
      <c r="H1502" s="30">
        <f t="shared" ca="1" si="186"/>
        <v>6.4</v>
      </c>
      <c r="I1502" s="31">
        <f t="shared" ca="1" si="187"/>
        <v>6.4</v>
      </c>
      <c r="Q1502" s="80"/>
      <c r="R1502" s="42"/>
      <c r="S1502" s="90">
        <f t="shared" si="184"/>
        <v>144.39999999999608</v>
      </c>
      <c r="T1502" s="42"/>
      <c r="U1502" s="42"/>
      <c r="V1502" s="42"/>
      <c r="W1502" s="42"/>
      <c r="X1502" s="81"/>
    </row>
    <row r="1503" spans="2:24" x14ac:dyDescent="0.25">
      <c r="B1503" s="2">
        <v>1</v>
      </c>
      <c r="C1503" s="1">
        <f t="shared" si="182"/>
        <v>33.235294117646959</v>
      </c>
      <c r="D1503" s="1">
        <f t="shared" si="180"/>
        <v>0</v>
      </c>
      <c r="E1503" s="1">
        <f t="shared" si="183"/>
        <v>1</v>
      </c>
      <c r="F1503" s="31">
        <f t="shared" si="181"/>
        <v>6.4</v>
      </c>
      <c r="G1503" s="31">
        <f t="shared" ca="1" si="185"/>
        <v>0</v>
      </c>
      <c r="H1503" s="30">
        <f t="shared" ca="1" si="186"/>
        <v>6.4</v>
      </c>
      <c r="I1503" s="31">
        <f t="shared" ca="1" si="187"/>
        <v>6.4</v>
      </c>
      <c r="Q1503" s="80"/>
      <c r="R1503" s="42"/>
      <c r="S1503" s="90">
        <f t="shared" si="184"/>
        <v>144.49999999999608</v>
      </c>
      <c r="T1503" s="42"/>
      <c r="U1503" s="42"/>
      <c r="V1503" s="42"/>
      <c r="W1503" s="42"/>
      <c r="X1503" s="81"/>
    </row>
    <row r="1504" spans="2:24" x14ac:dyDescent="0.25">
      <c r="B1504" s="2">
        <v>1</v>
      </c>
      <c r="C1504" s="1">
        <f t="shared" si="182"/>
        <v>34.235294117646959</v>
      </c>
      <c r="D1504" s="1">
        <f t="shared" si="180"/>
        <v>0</v>
      </c>
      <c r="E1504" s="1">
        <f t="shared" si="183"/>
        <v>1</v>
      </c>
      <c r="F1504" s="31">
        <f t="shared" si="181"/>
        <v>6.4</v>
      </c>
      <c r="G1504" s="31">
        <f t="shared" ca="1" si="185"/>
        <v>0</v>
      </c>
      <c r="H1504" s="30">
        <f t="shared" ca="1" si="186"/>
        <v>6.4</v>
      </c>
      <c r="I1504" s="31">
        <f t="shared" ca="1" si="187"/>
        <v>6.4</v>
      </c>
      <c r="Q1504" s="80"/>
      <c r="R1504" s="42"/>
      <c r="S1504" s="90">
        <f t="shared" si="184"/>
        <v>144.59999999999607</v>
      </c>
      <c r="T1504" s="42"/>
      <c r="U1504" s="42"/>
      <c r="V1504" s="42"/>
      <c r="W1504" s="42"/>
      <c r="X1504" s="81"/>
    </row>
    <row r="1505" spans="2:24" x14ac:dyDescent="0.25">
      <c r="B1505" s="2">
        <v>1</v>
      </c>
      <c r="C1505" s="1">
        <f t="shared" si="182"/>
        <v>35.235294117646959</v>
      </c>
      <c r="D1505" s="1">
        <f t="shared" si="180"/>
        <v>0</v>
      </c>
      <c r="E1505" s="1">
        <f t="shared" si="183"/>
        <v>1</v>
      </c>
      <c r="F1505" s="31">
        <f t="shared" si="181"/>
        <v>6.4</v>
      </c>
      <c r="G1505" s="31">
        <f t="shared" ca="1" si="185"/>
        <v>0</v>
      </c>
      <c r="H1505" s="30">
        <f t="shared" ca="1" si="186"/>
        <v>6.4</v>
      </c>
      <c r="I1505" s="31">
        <f t="shared" ca="1" si="187"/>
        <v>6.4</v>
      </c>
      <c r="Q1505" s="80"/>
      <c r="R1505" s="42"/>
      <c r="S1505" s="90">
        <f t="shared" si="184"/>
        <v>144.69999999999607</v>
      </c>
      <c r="T1505" s="42"/>
      <c r="U1505" s="42"/>
      <c r="V1505" s="42"/>
      <c r="W1505" s="42"/>
      <c r="X1505" s="81"/>
    </row>
    <row r="1506" spans="2:24" x14ac:dyDescent="0.25">
      <c r="B1506" s="2">
        <v>1</v>
      </c>
      <c r="C1506" s="1">
        <f t="shared" si="182"/>
        <v>0.94117647058813247</v>
      </c>
      <c r="D1506" s="1">
        <f t="shared" si="180"/>
        <v>1</v>
      </c>
      <c r="E1506" s="1">
        <f t="shared" si="183"/>
        <v>0</v>
      </c>
      <c r="F1506" s="31">
        <f t="shared" si="181"/>
        <v>14.6</v>
      </c>
      <c r="G1506" s="31">
        <f t="shared" ca="1" si="185"/>
        <v>6.4</v>
      </c>
      <c r="H1506" s="30">
        <f t="shared" ca="1" si="186"/>
        <v>0</v>
      </c>
      <c r="I1506" s="31">
        <f t="shared" ca="1" si="187"/>
        <v>6.4</v>
      </c>
      <c r="Q1506" s="80"/>
      <c r="R1506" s="42"/>
      <c r="S1506" s="90">
        <f t="shared" si="184"/>
        <v>144.79999999999606</v>
      </c>
      <c r="T1506" s="42"/>
      <c r="U1506" s="42"/>
      <c r="V1506" s="42"/>
      <c r="W1506" s="42"/>
      <c r="X1506" s="81"/>
    </row>
    <row r="1507" spans="2:24" x14ac:dyDescent="0.25">
      <c r="B1507" s="2">
        <v>1</v>
      </c>
      <c r="C1507" s="1">
        <f t="shared" si="182"/>
        <v>1.9411764705881325</v>
      </c>
      <c r="D1507" s="1">
        <f t="shared" si="180"/>
        <v>1</v>
      </c>
      <c r="E1507" s="1">
        <f t="shared" si="183"/>
        <v>0</v>
      </c>
      <c r="F1507" s="31">
        <f t="shared" si="181"/>
        <v>14.6</v>
      </c>
      <c r="G1507" s="31">
        <f t="shared" ca="1" si="185"/>
        <v>8.4500000000000011</v>
      </c>
      <c r="H1507" s="30">
        <f t="shared" ca="1" si="186"/>
        <v>0</v>
      </c>
      <c r="I1507" s="31">
        <f t="shared" ca="1" si="187"/>
        <v>8.4500000000000011</v>
      </c>
      <c r="Q1507" s="80"/>
      <c r="R1507" s="42"/>
      <c r="S1507" s="90">
        <f t="shared" si="184"/>
        <v>144.89999999999606</v>
      </c>
      <c r="T1507" s="42"/>
      <c r="U1507" s="42"/>
      <c r="V1507" s="42"/>
      <c r="W1507" s="42"/>
      <c r="X1507" s="81"/>
    </row>
    <row r="1508" spans="2:24" x14ac:dyDescent="0.25">
      <c r="B1508" s="2">
        <v>1</v>
      </c>
      <c r="C1508" s="1">
        <f t="shared" si="182"/>
        <v>2.9411764705881325</v>
      </c>
      <c r="D1508" s="1">
        <f t="shared" si="180"/>
        <v>1</v>
      </c>
      <c r="E1508" s="1">
        <f t="shared" si="183"/>
        <v>0</v>
      </c>
      <c r="F1508" s="31">
        <f t="shared" si="181"/>
        <v>14.6</v>
      </c>
      <c r="G1508" s="31">
        <f t="shared" ca="1" si="185"/>
        <v>10.5</v>
      </c>
      <c r="H1508" s="30">
        <f t="shared" ca="1" si="186"/>
        <v>0</v>
      </c>
      <c r="I1508" s="31">
        <f t="shared" ca="1" si="187"/>
        <v>10.5</v>
      </c>
      <c r="Q1508" s="80"/>
      <c r="R1508" s="42"/>
      <c r="S1508" s="90">
        <f t="shared" si="184"/>
        <v>144.99999999999605</v>
      </c>
      <c r="T1508" s="42"/>
      <c r="U1508" s="42"/>
      <c r="V1508" s="42"/>
      <c r="W1508" s="42"/>
      <c r="X1508" s="81"/>
    </row>
    <row r="1509" spans="2:24" x14ac:dyDescent="0.25">
      <c r="B1509" s="2">
        <v>1</v>
      </c>
      <c r="C1509" s="1">
        <f t="shared" si="182"/>
        <v>3.9411764705881325</v>
      </c>
      <c r="D1509" s="1">
        <f t="shared" si="180"/>
        <v>1</v>
      </c>
      <c r="E1509" s="1">
        <f t="shared" si="183"/>
        <v>0</v>
      </c>
      <c r="F1509" s="31">
        <f t="shared" si="181"/>
        <v>14.6</v>
      </c>
      <c r="G1509" s="31">
        <f t="shared" ca="1" si="185"/>
        <v>12.55</v>
      </c>
      <c r="H1509" s="30">
        <f t="shared" ca="1" si="186"/>
        <v>0</v>
      </c>
      <c r="I1509" s="31">
        <f t="shared" ca="1" si="187"/>
        <v>12.55</v>
      </c>
      <c r="Q1509" s="80"/>
      <c r="R1509" s="42"/>
      <c r="S1509" s="90">
        <f t="shared" si="184"/>
        <v>145.09999999999604</v>
      </c>
      <c r="T1509" s="42"/>
      <c r="U1509" s="42"/>
      <c r="V1509" s="42"/>
      <c r="W1509" s="42"/>
      <c r="X1509" s="81"/>
    </row>
    <row r="1510" spans="2:24" x14ac:dyDescent="0.25">
      <c r="B1510" s="2">
        <v>1</v>
      </c>
      <c r="C1510" s="1">
        <f t="shared" si="182"/>
        <v>4.9411764705881325</v>
      </c>
      <c r="D1510" s="1">
        <f t="shared" si="180"/>
        <v>1</v>
      </c>
      <c r="E1510" s="1">
        <f t="shared" si="183"/>
        <v>0</v>
      </c>
      <c r="F1510" s="31">
        <f t="shared" si="181"/>
        <v>14.6</v>
      </c>
      <c r="G1510" s="31">
        <f t="shared" ca="1" si="185"/>
        <v>14.6</v>
      </c>
      <c r="H1510" s="30">
        <f t="shared" ca="1" si="186"/>
        <v>0</v>
      </c>
      <c r="I1510" s="31">
        <f t="shared" ca="1" si="187"/>
        <v>14.6</v>
      </c>
      <c r="Q1510" s="80"/>
      <c r="R1510" s="42"/>
      <c r="S1510" s="90">
        <f t="shared" si="184"/>
        <v>145.19999999999604</v>
      </c>
      <c r="T1510" s="42"/>
      <c r="U1510" s="42"/>
      <c r="V1510" s="42"/>
      <c r="W1510" s="42"/>
      <c r="X1510" s="81"/>
    </row>
    <row r="1511" spans="2:24" x14ac:dyDescent="0.25">
      <c r="B1511" s="2">
        <v>1</v>
      </c>
      <c r="C1511" s="1">
        <f t="shared" si="182"/>
        <v>5.9411764705881325</v>
      </c>
      <c r="D1511" s="1">
        <f t="shared" si="180"/>
        <v>1</v>
      </c>
      <c r="E1511" s="1">
        <f t="shared" si="183"/>
        <v>0</v>
      </c>
      <c r="F1511" s="31">
        <f t="shared" si="181"/>
        <v>14.6</v>
      </c>
      <c r="G1511" s="31">
        <f t="shared" ca="1" si="185"/>
        <v>14.6</v>
      </c>
      <c r="H1511" s="30">
        <f t="shared" ca="1" si="186"/>
        <v>0</v>
      </c>
      <c r="I1511" s="31">
        <f t="shared" ca="1" si="187"/>
        <v>14.6</v>
      </c>
      <c r="Q1511" s="80"/>
      <c r="R1511" s="42"/>
      <c r="S1511" s="90">
        <f t="shared" si="184"/>
        <v>145.29999999999603</v>
      </c>
      <c r="T1511" s="42"/>
      <c r="U1511" s="42"/>
      <c r="V1511" s="42"/>
      <c r="W1511" s="42"/>
      <c r="X1511" s="81"/>
    </row>
    <row r="1512" spans="2:24" x14ac:dyDescent="0.25">
      <c r="B1512" s="2">
        <v>1</v>
      </c>
      <c r="C1512" s="1">
        <f t="shared" si="182"/>
        <v>6.9411764705881325</v>
      </c>
      <c r="D1512" s="1">
        <f t="shared" si="180"/>
        <v>1</v>
      </c>
      <c r="E1512" s="1">
        <f t="shared" si="183"/>
        <v>0</v>
      </c>
      <c r="F1512" s="31">
        <f t="shared" si="181"/>
        <v>14.6</v>
      </c>
      <c r="G1512" s="31">
        <f t="shared" ca="1" si="185"/>
        <v>14.6</v>
      </c>
      <c r="H1512" s="30">
        <f t="shared" ca="1" si="186"/>
        <v>0</v>
      </c>
      <c r="I1512" s="31">
        <f t="shared" ca="1" si="187"/>
        <v>14.6</v>
      </c>
      <c r="Q1512" s="80"/>
      <c r="R1512" s="42"/>
      <c r="S1512" s="90">
        <f t="shared" si="184"/>
        <v>145.39999999999603</v>
      </c>
      <c r="T1512" s="42"/>
      <c r="U1512" s="42"/>
      <c r="V1512" s="42"/>
      <c r="W1512" s="42"/>
      <c r="X1512" s="81"/>
    </row>
    <row r="1513" spans="2:24" x14ac:dyDescent="0.25">
      <c r="B1513" s="2">
        <v>1</v>
      </c>
      <c r="C1513" s="1">
        <f t="shared" si="182"/>
        <v>7.9411764705881325</v>
      </c>
      <c r="D1513" s="1">
        <f t="shared" si="180"/>
        <v>1</v>
      </c>
      <c r="E1513" s="1">
        <f t="shared" si="183"/>
        <v>0</v>
      </c>
      <c r="F1513" s="31">
        <f t="shared" si="181"/>
        <v>14.6</v>
      </c>
      <c r="G1513" s="31">
        <f t="shared" ca="1" si="185"/>
        <v>14.6</v>
      </c>
      <c r="H1513" s="30">
        <f t="shared" ca="1" si="186"/>
        <v>0</v>
      </c>
      <c r="I1513" s="31">
        <f t="shared" ca="1" si="187"/>
        <v>14.6</v>
      </c>
      <c r="Q1513" s="80"/>
      <c r="R1513" s="42"/>
      <c r="S1513" s="90">
        <f t="shared" si="184"/>
        <v>145.49999999999602</v>
      </c>
      <c r="T1513" s="42"/>
      <c r="U1513" s="42"/>
      <c r="V1513" s="42"/>
      <c r="W1513" s="42"/>
      <c r="X1513" s="81"/>
    </row>
    <row r="1514" spans="2:24" x14ac:dyDescent="0.25">
      <c r="B1514" s="2">
        <v>1</v>
      </c>
      <c r="C1514" s="1">
        <f t="shared" si="182"/>
        <v>8.9411764705881325</v>
      </c>
      <c r="D1514" s="1">
        <f t="shared" si="180"/>
        <v>1</v>
      </c>
      <c r="E1514" s="1">
        <f t="shared" si="183"/>
        <v>0</v>
      </c>
      <c r="F1514" s="31">
        <f t="shared" si="181"/>
        <v>14.6</v>
      </c>
      <c r="G1514" s="31">
        <f t="shared" ca="1" si="185"/>
        <v>14.6</v>
      </c>
      <c r="H1514" s="30">
        <f t="shared" ca="1" si="186"/>
        <v>0</v>
      </c>
      <c r="I1514" s="31">
        <f t="shared" ca="1" si="187"/>
        <v>14.6</v>
      </c>
      <c r="Q1514" s="80"/>
      <c r="R1514" s="42"/>
      <c r="S1514" s="90">
        <f t="shared" si="184"/>
        <v>145.59999999999602</v>
      </c>
      <c r="T1514" s="42"/>
      <c r="U1514" s="42"/>
      <c r="V1514" s="42"/>
      <c r="W1514" s="42"/>
      <c r="X1514" s="81"/>
    </row>
    <row r="1515" spans="2:24" x14ac:dyDescent="0.25">
      <c r="B1515" s="2">
        <v>1</v>
      </c>
      <c r="C1515" s="1">
        <f t="shared" si="182"/>
        <v>9.9411764705881325</v>
      </c>
      <c r="D1515" s="1">
        <f t="shared" si="180"/>
        <v>1</v>
      </c>
      <c r="E1515" s="1">
        <f t="shared" si="183"/>
        <v>0</v>
      </c>
      <c r="F1515" s="31">
        <f t="shared" si="181"/>
        <v>14.6</v>
      </c>
      <c r="G1515" s="31">
        <f t="shared" ca="1" si="185"/>
        <v>14.6</v>
      </c>
      <c r="H1515" s="30">
        <f t="shared" ca="1" si="186"/>
        <v>0</v>
      </c>
      <c r="I1515" s="31">
        <f t="shared" ca="1" si="187"/>
        <v>14.6</v>
      </c>
      <c r="Q1515" s="80"/>
      <c r="R1515" s="42"/>
      <c r="S1515" s="90">
        <f t="shared" si="184"/>
        <v>145.69999999999601</v>
      </c>
      <c r="T1515" s="42"/>
      <c r="U1515" s="42"/>
      <c r="V1515" s="42"/>
      <c r="W1515" s="42"/>
      <c r="X1515" s="81"/>
    </row>
    <row r="1516" spans="2:24" x14ac:dyDescent="0.25">
      <c r="B1516" s="2">
        <v>1</v>
      </c>
      <c r="C1516" s="1">
        <f t="shared" si="182"/>
        <v>10.941176470588132</v>
      </c>
      <c r="D1516" s="1">
        <f t="shared" si="180"/>
        <v>1</v>
      </c>
      <c r="E1516" s="1">
        <f t="shared" si="183"/>
        <v>0</v>
      </c>
      <c r="F1516" s="31">
        <f t="shared" si="181"/>
        <v>14.6</v>
      </c>
      <c r="G1516" s="31">
        <f t="shared" ca="1" si="185"/>
        <v>14.6</v>
      </c>
      <c r="H1516" s="30">
        <f t="shared" ca="1" si="186"/>
        <v>0</v>
      </c>
      <c r="I1516" s="31">
        <f t="shared" ca="1" si="187"/>
        <v>14.6</v>
      </c>
      <c r="Q1516" s="80"/>
      <c r="R1516" s="42"/>
      <c r="S1516" s="90">
        <f t="shared" si="184"/>
        <v>145.799999999996</v>
      </c>
      <c r="T1516" s="42"/>
      <c r="U1516" s="42"/>
      <c r="V1516" s="42"/>
      <c r="W1516" s="42"/>
      <c r="X1516" s="81"/>
    </row>
    <row r="1517" spans="2:24" x14ac:dyDescent="0.25">
      <c r="B1517" s="2">
        <v>1</v>
      </c>
      <c r="C1517" s="1">
        <f t="shared" si="182"/>
        <v>11.941176470588132</v>
      </c>
      <c r="D1517" s="1">
        <f t="shared" si="180"/>
        <v>1</v>
      </c>
      <c r="E1517" s="1">
        <f t="shared" si="183"/>
        <v>0</v>
      </c>
      <c r="F1517" s="31">
        <f t="shared" si="181"/>
        <v>14.6</v>
      </c>
      <c r="G1517" s="31">
        <f t="shared" ca="1" si="185"/>
        <v>14.6</v>
      </c>
      <c r="H1517" s="30">
        <f t="shared" ca="1" si="186"/>
        <v>0</v>
      </c>
      <c r="I1517" s="31">
        <f t="shared" ca="1" si="187"/>
        <v>14.6</v>
      </c>
      <c r="Q1517" s="80"/>
      <c r="R1517" s="42"/>
      <c r="S1517" s="90">
        <f t="shared" si="184"/>
        <v>145.899999999996</v>
      </c>
      <c r="T1517" s="42"/>
      <c r="U1517" s="42"/>
      <c r="V1517" s="42"/>
      <c r="W1517" s="42"/>
      <c r="X1517" s="81"/>
    </row>
    <row r="1518" spans="2:24" x14ac:dyDescent="0.25">
      <c r="B1518" s="2">
        <v>1</v>
      </c>
      <c r="C1518" s="1">
        <f t="shared" si="182"/>
        <v>12.941176470588132</v>
      </c>
      <c r="D1518" s="1">
        <f t="shared" si="180"/>
        <v>1</v>
      </c>
      <c r="E1518" s="1">
        <f t="shared" si="183"/>
        <v>0</v>
      </c>
      <c r="F1518" s="31">
        <f t="shared" si="181"/>
        <v>14.6</v>
      </c>
      <c r="G1518" s="31">
        <f t="shared" ca="1" si="185"/>
        <v>14.6</v>
      </c>
      <c r="H1518" s="30">
        <f t="shared" ca="1" si="186"/>
        <v>0</v>
      </c>
      <c r="I1518" s="31">
        <f t="shared" ca="1" si="187"/>
        <v>14.6</v>
      </c>
      <c r="Q1518" s="80"/>
      <c r="R1518" s="42"/>
      <c r="S1518" s="90">
        <f t="shared" si="184"/>
        <v>145.99999999999599</v>
      </c>
      <c r="T1518" s="42"/>
      <c r="U1518" s="42"/>
      <c r="V1518" s="42"/>
      <c r="W1518" s="42"/>
      <c r="X1518" s="81"/>
    </row>
    <row r="1519" spans="2:24" x14ac:dyDescent="0.25">
      <c r="B1519" s="2">
        <v>1</v>
      </c>
      <c r="C1519" s="1">
        <f t="shared" si="182"/>
        <v>13.941176470588132</v>
      </c>
      <c r="D1519" s="1">
        <f t="shared" si="180"/>
        <v>1</v>
      </c>
      <c r="E1519" s="1">
        <f t="shared" si="183"/>
        <v>0</v>
      </c>
      <c r="F1519" s="31">
        <f t="shared" si="181"/>
        <v>14.6</v>
      </c>
      <c r="G1519" s="31">
        <f t="shared" ca="1" si="185"/>
        <v>14.6</v>
      </c>
      <c r="H1519" s="30">
        <f t="shared" ca="1" si="186"/>
        <v>0</v>
      </c>
      <c r="I1519" s="31">
        <f t="shared" ca="1" si="187"/>
        <v>14.6</v>
      </c>
      <c r="Q1519" s="80"/>
      <c r="R1519" s="42"/>
      <c r="S1519" s="90">
        <f t="shared" si="184"/>
        <v>146.09999999999599</v>
      </c>
      <c r="T1519" s="42"/>
      <c r="U1519" s="42"/>
      <c r="V1519" s="42"/>
      <c r="W1519" s="42"/>
      <c r="X1519" s="81"/>
    </row>
    <row r="1520" spans="2:24" x14ac:dyDescent="0.25">
      <c r="B1520" s="2">
        <v>1</v>
      </c>
      <c r="C1520" s="1">
        <f t="shared" si="182"/>
        <v>14.941176470588132</v>
      </c>
      <c r="D1520" s="1">
        <f t="shared" si="180"/>
        <v>1</v>
      </c>
      <c r="E1520" s="1">
        <f t="shared" si="183"/>
        <v>0</v>
      </c>
      <c r="F1520" s="31">
        <f t="shared" si="181"/>
        <v>14.6</v>
      </c>
      <c r="G1520" s="31">
        <f t="shared" ca="1" si="185"/>
        <v>14.6</v>
      </c>
      <c r="H1520" s="30">
        <f t="shared" ca="1" si="186"/>
        <v>0</v>
      </c>
      <c r="I1520" s="31">
        <f t="shared" ca="1" si="187"/>
        <v>14.6</v>
      </c>
      <c r="Q1520" s="80"/>
      <c r="R1520" s="42"/>
      <c r="S1520" s="90">
        <f t="shared" si="184"/>
        <v>146.19999999999598</v>
      </c>
      <c r="T1520" s="42"/>
      <c r="U1520" s="42"/>
      <c r="V1520" s="42"/>
      <c r="W1520" s="42"/>
      <c r="X1520" s="81"/>
    </row>
    <row r="1521" spans="2:24" x14ac:dyDescent="0.25">
      <c r="B1521" s="2">
        <v>1</v>
      </c>
      <c r="C1521" s="1">
        <f t="shared" si="182"/>
        <v>15.941176470588132</v>
      </c>
      <c r="D1521" s="1">
        <f t="shared" si="180"/>
        <v>1</v>
      </c>
      <c r="E1521" s="1">
        <f t="shared" si="183"/>
        <v>0</v>
      </c>
      <c r="F1521" s="31">
        <f t="shared" si="181"/>
        <v>14.6</v>
      </c>
      <c r="G1521" s="31">
        <f t="shared" ca="1" si="185"/>
        <v>14.6</v>
      </c>
      <c r="H1521" s="30">
        <f t="shared" ca="1" si="186"/>
        <v>0</v>
      </c>
      <c r="I1521" s="31">
        <f t="shared" ca="1" si="187"/>
        <v>14.6</v>
      </c>
      <c r="Q1521" s="80"/>
      <c r="R1521" s="42"/>
      <c r="S1521" s="90">
        <f t="shared" si="184"/>
        <v>146.29999999999598</v>
      </c>
      <c r="T1521" s="42"/>
      <c r="U1521" s="42"/>
      <c r="V1521" s="42"/>
      <c r="W1521" s="42"/>
      <c r="X1521" s="81"/>
    </row>
    <row r="1522" spans="2:24" x14ac:dyDescent="0.25">
      <c r="B1522" s="2">
        <v>1</v>
      </c>
      <c r="C1522" s="1">
        <f t="shared" si="182"/>
        <v>16.941176470588132</v>
      </c>
      <c r="D1522" s="1">
        <f t="shared" si="180"/>
        <v>1</v>
      </c>
      <c r="E1522" s="1">
        <f t="shared" si="183"/>
        <v>0</v>
      </c>
      <c r="F1522" s="31">
        <f t="shared" si="181"/>
        <v>14.6</v>
      </c>
      <c r="G1522" s="31">
        <f t="shared" ca="1" si="185"/>
        <v>14.6</v>
      </c>
      <c r="H1522" s="30">
        <f t="shared" ca="1" si="186"/>
        <v>0</v>
      </c>
      <c r="I1522" s="31">
        <f t="shared" ca="1" si="187"/>
        <v>14.6</v>
      </c>
      <c r="Q1522" s="80"/>
      <c r="R1522" s="42"/>
      <c r="S1522" s="90">
        <f t="shared" si="184"/>
        <v>146.39999999999597</v>
      </c>
      <c r="T1522" s="42"/>
      <c r="U1522" s="42"/>
      <c r="V1522" s="42"/>
      <c r="W1522" s="42"/>
      <c r="X1522" s="81"/>
    </row>
    <row r="1523" spans="2:24" x14ac:dyDescent="0.25">
      <c r="B1523" s="2">
        <v>1</v>
      </c>
      <c r="C1523" s="1">
        <f t="shared" si="182"/>
        <v>17.941176470588132</v>
      </c>
      <c r="D1523" s="1">
        <f t="shared" si="180"/>
        <v>1</v>
      </c>
      <c r="E1523" s="1">
        <f t="shared" si="183"/>
        <v>0</v>
      </c>
      <c r="F1523" s="31">
        <f t="shared" si="181"/>
        <v>14.6</v>
      </c>
      <c r="G1523" s="31">
        <f t="shared" ca="1" si="185"/>
        <v>14.6</v>
      </c>
      <c r="H1523" s="30">
        <f t="shared" ca="1" si="186"/>
        <v>0</v>
      </c>
      <c r="I1523" s="31">
        <f t="shared" ca="1" si="187"/>
        <v>14.6</v>
      </c>
      <c r="Q1523" s="80"/>
      <c r="R1523" s="42"/>
      <c r="S1523" s="90">
        <f t="shared" si="184"/>
        <v>146.49999999999596</v>
      </c>
      <c r="T1523" s="42"/>
      <c r="U1523" s="42"/>
      <c r="V1523" s="42"/>
      <c r="W1523" s="42"/>
      <c r="X1523" s="81"/>
    </row>
    <row r="1524" spans="2:24" x14ac:dyDescent="0.25">
      <c r="B1524" s="2">
        <v>1</v>
      </c>
      <c r="C1524" s="1">
        <f t="shared" si="182"/>
        <v>18.941176470588132</v>
      </c>
      <c r="D1524" s="1">
        <f t="shared" si="180"/>
        <v>1</v>
      </c>
      <c r="E1524" s="1">
        <f t="shared" si="183"/>
        <v>0</v>
      </c>
      <c r="F1524" s="31">
        <f t="shared" si="181"/>
        <v>14.6</v>
      </c>
      <c r="G1524" s="31">
        <f t="shared" ca="1" si="185"/>
        <v>14.6</v>
      </c>
      <c r="H1524" s="30">
        <f t="shared" ca="1" si="186"/>
        <v>0</v>
      </c>
      <c r="I1524" s="31">
        <f t="shared" ca="1" si="187"/>
        <v>14.6</v>
      </c>
      <c r="Q1524" s="80"/>
      <c r="R1524" s="42"/>
      <c r="S1524" s="90">
        <f t="shared" si="184"/>
        <v>146.59999999999596</v>
      </c>
      <c r="T1524" s="42"/>
      <c r="U1524" s="42"/>
      <c r="V1524" s="42"/>
      <c r="W1524" s="42"/>
      <c r="X1524" s="81"/>
    </row>
    <row r="1525" spans="2:24" x14ac:dyDescent="0.25">
      <c r="B1525" s="2">
        <v>1</v>
      </c>
      <c r="C1525" s="1">
        <f t="shared" si="182"/>
        <v>19.941176470588132</v>
      </c>
      <c r="D1525" s="1">
        <f t="shared" si="180"/>
        <v>1</v>
      </c>
      <c r="E1525" s="1">
        <f t="shared" si="183"/>
        <v>0</v>
      </c>
      <c r="F1525" s="31">
        <f t="shared" si="181"/>
        <v>14.6</v>
      </c>
      <c r="G1525" s="31">
        <f t="shared" ca="1" si="185"/>
        <v>14.6</v>
      </c>
      <c r="H1525" s="30">
        <f t="shared" ca="1" si="186"/>
        <v>0</v>
      </c>
      <c r="I1525" s="31">
        <f t="shared" ca="1" si="187"/>
        <v>14.6</v>
      </c>
      <c r="Q1525" s="80"/>
      <c r="R1525" s="42"/>
      <c r="S1525" s="90">
        <f t="shared" si="184"/>
        <v>146.69999999999595</v>
      </c>
      <c r="T1525" s="42"/>
      <c r="U1525" s="42"/>
      <c r="V1525" s="42"/>
      <c r="W1525" s="42"/>
      <c r="X1525" s="81"/>
    </row>
    <row r="1526" spans="2:24" x14ac:dyDescent="0.25">
      <c r="B1526" s="2">
        <v>1</v>
      </c>
      <c r="C1526" s="1">
        <f t="shared" si="182"/>
        <v>20.941176470588132</v>
      </c>
      <c r="D1526" s="1">
        <f t="shared" si="180"/>
        <v>1</v>
      </c>
      <c r="E1526" s="1">
        <f t="shared" si="183"/>
        <v>0</v>
      </c>
      <c r="F1526" s="31">
        <f t="shared" si="181"/>
        <v>14.6</v>
      </c>
      <c r="G1526" s="31">
        <f t="shared" ca="1" si="185"/>
        <v>14.6</v>
      </c>
      <c r="H1526" s="30">
        <f t="shared" ca="1" si="186"/>
        <v>0</v>
      </c>
      <c r="I1526" s="31">
        <f t="shared" ca="1" si="187"/>
        <v>14.6</v>
      </c>
      <c r="Q1526" s="80"/>
      <c r="R1526" s="42"/>
      <c r="S1526" s="90">
        <f t="shared" si="184"/>
        <v>146.79999999999595</v>
      </c>
      <c r="T1526" s="42"/>
      <c r="U1526" s="42"/>
      <c r="V1526" s="42"/>
      <c r="W1526" s="42"/>
      <c r="X1526" s="81"/>
    </row>
    <row r="1527" spans="2:24" x14ac:dyDescent="0.25">
      <c r="B1527" s="2">
        <v>1</v>
      </c>
      <c r="C1527" s="1">
        <f t="shared" si="182"/>
        <v>21.941176470588132</v>
      </c>
      <c r="D1527" s="1">
        <f t="shared" si="180"/>
        <v>1</v>
      </c>
      <c r="E1527" s="1">
        <f t="shared" si="183"/>
        <v>0</v>
      </c>
      <c r="F1527" s="31">
        <f t="shared" si="181"/>
        <v>14.6</v>
      </c>
      <c r="G1527" s="31">
        <f t="shared" ca="1" si="185"/>
        <v>14.6</v>
      </c>
      <c r="H1527" s="30">
        <f t="shared" ca="1" si="186"/>
        <v>0</v>
      </c>
      <c r="I1527" s="31">
        <f t="shared" ca="1" si="187"/>
        <v>14.6</v>
      </c>
      <c r="Q1527" s="80"/>
      <c r="R1527" s="42"/>
      <c r="S1527" s="90">
        <f t="shared" si="184"/>
        <v>146.89999999999594</v>
      </c>
      <c r="T1527" s="42"/>
      <c r="U1527" s="42"/>
      <c r="V1527" s="42"/>
      <c r="W1527" s="42"/>
      <c r="X1527" s="81"/>
    </row>
    <row r="1528" spans="2:24" x14ac:dyDescent="0.25">
      <c r="B1528" s="2">
        <v>1</v>
      </c>
      <c r="C1528" s="1">
        <f t="shared" si="182"/>
        <v>22.941176470588132</v>
      </c>
      <c r="D1528" s="1">
        <f t="shared" si="180"/>
        <v>0</v>
      </c>
      <c r="E1528" s="1">
        <f t="shared" si="183"/>
        <v>1</v>
      </c>
      <c r="F1528" s="31">
        <f t="shared" si="181"/>
        <v>6.4</v>
      </c>
      <c r="G1528" s="31">
        <f t="shared" ca="1" si="185"/>
        <v>0</v>
      </c>
      <c r="H1528" s="30">
        <f t="shared" ca="1" si="186"/>
        <v>14.6</v>
      </c>
      <c r="I1528" s="31">
        <f t="shared" ca="1" si="187"/>
        <v>14.6</v>
      </c>
      <c r="Q1528" s="80"/>
      <c r="R1528" s="42"/>
      <c r="S1528" s="90">
        <f t="shared" si="184"/>
        <v>146.99999999999594</v>
      </c>
      <c r="T1528" s="42"/>
      <c r="U1528" s="42"/>
      <c r="V1528" s="42"/>
      <c r="W1528" s="42"/>
      <c r="X1528" s="81"/>
    </row>
    <row r="1529" spans="2:24" x14ac:dyDescent="0.25">
      <c r="B1529" s="2">
        <v>1</v>
      </c>
      <c r="C1529" s="1">
        <f t="shared" si="182"/>
        <v>23.941176470588132</v>
      </c>
      <c r="D1529" s="1">
        <f t="shared" si="180"/>
        <v>0</v>
      </c>
      <c r="E1529" s="1">
        <f t="shared" si="183"/>
        <v>1</v>
      </c>
      <c r="F1529" s="31">
        <f t="shared" si="181"/>
        <v>6.4</v>
      </c>
      <c r="G1529" s="31">
        <f t="shared" ca="1" si="185"/>
        <v>0</v>
      </c>
      <c r="H1529" s="30">
        <f t="shared" ca="1" si="186"/>
        <v>6.4</v>
      </c>
      <c r="I1529" s="31">
        <f t="shared" ca="1" si="187"/>
        <v>6.4</v>
      </c>
      <c r="Q1529" s="80"/>
      <c r="R1529" s="42"/>
      <c r="S1529" s="90">
        <f t="shared" si="184"/>
        <v>147.09999999999593</v>
      </c>
      <c r="T1529" s="42"/>
      <c r="U1529" s="42"/>
      <c r="V1529" s="42"/>
      <c r="W1529" s="42"/>
      <c r="X1529" s="81"/>
    </row>
    <row r="1530" spans="2:24" x14ac:dyDescent="0.25">
      <c r="B1530" s="2">
        <v>1</v>
      </c>
      <c r="C1530" s="1">
        <f t="shared" si="182"/>
        <v>24.941176470588132</v>
      </c>
      <c r="D1530" s="1">
        <f t="shared" ref="D1530:D1593" si="188">IF(C1530&lt;=Inhelation_Time_RT,1,0)</f>
        <v>0</v>
      </c>
      <c r="E1530" s="1">
        <f t="shared" si="183"/>
        <v>1</v>
      </c>
      <c r="F1530" s="31">
        <f t="shared" ref="F1530:F1593" si="189">(D1530*Inspiratory_pressure_level) + (E1530*PEEP)</f>
        <v>6.4</v>
      </c>
      <c r="G1530" s="31">
        <f t="shared" ca="1" si="185"/>
        <v>0</v>
      </c>
      <c r="H1530" s="30">
        <f t="shared" ca="1" si="186"/>
        <v>6.4</v>
      </c>
      <c r="I1530" s="31">
        <f t="shared" ca="1" si="187"/>
        <v>6.4</v>
      </c>
      <c r="Q1530" s="80"/>
      <c r="R1530" s="42"/>
      <c r="S1530" s="90">
        <f t="shared" si="184"/>
        <v>147.19999999999592</v>
      </c>
      <c r="T1530" s="42"/>
      <c r="U1530" s="42"/>
      <c r="V1530" s="42"/>
      <c r="W1530" s="42"/>
      <c r="X1530" s="81"/>
    </row>
    <row r="1531" spans="2:24" x14ac:dyDescent="0.25">
      <c r="B1531" s="2">
        <v>1</v>
      </c>
      <c r="C1531" s="1">
        <f t="shared" ref="C1531:C1594" si="190">MOD(C1530+B1531,time_for_breath_RT)</f>
        <v>25.941176470588132</v>
      </c>
      <c r="D1531" s="1">
        <f t="shared" si="188"/>
        <v>0</v>
      </c>
      <c r="E1531" s="1">
        <f t="shared" ref="E1531:E1594" si="191">IF(D1531=1,0,1)</f>
        <v>1</v>
      </c>
      <c r="F1531" s="31">
        <f t="shared" si="189"/>
        <v>6.4</v>
      </c>
      <c r="G1531" s="31">
        <f t="shared" ca="1" si="185"/>
        <v>0</v>
      </c>
      <c r="H1531" s="30">
        <f t="shared" ca="1" si="186"/>
        <v>6.4</v>
      </c>
      <c r="I1531" s="31">
        <f t="shared" ca="1" si="187"/>
        <v>6.4</v>
      </c>
      <c r="Q1531" s="80"/>
      <c r="R1531" s="42"/>
      <c r="S1531" s="90">
        <f t="shared" ref="S1531:S1594" si="192">S1530+(B1530 / RTC_to_seconds)</f>
        <v>147.29999999999592</v>
      </c>
      <c r="T1531" s="42"/>
      <c r="U1531" s="42"/>
      <c r="V1531" s="42"/>
      <c r="W1531" s="42"/>
      <c r="X1531" s="81"/>
    </row>
    <row r="1532" spans="2:24" x14ac:dyDescent="0.25">
      <c r="B1532" s="2">
        <v>1</v>
      </c>
      <c r="C1532" s="1">
        <f t="shared" si="190"/>
        <v>26.941176470588132</v>
      </c>
      <c r="D1532" s="1">
        <f t="shared" si="188"/>
        <v>0</v>
      </c>
      <c r="E1532" s="1">
        <f t="shared" si="191"/>
        <v>1</v>
      </c>
      <c r="F1532" s="31">
        <f t="shared" si="189"/>
        <v>6.4</v>
      </c>
      <c r="G1532" s="31">
        <f t="shared" ca="1" si="185"/>
        <v>0</v>
      </c>
      <c r="H1532" s="30">
        <f t="shared" ca="1" si="186"/>
        <v>6.4</v>
      </c>
      <c r="I1532" s="31">
        <f t="shared" ca="1" si="187"/>
        <v>6.4</v>
      </c>
      <c r="Q1532" s="80"/>
      <c r="R1532" s="42"/>
      <c r="S1532" s="90">
        <f t="shared" si="192"/>
        <v>147.39999999999591</v>
      </c>
      <c r="T1532" s="42"/>
      <c r="U1532" s="42"/>
      <c r="V1532" s="42"/>
      <c r="W1532" s="42"/>
      <c r="X1532" s="81"/>
    </row>
    <row r="1533" spans="2:24" x14ac:dyDescent="0.25">
      <c r="B1533" s="2">
        <v>1</v>
      </c>
      <c r="C1533" s="1">
        <f t="shared" si="190"/>
        <v>27.941176470588132</v>
      </c>
      <c r="D1533" s="1">
        <f t="shared" si="188"/>
        <v>0</v>
      </c>
      <c r="E1533" s="1">
        <f t="shared" si="191"/>
        <v>1</v>
      </c>
      <c r="F1533" s="31">
        <f t="shared" si="189"/>
        <v>6.4</v>
      </c>
      <c r="G1533" s="31">
        <f t="shared" ca="1" si="185"/>
        <v>0</v>
      </c>
      <c r="H1533" s="30">
        <f t="shared" ca="1" si="186"/>
        <v>6.4</v>
      </c>
      <c r="I1533" s="31">
        <f t="shared" ca="1" si="187"/>
        <v>6.4</v>
      </c>
      <c r="Q1533" s="80"/>
      <c r="R1533" s="42"/>
      <c r="S1533" s="90">
        <f t="shared" si="192"/>
        <v>147.49999999999591</v>
      </c>
      <c r="T1533" s="42"/>
      <c r="U1533" s="42"/>
      <c r="V1533" s="42"/>
      <c r="W1533" s="42"/>
      <c r="X1533" s="81"/>
    </row>
    <row r="1534" spans="2:24" x14ac:dyDescent="0.25">
      <c r="B1534" s="2">
        <v>1</v>
      </c>
      <c r="C1534" s="1">
        <f t="shared" si="190"/>
        <v>28.941176470588132</v>
      </c>
      <c r="D1534" s="1">
        <f t="shared" si="188"/>
        <v>0</v>
      </c>
      <c r="E1534" s="1">
        <f t="shared" si="191"/>
        <v>1</v>
      </c>
      <c r="F1534" s="31">
        <f t="shared" si="189"/>
        <v>6.4</v>
      </c>
      <c r="G1534" s="31">
        <f t="shared" ca="1" si="185"/>
        <v>0</v>
      </c>
      <c r="H1534" s="30">
        <f t="shared" ca="1" si="186"/>
        <v>6.4</v>
      </c>
      <c r="I1534" s="31">
        <f t="shared" ca="1" si="187"/>
        <v>6.4</v>
      </c>
      <c r="Q1534" s="80"/>
      <c r="R1534" s="42"/>
      <c r="S1534" s="90">
        <f t="shared" si="192"/>
        <v>147.5999999999959</v>
      </c>
      <c r="T1534" s="42"/>
      <c r="U1534" s="42"/>
      <c r="V1534" s="42"/>
      <c r="W1534" s="42"/>
      <c r="X1534" s="81"/>
    </row>
    <row r="1535" spans="2:24" x14ac:dyDescent="0.25">
      <c r="B1535" s="2">
        <v>1</v>
      </c>
      <c r="C1535" s="1">
        <f t="shared" si="190"/>
        <v>29.941176470588132</v>
      </c>
      <c r="D1535" s="1">
        <f t="shared" si="188"/>
        <v>0</v>
      </c>
      <c r="E1535" s="1">
        <f t="shared" si="191"/>
        <v>1</v>
      </c>
      <c r="F1535" s="31">
        <f t="shared" si="189"/>
        <v>6.4</v>
      </c>
      <c r="G1535" s="31">
        <f t="shared" ca="1" si="185"/>
        <v>0</v>
      </c>
      <c r="H1535" s="30">
        <f t="shared" ca="1" si="186"/>
        <v>6.4</v>
      </c>
      <c r="I1535" s="31">
        <f t="shared" ca="1" si="187"/>
        <v>6.4</v>
      </c>
      <c r="Q1535" s="80"/>
      <c r="R1535" s="42"/>
      <c r="S1535" s="90">
        <f t="shared" si="192"/>
        <v>147.6999999999959</v>
      </c>
      <c r="T1535" s="42"/>
      <c r="U1535" s="42"/>
      <c r="V1535" s="42"/>
      <c r="W1535" s="42"/>
      <c r="X1535" s="81"/>
    </row>
    <row r="1536" spans="2:24" x14ac:dyDescent="0.25">
      <c r="B1536" s="2">
        <v>1</v>
      </c>
      <c r="C1536" s="1">
        <f t="shared" si="190"/>
        <v>30.941176470588132</v>
      </c>
      <c r="D1536" s="1">
        <f t="shared" si="188"/>
        <v>0</v>
      </c>
      <c r="E1536" s="1">
        <f t="shared" si="191"/>
        <v>1</v>
      </c>
      <c r="F1536" s="31">
        <f t="shared" si="189"/>
        <v>6.4</v>
      </c>
      <c r="G1536" s="31">
        <f t="shared" ca="1" si="185"/>
        <v>0</v>
      </c>
      <c r="H1536" s="30">
        <f t="shared" ca="1" si="186"/>
        <v>6.4</v>
      </c>
      <c r="I1536" s="31">
        <f t="shared" ca="1" si="187"/>
        <v>6.4</v>
      </c>
      <c r="Q1536" s="80"/>
      <c r="R1536" s="42"/>
      <c r="S1536" s="90">
        <f t="shared" si="192"/>
        <v>147.79999999999589</v>
      </c>
      <c r="T1536" s="42"/>
      <c r="U1536" s="42"/>
      <c r="V1536" s="42"/>
      <c r="W1536" s="42"/>
      <c r="X1536" s="81"/>
    </row>
    <row r="1537" spans="2:24" x14ac:dyDescent="0.25">
      <c r="B1537" s="2">
        <v>1</v>
      </c>
      <c r="C1537" s="1">
        <f t="shared" si="190"/>
        <v>31.941176470588132</v>
      </c>
      <c r="D1537" s="1">
        <f t="shared" si="188"/>
        <v>0</v>
      </c>
      <c r="E1537" s="1">
        <f t="shared" si="191"/>
        <v>1</v>
      </c>
      <c r="F1537" s="31">
        <f t="shared" si="189"/>
        <v>6.4</v>
      </c>
      <c r="G1537" s="31">
        <f t="shared" ca="1" si="185"/>
        <v>0</v>
      </c>
      <c r="H1537" s="30">
        <f t="shared" ca="1" si="186"/>
        <v>6.4</v>
      </c>
      <c r="I1537" s="31">
        <f t="shared" ca="1" si="187"/>
        <v>6.4</v>
      </c>
      <c r="Q1537" s="80"/>
      <c r="R1537" s="42"/>
      <c r="S1537" s="90">
        <f t="shared" si="192"/>
        <v>147.89999999999588</v>
      </c>
      <c r="T1537" s="42"/>
      <c r="U1537" s="42"/>
      <c r="V1537" s="42"/>
      <c r="W1537" s="42"/>
      <c r="X1537" s="81"/>
    </row>
    <row r="1538" spans="2:24" x14ac:dyDescent="0.25">
      <c r="B1538" s="2">
        <v>1</v>
      </c>
      <c r="C1538" s="1">
        <f t="shared" si="190"/>
        <v>32.941176470588132</v>
      </c>
      <c r="D1538" s="1">
        <f t="shared" si="188"/>
        <v>0</v>
      </c>
      <c r="E1538" s="1">
        <f t="shared" si="191"/>
        <v>1</v>
      </c>
      <c r="F1538" s="31">
        <f t="shared" si="189"/>
        <v>6.4</v>
      </c>
      <c r="G1538" s="31">
        <f t="shared" ca="1" si="185"/>
        <v>0</v>
      </c>
      <c r="H1538" s="30">
        <f t="shared" ca="1" si="186"/>
        <v>6.4</v>
      </c>
      <c r="I1538" s="31">
        <f t="shared" ca="1" si="187"/>
        <v>6.4</v>
      </c>
      <c r="Q1538" s="80"/>
      <c r="R1538" s="42"/>
      <c r="S1538" s="90">
        <f t="shared" si="192"/>
        <v>147.99999999999588</v>
      </c>
      <c r="T1538" s="42"/>
      <c r="U1538" s="42"/>
      <c r="V1538" s="42"/>
      <c r="W1538" s="42"/>
      <c r="X1538" s="81"/>
    </row>
    <row r="1539" spans="2:24" x14ac:dyDescent="0.25">
      <c r="B1539" s="2">
        <v>1</v>
      </c>
      <c r="C1539" s="1">
        <f t="shared" si="190"/>
        <v>33.941176470588132</v>
      </c>
      <c r="D1539" s="1">
        <f t="shared" si="188"/>
        <v>0</v>
      </c>
      <c r="E1539" s="1">
        <f t="shared" si="191"/>
        <v>1</v>
      </c>
      <c r="F1539" s="31">
        <f t="shared" si="189"/>
        <v>6.4</v>
      </c>
      <c r="G1539" s="31">
        <f t="shared" ca="1" si="185"/>
        <v>0</v>
      </c>
      <c r="H1539" s="30">
        <f t="shared" ca="1" si="186"/>
        <v>6.4</v>
      </c>
      <c r="I1539" s="31">
        <f t="shared" ca="1" si="187"/>
        <v>6.4</v>
      </c>
      <c r="Q1539" s="80"/>
      <c r="R1539" s="42"/>
      <c r="S1539" s="90">
        <f t="shared" si="192"/>
        <v>148.09999999999587</v>
      </c>
      <c r="T1539" s="42"/>
      <c r="U1539" s="42"/>
      <c r="V1539" s="42"/>
      <c r="W1539" s="42"/>
      <c r="X1539" s="81"/>
    </row>
    <row r="1540" spans="2:24" x14ac:dyDescent="0.25">
      <c r="B1540" s="2">
        <v>1</v>
      </c>
      <c r="C1540" s="1">
        <f t="shared" si="190"/>
        <v>34.941176470588132</v>
      </c>
      <c r="D1540" s="1">
        <f t="shared" si="188"/>
        <v>0</v>
      </c>
      <c r="E1540" s="1">
        <f t="shared" si="191"/>
        <v>1</v>
      </c>
      <c r="F1540" s="31">
        <f t="shared" si="189"/>
        <v>6.4</v>
      </c>
      <c r="G1540" s="31">
        <f t="shared" ca="1" si="185"/>
        <v>0</v>
      </c>
      <c r="H1540" s="30">
        <f t="shared" ca="1" si="186"/>
        <v>6.4</v>
      </c>
      <c r="I1540" s="31">
        <f t="shared" ca="1" si="187"/>
        <v>6.4</v>
      </c>
      <c r="Q1540" s="80"/>
      <c r="R1540" s="42"/>
      <c r="S1540" s="90">
        <f t="shared" si="192"/>
        <v>148.19999999999587</v>
      </c>
      <c r="T1540" s="42"/>
      <c r="U1540" s="42"/>
      <c r="V1540" s="42"/>
      <c r="W1540" s="42"/>
      <c r="X1540" s="81"/>
    </row>
    <row r="1541" spans="2:24" x14ac:dyDescent="0.25">
      <c r="B1541" s="2">
        <v>1</v>
      </c>
      <c r="C1541" s="1">
        <f t="shared" si="190"/>
        <v>0.64705882352930644</v>
      </c>
      <c r="D1541" s="1">
        <f t="shared" si="188"/>
        <v>1</v>
      </c>
      <c r="E1541" s="1">
        <f t="shared" si="191"/>
        <v>0</v>
      </c>
      <c r="F1541" s="31">
        <f t="shared" si="189"/>
        <v>14.6</v>
      </c>
      <c r="G1541" s="31">
        <f t="shared" ca="1" si="185"/>
        <v>6.4</v>
      </c>
      <c r="H1541" s="30">
        <f t="shared" ca="1" si="186"/>
        <v>0</v>
      </c>
      <c r="I1541" s="31">
        <f t="shared" ca="1" si="187"/>
        <v>6.4</v>
      </c>
      <c r="Q1541" s="80"/>
      <c r="R1541" s="42"/>
      <c r="S1541" s="90">
        <f t="shared" si="192"/>
        <v>148.29999999999586</v>
      </c>
      <c r="T1541" s="42"/>
      <c r="U1541" s="42"/>
      <c r="V1541" s="42"/>
      <c r="W1541" s="42"/>
      <c r="X1541" s="81"/>
    </row>
    <row r="1542" spans="2:24" x14ac:dyDescent="0.25">
      <c r="B1542" s="2">
        <v>1</v>
      </c>
      <c r="C1542" s="1">
        <f t="shared" si="190"/>
        <v>1.6470588235293064</v>
      </c>
      <c r="D1542" s="1">
        <f t="shared" si="188"/>
        <v>1</v>
      </c>
      <c r="E1542" s="1">
        <f t="shared" si="191"/>
        <v>0</v>
      </c>
      <c r="F1542" s="31">
        <f t="shared" si="189"/>
        <v>14.6</v>
      </c>
      <c r="G1542" s="31">
        <f t="shared" ca="1" si="185"/>
        <v>8.4500000000000011</v>
      </c>
      <c r="H1542" s="30">
        <f t="shared" ca="1" si="186"/>
        <v>0</v>
      </c>
      <c r="I1542" s="31">
        <f t="shared" ca="1" si="187"/>
        <v>8.4500000000000011</v>
      </c>
      <c r="Q1542" s="80"/>
      <c r="R1542" s="42"/>
      <c r="S1542" s="90">
        <f t="shared" si="192"/>
        <v>148.39999999999586</v>
      </c>
      <c r="T1542" s="42"/>
      <c r="U1542" s="42"/>
      <c r="V1542" s="42"/>
      <c r="W1542" s="42"/>
      <c r="X1542" s="81"/>
    </row>
    <row r="1543" spans="2:24" x14ac:dyDescent="0.25">
      <c r="B1543" s="2">
        <v>1</v>
      </c>
      <c r="C1543" s="1">
        <f t="shared" si="190"/>
        <v>2.6470588235293064</v>
      </c>
      <c r="D1543" s="1">
        <f t="shared" si="188"/>
        <v>1</v>
      </c>
      <c r="E1543" s="1">
        <f t="shared" si="191"/>
        <v>0</v>
      </c>
      <c r="F1543" s="31">
        <f t="shared" si="189"/>
        <v>14.6</v>
      </c>
      <c r="G1543" s="31">
        <f t="shared" ca="1" si="185"/>
        <v>10.5</v>
      </c>
      <c r="H1543" s="30">
        <f t="shared" ca="1" si="186"/>
        <v>0</v>
      </c>
      <c r="I1543" s="31">
        <f t="shared" ca="1" si="187"/>
        <v>10.5</v>
      </c>
      <c r="Q1543" s="80"/>
      <c r="R1543" s="42"/>
      <c r="S1543" s="90">
        <f t="shared" si="192"/>
        <v>148.49999999999585</v>
      </c>
      <c r="T1543" s="42"/>
      <c r="U1543" s="42"/>
      <c r="V1543" s="42"/>
      <c r="W1543" s="42"/>
      <c r="X1543" s="81"/>
    </row>
    <row r="1544" spans="2:24" x14ac:dyDescent="0.25">
      <c r="B1544" s="2">
        <v>1</v>
      </c>
      <c r="C1544" s="1">
        <f t="shared" si="190"/>
        <v>3.6470588235293064</v>
      </c>
      <c r="D1544" s="1">
        <f t="shared" si="188"/>
        <v>1</v>
      </c>
      <c r="E1544" s="1">
        <f t="shared" si="191"/>
        <v>0</v>
      </c>
      <c r="F1544" s="31">
        <f t="shared" si="189"/>
        <v>14.6</v>
      </c>
      <c r="G1544" s="31">
        <f t="shared" ca="1" si="185"/>
        <v>12.55</v>
      </c>
      <c r="H1544" s="30">
        <f t="shared" ca="1" si="186"/>
        <v>0</v>
      </c>
      <c r="I1544" s="31">
        <f t="shared" ca="1" si="187"/>
        <v>12.55</v>
      </c>
      <c r="Q1544" s="80"/>
      <c r="R1544" s="42"/>
      <c r="S1544" s="90">
        <f t="shared" si="192"/>
        <v>148.59999999999584</v>
      </c>
      <c r="T1544" s="42"/>
      <c r="U1544" s="42"/>
      <c r="V1544" s="42"/>
      <c r="W1544" s="42"/>
      <c r="X1544" s="81"/>
    </row>
    <row r="1545" spans="2:24" x14ac:dyDescent="0.25">
      <c r="B1545" s="2">
        <v>1</v>
      </c>
      <c r="C1545" s="1">
        <f t="shared" si="190"/>
        <v>4.6470588235293064</v>
      </c>
      <c r="D1545" s="1">
        <f t="shared" si="188"/>
        <v>1</v>
      </c>
      <c r="E1545" s="1">
        <f t="shared" si="191"/>
        <v>0</v>
      </c>
      <c r="F1545" s="31">
        <f t="shared" si="189"/>
        <v>14.6</v>
      </c>
      <c r="G1545" s="31">
        <f t="shared" ca="1" si="185"/>
        <v>14.6</v>
      </c>
      <c r="H1545" s="30">
        <f t="shared" ca="1" si="186"/>
        <v>0</v>
      </c>
      <c r="I1545" s="31">
        <f t="shared" ca="1" si="187"/>
        <v>14.6</v>
      </c>
      <c r="Q1545" s="80"/>
      <c r="R1545" s="42"/>
      <c r="S1545" s="90">
        <f t="shared" si="192"/>
        <v>148.69999999999584</v>
      </c>
      <c r="T1545" s="42"/>
      <c r="U1545" s="42"/>
      <c r="V1545" s="42"/>
      <c r="W1545" s="42"/>
      <c r="X1545" s="81"/>
    </row>
    <row r="1546" spans="2:24" x14ac:dyDescent="0.25">
      <c r="B1546" s="2">
        <v>1</v>
      </c>
      <c r="C1546" s="1">
        <f t="shared" si="190"/>
        <v>5.6470588235293064</v>
      </c>
      <c r="D1546" s="1">
        <f t="shared" si="188"/>
        <v>1</v>
      </c>
      <c r="E1546" s="1">
        <f t="shared" si="191"/>
        <v>0</v>
      </c>
      <c r="F1546" s="31">
        <f t="shared" si="189"/>
        <v>14.6</v>
      </c>
      <c r="G1546" s="31">
        <f t="shared" ca="1" si="185"/>
        <v>14.6</v>
      </c>
      <c r="H1546" s="30">
        <f t="shared" ca="1" si="186"/>
        <v>0</v>
      </c>
      <c r="I1546" s="31">
        <f t="shared" ca="1" si="187"/>
        <v>14.6</v>
      </c>
      <c r="Q1546" s="80"/>
      <c r="R1546" s="42"/>
      <c r="S1546" s="90">
        <f t="shared" si="192"/>
        <v>148.79999999999583</v>
      </c>
      <c r="T1546" s="42"/>
      <c r="U1546" s="42"/>
      <c r="V1546" s="42"/>
      <c r="W1546" s="42"/>
      <c r="X1546" s="81"/>
    </row>
    <row r="1547" spans="2:24" x14ac:dyDescent="0.25">
      <c r="B1547" s="2">
        <v>1</v>
      </c>
      <c r="C1547" s="1">
        <f t="shared" si="190"/>
        <v>6.6470588235293064</v>
      </c>
      <c r="D1547" s="1">
        <f t="shared" si="188"/>
        <v>1</v>
      </c>
      <c r="E1547" s="1">
        <f t="shared" si="191"/>
        <v>0</v>
      </c>
      <c r="F1547" s="31">
        <f t="shared" si="189"/>
        <v>14.6</v>
      </c>
      <c r="G1547" s="31">
        <f t="shared" ref="G1547:G1610" ca="1" si="193">IF(D1547=1, AVERAGE(OFFSET(F1547,-$L$27,0,$L$27,1)),0)</f>
        <v>14.6</v>
      </c>
      <c r="H1547" s="30">
        <f t="shared" ref="H1547:H1610" ca="1" si="194">IF(D1547=0, AVERAGE(OFFSET(F1547,-$L$28,0,$L$28,1)),0)</f>
        <v>0</v>
      </c>
      <c r="I1547" s="31">
        <f t="shared" ref="I1547:I1610" ca="1" si="195">G1547+H1547</f>
        <v>14.6</v>
      </c>
      <c r="Q1547" s="80"/>
      <c r="R1547" s="42"/>
      <c r="S1547" s="90">
        <f t="shared" si="192"/>
        <v>148.89999999999583</v>
      </c>
      <c r="T1547" s="42"/>
      <c r="U1547" s="42"/>
      <c r="V1547" s="42"/>
      <c r="W1547" s="42"/>
      <c r="X1547" s="81"/>
    </row>
    <row r="1548" spans="2:24" x14ac:dyDescent="0.25">
      <c r="B1548" s="2">
        <v>1</v>
      </c>
      <c r="C1548" s="1">
        <f t="shared" si="190"/>
        <v>7.6470588235293064</v>
      </c>
      <c r="D1548" s="1">
        <f t="shared" si="188"/>
        <v>1</v>
      </c>
      <c r="E1548" s="1">
        <f t="shared" si="191"/>
        <v>0</v>
      </c>
      <c r="F1548" s="31">
        <f t="shared" si="189"/>
        <v>14.6</v>
      </c>
      <c r="G1548" s="31">
        <f t="shared" ca="1" si="193"/>
        <v>14.6</v>
      </c>
      <c r="H1548" s="30">
        <f t="shared" ca="1" si="194"/>
        <v>0</v>
      </c>
      <c r="I1548" s="31">
        <f t="shared" ca="1" si="195"/>
        <v>14.6</v>
      </c>
      <c r="Q1548" s="80"/>
      <c r="R1548" s="42"/>
      <c r="S1548" s="90">
        <f t="shared" si="192"/>
        <v>148.99999999999582</v>
      </c>
      <c r="T1548" s="42"/>
      <c r="U1548" s="42"/>
      <c r="V1548" s="42"/>
      <c r="W1548" s="42"/>
      <c r="X1548" s="81"/>
    </row>
    <row r="1549" spans="2:24" x14ac:dyDescent="0.25">
      <c r="B1549" s="2">
        <v>1</v>
      </c>
      <c r="C1549" s="1">
        <f t="shared" si="190"/>
        <v>8.6470588235293064</v>
      </c>
      <c r="D1549" s="1">
        <f t="shared" si="188"/>
        <v>1</v>
      </c>
      <c r="E1549" s="1">
        <f t="shared" si="191"/>
        <v>0</v>
      </c>
      <c r="F1549" s="31">
        <f t="shared" si="189"/>
        <v>14.6</v>
      </c>
      <c r="G1549" s="31">
        <f t="shared" ca="1" si="193"/>
        <v>14.6</v>
      </c>
      <c r="H1549" s="30">
        <f t="shared" ca="1" si="194"/>
        <v>0</v>
      </c>
      <c r="I1549" s="31">
        <f t="shared" ca="1" si="195"/>
        <v>14.6</v>
      </c>
      <c r="Q1549" s="80"/>
      <c r="R1549" s="42"/>
      <c r="S1549" s="90">
        <f t="shared" si="192"/>
        <v>149.09999999999582</v>
      </c>
      <c r="T1549" s="42"/>
      <c r="U1549" s="42"/>
      <c r="V1549" s="42"/>
      <c r="W1549" s="42"/>
      <c r="X1549" s="81"/>
    </row>
    <row r="1550" spans="2:24" x14ac:dyDescent="0.25">
      <c r="B1550" s="2">
        <v>1</v>
      </c>
      <c r="C1550" s="1">
        <f t="shared" si="190"/>
        <v>9.6470588235293064</v>
      </c>
      <c r="D1550" s="1">
        <f t="shared" si="188"/>
        <v>1</v>
      </c>
      <c r="E1550" s="1">
        <f t="shared" si="191"/>
        <v>0</v>
      </c>
      <c r="F1550" s="31">
        <f t="shared" si="189"/>
        <v>14.6</v>
      </c>
      <c r="G1550" s="31">
        <f t="shared" ca="1" si="193"/>
        <v>14.6</v>
      </c>
      <c r="H1550" s="30">
        <f t="shared" ca="1" si="194"/>
        <v>0</v>
      </c>
      <c r="I1550" s="31">
        <f t="shared" ca="1" si="195"/>
        <v>14.6</v>
      </c>
      <c r="Q1550" s="80"/>
      <c r="R1550" s="42"/>
      <c r="S1550" s="90">
        <f t="shared" si="192"/>
        <v>149.19999999999581</v>
      </c>
      <c r="T1550" s="42"/>
      <c r="U1550" s="42"/>
      <c r="V1550" s="42"/>
      <c r="W1550" s="42"/>
      <c r="X1550" s="81"/>
    </row>
    <row r="1551" spans="2:24" x14ac:dyDescent="0.25">
      <c r="B1551" s="2">
        <v>1</v>
      </c>
      <c r="C1551" s="1">
        <f t="shared" si="190"/>
        <v>10.647058823529306</v>
      </c>
      <c r="D1551" s="1">
        <f t="shared" si="188"/>
        <v>1</v>
      </c>
      <c r="E1551" s="1">
        <f t="shared" si="191"/>
        <v>0</v>
      </c>
      <c r="F1551" s="31">
        <f t="shared" si="189"/>
        <v>14.6</v>
      </c>
      <c r="G1551" s="31">
        <f t="shared" ca="1" si="193"/>
        <v>14.6</v>
      </c>
      <c r="H1551" s="30">
        <f t="shared" ca="1" si="194"/>
        <v>0</v>
      </c>
      <c r="I1551" s="31">
        <f t="shared" ca="1" si="195"/>
        <v>14.6</v>
      </c>
      <c r="Q1551" s="80"/>
      <c r="R1551" s="42"/>
      <c r="S1551" s="90">
        <f t="shared" si="192"/>
        <v>149.2999999999958</v>
      </c>
      <c r="T1551" s="42"/>
      <c r="U1551" s="42"/>
      <c r="V1551" s="42"/>
      <c r="W1551" s="42"/>
      <c r="X1551" s="81"/>
    </row>
    <row r="1552" spans="2:24" x14ac:dyDescent="0.25">
      <c r="B1552" s="2">
        <v>1</v>
      </c>
      <c r="C1552" s="1">
        <f t="shared" si="190"/>
        <v>11.647058823529306</v>
      </c>
      <c r="D1552" s="1">
        <f t="shared" si="188"/>
        <v>1</v>
      </c>
      <c r="E1552" s="1">
        <f t="shared" si="191"/>
        <v>0</v>
      </c>
      <c r="F1552" s="31">
        <f t="shared" si="189"/>
        <v>14.6</v>
      </c>
      <c r="G1552" s="31">
        <f t="shared" ca="1" si="193"/>
        <v>14.6</v>
      </c>
      <c r="H1552" s="30">
        <f t="shared" ca="1" si="194"/>
        <v>0</v>
      </c>
      <c r="I1552" s="31">
        <f t="shared" ca="1" si="195"/>
        <v>14.6</v>
      </c>
      <c r="Q1552" s="80"/>
      <c r="R1552" s="42"/>
      <c r="S1552" s="90">
        <f t="shared" si="192"/>
        <v>149.3999999999958</v>
      </c>
      <c r="T1552" s="42"/>
      <c r="U1552" s="42"/>
      <c r="V1552" s="42"/>
      <c r="W1552" s="42"/>
      <c r="X1552" s="81"/>
    </row>
    <row r="1553" spans="2:24" x14ac:dyDescent="0.25">
      <c r="B1553" s="2">
        <v>1</v>
      </c>
      <c r="C1553" s="1">
        <f t="shared" si="190"/>
        <v>12.647058823529306</v>
      </c>
      <c r="D1553" s="1">
        <f t="shared" si="188"/>
        <v>1</v>
      </c>
      <c r="E1553" s="1">
        <f t="shared" si="191"/>
        <v>0</v>
      </c>
      <c r="F1553" s="31">
        <f t="shared" si="189"/>
        <v>14.6</v>
      </c>
      <c r="G1553" s="31">
        <f t="shared" ca="1" si="193"/>
        <v>14.6</v>
      </c>
      <c r="H1553" s="30">
        <f t="shared" ca="1" si="194"/>
        <v>0</v>
      </c>
      <c r="I1553" s="31">
        <f t="shared" ca="1" si="195"/>
        <v>14.6</v>
      </c>
      <c r="Q1553" s="80"/>
      <c r="R1553" s="42"/>
      <c r="S1553" s="90">
        <f t="shared" si="192"/>
        <v>149.49999999999579</v>
      </c>
      <c r="T1553" s="42"/>
      <c r="U1553" s="42"/>
      <c r="V1553" s="42"/>
      <c r="W1553" s="42"/>
      <c r="X1553" s="81"/>
    </row>
    <row r="1554" spans="2:24" x14ac:dyDescent="0.25">
      <c r="B1554" s="2">
        <v>1</v>
      </c>
      <c r="C1554" s="1">
        <f t="shared" si="190"/>
        <v>13.647058823529306</v>
      </c>
      <c r="D1554" s="1">
        <f t="shared" si="188"/>
        <v>1</v>
      </c>
      <c r="E1554" s="1">
        <f t="shared" si="191"/>
        <v>0</v>
      </c>
      <c r="F1554" s="31">
        <f t="shared" si="189"/>
        <v>14.6</v>
      </c>
      <c r="G1554" s="31">
        <f t="shared" ca="1" si="193"/>
        <v>14.6</v>
      </c>
      <c r="H1554" s="30">
        <f t="shared" ca="1" si="194"/>
        <v>0</v>
      </c>
      <c r="I1554" s="31">
        <f t="shared" ca="1" si="195"/>
        <v>14.6</v>
      </c>
      <c r="Q1554" s="80"/>
      <c r="R1554" s="42"/>
      <c r="S1554" s="90">
        <f t="shared" si="192"/>
        <v>149.59999999999579</v>
      </c>
      <c r="T1554" s="42"/>
      <c r="U1554" s="42"/>
      <c r="V1554" s="42"/>
      <c r="W1554" s="42"/>
      <c r="X1554" s="81"/>
    </row>
    <row r="1555" spans="2:24" x14ac:dyDescent="0.25">
      <c r="B1555" s="2">
        <v>1</v>
      </c>
      <c r="C1555" s="1">
        <f t="shared" si="190"/>
        <v>14.647058823529306</v>
      </c>
      <c r="D1555" s="1">
        <f t="shared" si="188"/>
        <v>1</v>
      </c>
      <c r="E1555" s="1">
        <f t="shared" si="191"/>
        <v>0</v>
      </c>
      <c r="F1555" s="31">
        <f t="shared" si="189"/>
        <v>14.6</v>
      </c>
      <c r="G1555" s="31">
        <f t="shared" ca="1" si="193"/>
        <v>14.6</v>
      </c>
      <c r="H1555" s="30">
        <f t="shared" ca="1" si="194"/>
        <v>0</v>
      </c>
      <c r="I1555" s="31">
        <f t="shared" ca="1" si="195"/>
        <v>14.6</v>
      </c>
      <c r="Q1555" s="80"/>
      <c r="R1555" s="42"/>
      <c r="S1555" s="90">
        <f t="shared" si="192"/>
        <v>149.69999999999578</v>
      </c>
      <c r="T1555" s="42"/>
      <c r="U1555" s="42"/>
      <c r="V1555" s="42"/>
      <c r="W1555" s="42"/>
      <c r="X1555" s="81"/>
    </row>
    <row r="1556" spans="2:24" x14ac:dyDescent="0.25">
      <c r="B1556" s="2">
        <v>1</v>
      </c>
      <c r="C1556" s="1">
        <f t="shared" si="190"/>
        <v>15.647058823529306</v>
      </c>
      <c r="D1556" s="1">
        <f t="shared" si="188"/>
        <v>1</v>
      </c>
      <c r="E1556" s="1">
        <f t="shared" si="191"/>
        <v>0</v>
      </c>
      <c r="F1556" s="31">
        <f t="shared" si="189"/>
        <v>14.6</v>
      </c>
      <c r="G1556" s="31">
        <f t="shared" ca="1" si="193"/>
        <v>14.6</v>
      </c>
      <c r="H1556" s="30">
        <f t="shared" ca="1" si="194"/>
        <v>0</v>
      </c>
      <c r="I1556" s="31">
        <f t="shared" ca="1" si="195"/>
        <v>14.6</v>
      </c>
      <c r="Q1556" s="80"/>
      <c r="R1556" s="42"/>
      <c r="S1556" s="90">
        <f t="shared" si="192"/>
        <v>149.79999999999578</v>
      </c>
      <c r="T1556" s="42"/>
      <c r="U1556" s="42"/>
      <c r="V1556" s="42"/>
      <c r="W1556" s="42"/>
      <c r="X1556" s="81"/>
    </row>
    <row r="1557" spans="2:24" x14ac:dyDescent="0.25">
      <c r="B1557" s="2">
        <v>1</v>
      </c>
      <c r="C1557" s="1">
        <f t="shared" si="190"/>
        <v>16.647058823529306</v>
      </c>
      <c r="D1557" s="1">
        <f t="shared" si="188"/>
        <v>1</v>
      </c>
      <c r="E1557" s="1">
        <f t="shared" si="191"/>
        <v>0</v>
      </c>
      <c r="F1557" s="31">
        <f t="shared" si="189"/>
        <v>14.6</v>
      </c>
      <c r="G1557" s="31">
        <f t="shared" ca="1" si="193"/>
        <v>14.6</v>
      </c>
      <c r="H1557" s="30">
        <f t="shared" ca="1" si="194"/>
        <v>0</v>
      </c>
      <c r="I1557" s="31">
        <f t="shared" ca="1" si="195"/>
        <v>14.6</v>
      </c>
      <c r="Q1557" s="80"/>
      <c r="R1557" s="42"/>
      <c r="S1557" s="90">
        <f t="shared" si="192"/>
        <v>149.89999999999577</v>
      </c>
      <c r="T1557" s="42"/>
      <c r="U1557" s="42"/>
      <c r="V1557" s="42"/>
      <c r="W1557" s="42"/>
      <c r="X1557" s="81"/>
    </row>
    <row r="1558" spans="2:24" x14ac:dyDescent="0.25">
      <c r="B1558" s="2">
        <v>1</v>
      </c>
      <c r="C1558" s="1">
        <f t="shared" si="190"/>
        <v>17.647058823529306</v>
      </c>
      <c r="D1558" s="1">
        <f t="shared" si="188"/>
        <v>1</v>
      </c>
      <c r="E1558" s="1">
        <f t="shared" si="191"/>
        <v>0</v>
      </c>
      <c r="F1558" s="31">
        <f t="shared" si="189"/>
        <v>14.6</v>
      </c>
      <c r="G1558" s="31">
        <f t="shared" ca="1" si="193"/>
        <v>14.6</v>
      </c>
      <c r="H1558" s="30">
        <f t="shared" ca="1" si="194"/>
        <v>0</v>
      </c>
      <c r="I1558" s="31">
        <f t="shared" ca="1" si="195"/>
        <v>14.6</v>
      </c>
      <c r="Q1558" s="80"/>
      <c r="R1558" s="42"/>
      <c r="S1558" s="90">
        <f t="shared" si="192"/>
        <v>149.99999999999577</v>
      </c>
      <c r="T1558" s="42"/>
      <c r="U1558" s="42"/>
      <c r="V1558" s="42"/>
      <c r="W1558" s="42"/>
      <c r="X1558" s="81"/>
    </row>
    <row r="1559" spans="2:24" x14ac:dyDescent="0.25">
      <c r="B1559" s="2">
        <v>1</v>
      </c>
      <c r="C1559" s="1">
        <f t="shared" si="190"/>
        <v>18.647058823529306</v>
      </c>
      <c r="D1559" s="1">
        <f t="shared" si="188"/>
        <v>1</v>
      </c>
      <c r="E1559" s="1">
        <f t="shared" si="191"/>
        <v>0</v>
      </c>
      <c r="F1559" s="31">
        <f t="shared" si="189"/>
        <v>14.6</v>
      </c>
      <c r="G1559" s="31">
        <f t="shared" ca="1" si="193"/>
        <v>14.6</v>
      </c>
      <c r="H1559" s="30">
        <f t="shared" ca="1" si="194"/>
        <v>0</v>
      </c>
      <c r="I1559" s="31">
        <f t="shared" ca="1" si="195"/>
        <v>14.6</v>
      </c>
      <c r="Q1559" s="80"/>
      <c r="R1559" s="42"/>
      <c r="S1559" s="90">
        <f t="shared" si="192"/>
        <v>150.09999999999576</v>
      </c>
      <c r="T1559" s="42"/>
      <c r="U1559" s="42"/>
      <c r="V1559" s="42"/>
      <c r="W1559" s="42"/>
      <c r="X1559" s="81"/>
    </row>
    <row r="1560" spans="2:24" x14ac:dyDescent="0.25">
      <c r="B1560" s="2">
        <v>1</v>
      </c>
      <c r="C1560" s="1">
        <f t="shared" si="190"/>
        <v>19.647058823529306</v>
      </c>
      <c r="D1560" s="1">
        <f t="shared" si="188"/>
        <v>1</v>
      </c>
      <c r="E1560" s="1">
        <f t="shared" si="191"/>
        <v>0</v>
      </c>
      <c r="F1560" s="31">
        <f t="shared" si="189"/>
        <v>14.6</v>
      </c>
      <c r="G1560" s="31">
        <f t="shared" ca="1" si="193"/>
        <v>14.6</v>
      </c>
      <c r="H1560" s="30">
        <f t="shared" ca="1" si="194"/>
        <v>0</v>
      </c>
      <c r="I1560" s="31">
        <f t="shared" ca="1" si="195"/>
        <v>14.6</v>
      </c>
      <c r="Q1560" s="80"/>
      <c r="R1560" s="42"/>
      <c r="S1560" s="90">
        <f t="shared" si="192"/>
        <v>150.19999999999575</v>
      </c>
      <c r="T1560" s="42"/>
      <c r="U1560" s="42"/>
      <c r="V1560" s="42"/>
      <c r="W1560" s="42"/>
      <c r="X1560" s="81"/>
    </row>
    <row r="1561" spans="2:24" x14ac:dyDescent="0.25">
      <c r="B1561" s="2">
        <v>1</v>
      </c>
      <c r="C1561" s="1">
        <f t="shared" si="190"/>
        <v>20.647058823529306</v>
      </c>
      <c r="D1561" s="1">
        <f t="shared" si="188"/>
        <v>1</v>
      </c>
      <c r="E1561" s="1">
        <f t="shared" si="191"/>
        <v>0</v>
      </c>
      <c r="F1561" s="31">
        <f t="shared" si="189"/>
        <v>14.6</v>
      </c>
      <c r="G1561" s="31">
        <f t="shared" ca="1" si="193"/>
        <v>14.6</v>
      </c>
      <c r="H1561" s="30">
        <f t="shared" ca="1" si="194"/>
        <v>0</v>
      </c>
      <c r="I1561" s="31">
        <f t="shared" ca="1" si="195"/>
        <v>14.6</v>
      </c>
      <c r="Q1561" s="80"/>
      <c r="R1561" s="42"/>
      <c r="S1561" s="90">
        <f t="shared" si="192"/>
        <v>150.29999999999575</v>
      </c>
      <c r="T1561" s="42"/>
      <c r="U1561" s="42"/>
      <c r="V1561" s="42"/>
      <c r="W1561" s="42"/>
      <c r="X1561" s="81"/>
    </row>
    <row r="1562" spans="2:24" x14ac:dyDescent="0.25">
      <c r="B1562" s="2">
        <v>1</v>
      </c>
      <c r="C1562" s="1">
        <f t="shared" si="190"/>
        <v>21.647058823529306</v>
      </c>
      <c r="D1562" s="1">
        <f t="shared" si="188"/>
        <v>1</v>
      </c>
      <c r="E1562" s="1">
        <f t="shared" si="191"/>
        <v>0</v>
      </c>
      <c r="F1562" s="31">
        <f t="shared" si="189"/>
        <v>14.6</v>
      </c>
      <c r="G1562" s="31">
        <f t="shared" ca="1" si="193"/>
        <v>14.6</v>
      </c>
      <c r="H1562" s="30">
        <f t="shared" ca="1" si="194"/>
        <v>0</v>
      </c>
      <c r="I1562" s="31">
        <f t="shared" ca="1" si="195"/>
        <v>14.6</v>
      </c>
      <c r="Q1562" s="80"/>
      <c r="R1562" s="42"/>
      <c r="S1562" s="90">
        <f t="shared" si="192"/>
        <v>150.39999999999574</v>
      </c>
      <c r="T1562" s="42"/>
      <c r="U1562" s="42"/>
      <c r="V1562" s="42"/>
      <c r="W1562" s="42"/>
      <c r="X1562" s="81"/>
    </row>
    <row r="1563" spans="2:24" x14ac:dyDescent="0.25">
      <c r="B1563" s="2">
        <v>1</v>
      </c>
      <c r="C1563" s="1">
        <f t="shared" si="190"/>
        <v>22.647058823529306</v>
      </c>
      <c r="D1563" s="1">
        <f t="shared" si="188"/>
        <v>1</v>
      </c>
      <c r="E1563" s="1">
        <f t="shared" si="191"/>
        <v>0</v>
      </c>
      <c r="F1563" s="31">
        <f t="shared" si="189"/>
        <v>14.6</v>
      </c>
      <c r="G1563" s="31">
        <f t="shared" ca="1" si="193"/>
        <v>14.6</v>
      </c>
      <c r="H1563" s="30">
        <f t="shared" ca="1" si="194"/>
        <v>0</v>
      </c>
      <c r="I1563" s="31">
        <f t="shared" ca="1" si="195"/>
        <v>14.6</v>
      </c>
      <c r="Q1563" s="80"/>
      <c r="R1563" s="42"/>
      <c r="S1563" s="90">
        <f t="shared" si="192"/>
        <v>150.49999999999574</v>
      </c>
      <c r="T1563" s="42"/>
      <c r="U1563" s="42"/>
      <c r="V1563" s="42"/>
      <c r="W1563" s="42"/>
      <c r="X1563" s="81"/>
    </row>
    <row r="1564" spans="2:24" x14ac:dyDescent="0.25">
      <c r="B1564" s="2">
        <v>1</v>
      </c>
      <c r="C1564" s="1">
        <f t="shared" si="190"/>
        <v>23.647058823529306</v>
      </c>
      <c r="D1564" s="1">
        <f t="shared" si="188"/>
        <v>0</v>
      </c>
      <c r="E1564" s="1">
        <f t="shared" si="191"/>
        <v>1</v>
      </c>
      <c r="F1564" s="31">
        <f t="shared" si="189"/>
        <v>6.4</v>
      </c>
      <c r="G1564" s="31">
        <f t="shared" ca="1" si="193"/>
        <v>0</v>
      </c>
      <c r="H1564" s="30">
        <f t="shared" ca="1" si="194"/>
        <v>14.6</v>
      </c>
      <c r="I1564" s="31">
        <f t="shared" ca="1" si="195"/>
        <v>14.6</v>
      </c>
      <c r="Q1564" s="80"/>
      <c r="R1564" s="42"/>
      <c r="S1564" s="90">
        <f t="shared" si="192"/>
        <v>150.59999999999573</v>
      </c>
      <c r="T1564" s="42"/>
      <c r="U1564" s="42"/>
      <c r="V1564" s="42"/>
      <c r="W1564" s="42"/>
      <c r="X1564" s="81"/>
    </row>
    <row r="1565" spans="2:24" x14ac:dyDescent="0.25">
      <c r="B1565" s="2">
        <v>1</v>
      </c>
      <c r="C1565" s="1">
        <f t="shared" si="190"/>
        <v>24.647058823529306</v>
      </c>
      <c r="D1565" s="1">
        <f t="shared" si="188"/>
        <v>0</v>
      </c>
      <c r="E1565" s="1">
        <f t="shared" si="191"/>
        <v>1</v>
      </c>
      <c r="F1565" s="31">
        <f t="shared" si="189"/>
        <v>6.4</v>
      </c>
      <c r="G1565" s="31">
        <f t="shared" ca="1" si="193"/>
        <v>0</v>
      </c>
      <c r="H1565" s="30">
        <f t="shared" ca="1" si="194"/>
        <v>6.4</v>
      </c>
      <c r="I1565" s="31">
        <f t="shared" ca="1" si="195"/>
        <v>6.4</v>
      </c>
      <c r="Q1565" s="80"/>
      <c r="R1565" s="42"/>
      <c r="S1565" s="90">
        <f t="shared" si="192"/>
        <v>150.69999999999573</v>
      </c>
      <c r="T1565" s="42"/>
      <c r="U1565" s="42"/>
      <c r="V1565" s="42"/>
      <c r="W1565" s="42"/>
      <c r="X1565" s="81"/>
    </row>
    <row r="1566" spans="2:24" x14ac:dyDescent="0.25">
      <c r="B1566" s="2">
        <v>1</v>
      </c>
      <c r="C1566" s="1">
        <f t="shared" si="190"/>
        <v>25.647058823529306</v>
      </c>
      <c r="D1566" s="1">
        <f t="shared" si="188"/>
        <v>0</v>
      </c>
      <c r="E1566" s="1">
        <f t="shared" si="191"/>
        <v>1</v>
      </c>
      <c r="F1566" s="31">
        <f t="shared" si="189"/>
        <v>6.4</v>
      </c>
      <c r="G1566" s="31">
        <f t="shared" ca="1" si="193"/>
        <v>0</v>
      </c>
      <c r="H1566" s="30">
        <f t="shared" ca="1" si="194"/>
        <v>6.4</v>
      </c>
      <c r="I1566" s="31">
        <f t="shared" ca="1" si="195"/>
        <v>6.4</v>
      </c>
      <c r="Q1566" s="80"/>
      <c r="R1566" s="42"/>
      <c r="S1566" s="90">
        <f t="shared" si="192"/>
        <v>150.79999999999572</v>
      </c>
      <c r="T1566" s="42"/>
      <c r="U1566" s="42"/>
      <c r="V1566" s="42"/>
      <c r="W1566" s="42"/>
      <c r="X1566" s="81"/>
    </row>
    <row r="1567" spans="2:24" x14ac:dyDescent="0.25">
      <c r="B1567" s="2">
        <v>1</v>
      </c>
      <c r="C1567" s="1">
        <f t="shared" si="190"/>
        <v>26.647058823529306</v>
      </c>
      <c r="D1567" s="1">
        <f t="shared" si="188"/>
        <v>0</v>
      </c>
      <c r="E1567" s="1">
        <f t="shared" si="191"/>
        <v>1</v>
      </c>
      <c r="F1567" s="31">
        <f t="shared" si="189"/>
        <v>6.4</v>
      </c>
      <c r="G1567" s="31">
        <f t="shared" ca="1" si="193"/>
        <v>0</v>
      </c>
      <c r="H1567" s="30">
        <f t="shared" ca="1" si="194"/>
        <v>6.4</v>
      </c>
      <c r="I1567" s="31">
        <f t="shared" ca="1" si="195"/>
        <v>6.4</v>
      </c>
      <c r="Q1567" s="80"/>
      <c r="R1567" s="42"/>
      <c r="S1567" s="90">
        <f t="shared" si="192"/>
        <v>150.89999999999571</v>
      </c>
      <c r="T1567" s="42"/>
      <c r="U1567" s="42"/>
      <c r="V1567" s="42"/>
      <c r="W1567" s="42"/>
      <c r="X1567" s="81"/>
    </row>
    <row r="1568" spans="2:24" x14ac:dyDescent="0.25">
      <c r="B1568" s="2">
        <v>1</v>
      </c>
      <c r="C1568" s="1">
        <f t="shared" si="190"/>
        <v>27.647058823529306</v>
      </c>
      <c r="D1568" s="1">
        <f t="shared" si="188"/>
        <v>0</v>
      </c>
      <c r="E1568" s="1">
        <f t="shared" si="191"/>
        <v>1</v>
      </c>
      <c r="F1568" s="31">
        <f t="shared" si="189"/>
        <v>6.4</v>
      </c>
      <c r="G1568" s="31">
        <f t="shared" ca="1" si="193"/>
        <v>0</v>
      </c>
      <c r="H1568" s="30">
        <f t="shared" ca="1" si="194"/>
        <v>6.4</v>
      </c>
      <c r="I1568" s="31">
        <f t="shared" ca="1" si="195"/>
        <v>6.4</v>
      </c>
      <c r="Q1568" s="80"/>
      <c r="R1568" s="42"/>
      <c r="S1568" s="90">
        <f t="shared" si="192"/>
        <v>150.99999999999571</v>
      </c>
      <c r="T1568" s="42"/>
      <c r="U1568" s="42"/>
      <c r="V1568" s="42"/>
      <c r="W1568" s="42"/>
      <c r="X1568" s="81"/>
    </row>
    <row r="1569" spans="2:24" x14ac:dyDescent="0.25">
      <c r="B1569" s="2">
        <v>1</v>
      </c>
      <c r="C1569" s="1">
        <f t="shared" si="190"/>
        <v>28.647058823529306</v>
      </c>
      <c r="D1569" s="1">
        <f t="shared" si="188"/>
        <v>0</v>
      </c>
      <c r="E1569" s="1">
        <f t="shared" si="191"/>
        <v>1</v>
      </c>
      <c r="F1569" s="31">
        <f t="shared" si="189"/>
        <v>6.4</v>
      </c>
      <c r="G1569" s="31">
        <f t="shared" ca="1" si="193"/>
        <v>0</v>
      </c>
      <c r="H1569" s="30">
        <f t="shared" ca="1" si="194"/>
        <v>6.4</v>
      </c>
      <c r="I1569" s="31">
        <f t="shared" ca="1" si="195"/>
        <v>6.4</v>
      </c>
      <c r="Q1569" s="80"/>
      <c r="R1569" s="42"/>
      <c r="S1569" s="90">
        <f t="shared" si="192"/>
        <v>151.0999999999957</v>
      </c>
      <c r="T1569" s="42"/>
      <c r="U1569" s="42"/>
      <c r="V1569" s="42"/>
      <c r="W1569" s="42"/>
      <c r="X1569" s="81"/>
    </row>
    <row r="1570" spans="2:24" x14ac:dyDescent="0.25">
      <c r="B1570" s="2">
        <v>1</v>
      </c>
      <c r="C1570" s="1">
        <f t="shared" si="190"/>
        <v>29.647058823529306</v>
      </c>
      <c r="D1570" s="1">
        <f t="shared" si="188"/>
        <v>0</v>
      </c>
      <c r="E1570" s="1">
        <f t="shared" si="191"/>
        <v>1</v>
      </c>
      <c r="F1570" s="31">
        <f t="shared" si="189"/>
        <v>6.4</v>
      </c>
      <c r="G1570" s="31">
        <f t="shared" ca="1" si="193"/>
        <v>0</v>
      </c>
      <c r="H1570" s="30">
        <f t="shared" ca="1" si="194"/>
        <v>6.4</v>
      </c>
      <c r="I1570" s="31">
        <f t="shared" ca="1" si="195"/>
        <v>6.4</v>
      </c>
      <c r="Q1570" s="80"/>
      <c r="R1570" s="42"/>
      <c r="S1570" s="90">
        <f t="shared" si="192"/>
        <v>151.1999999999957</v>
      </c>
      <c r="T1570" s="42"/>
      <c r="U1570" s="42"/>
      <c r="V1570" s="42"/>
      <c r="W1570" s="42"/>
      <c r="X1570" s="81"/>
    </row>
    <row r="1571" spans="2:24" x14ac:dyDescent="0.25">
      <c r="B1571" s="2">
        <v>1</v>
      </c>
      <c r="C1571" s="1">
        <f t="shared" si="190"/>
        <v>30.647058823529306</v>
      </c>
      <c r="D1571" s="1">
        <f t="shared" si="188"/>
        <v>0</v>
      </c>
      <c r="E1571" s="1">
        <f t="shared" si="191"/>
        <v>1</v>
      </c>
      <c r="F1571" s="31">
        <f t="shared" si="189"/>
        <v>6.4</v>
      </c>
      <c r="G1571" s="31">
        <f t="shared" ca="1" si="193"/>
        <v>0</v>
      </c>
      <c r="H1571" s="30">
        <f t="shared" ca="1" si="194"/>
        <v>6.4</v>
      </c>
      <c r="I1571" s="31">
        <f t="shared" ca="1" si="195"/>
        <v>6.4</v>
      </c>
      <c r="Q1571" s="80"/>
      <c r="R1571" s="42"/>
      <c r="S1571" s="90">
        <f t="shared" si="192"/>
        <v>151.29999999999569</v>
      </c>
      <c r="T1571" s="42"/>
      <c r="U1571" s="42"/>
      <c r="V1571" s="42"/>
      <c r="W1571" s="42"/>
      <c r="X1571" s="81"/>
    </row>
    <row r="1572" spans="2:24" x14ac:dyDescent="0.25">
      <c r="B1572" s="2">
        <v>1</v>
      </c>
      <c r="C1572" s="1">
        <f t="shared" si="190"/>
        <v>31.647058823529306</v>
      </c>
      <c r="D1572" s="1">
        <f t="shared" si="188"/>
        <v>0</v>
      </c>
      <c r="E1572" s="1">
        <f t="shared" si="191"/>
        <v>1</v>
      </c>
      <c r="F1572" s="31">
        <f t="shared" si="189"/>
        <v>6.4</v>
      </c>
      <c r="G1572" s="31">
        <f t="shared" ca="1" si="193"/>
        <v>0</v>
      </c>
      <c r="H1572" s="30">
        <f t="shared" ca="1" si="194"/>
        <v>6.4</v>
      </c>
      <c r="I1572" s="31">
        <f t="shared" ca="1" si="195"/>
        <v>6.4</v>
      </c>
      <c r="Q1572" s="80"/>
      <c r="R1572" s="42"/>
      <c r="S1572" s="90">
        <f t="shared" si="192"/>
        <v>151.39999999999569</v>
      </c>
      <c r="T1572" s="42"/>
      <c r="U1572" s="42"/>
      <c r="V1572" s="42"/>
      <c r="W1572" s="42"/>
      <c r="X1572" s="81"/>
    </row>
    <row r="1573" spans="2:24" x14ac:dyDescent="0.25">
      <c r="B1573" s="2">
        <v>1</v>
      </c>
      <c r="C1573" s="1">
        <f t="shared" si="190"/>
        <v>32.647058823529306</v>
      </c>
      <c r="D1573" s="1">
        <f t="shared" si="188"/>
        <v>0</v>
      </c>
      <c r="E1573" s="1">
        <f t="shared" si="191"/>
        <v>1</v>
      </c>
      <c r="F1573" s="31">
        <f t="shared" si="189"/>
        <v>6.4</v>
      </c>
      <c r="G1573" s="31">
        <f t="shared" ca="1" si="193"/>
        <v>0</v>
      </c>
      <c r="H1573" s="30">
        <f t="shared" ca="1" si="194"/>
        <v>6.4</v>
      </c>
      <c r="I1573" s="31">
        <f t="shared" ca="1" si="195"/>
        <v>6.4</v>
      </c>
      <c r="Q1573" s="80"/>
      <c r="R1573" s="42"/>
      <c r="S1573" s="90">
        <f t="shared" si="192"/>
        <v>151.49999999999568</v>
      </c>
      <c r="T1573" s="42"/>
      <c r="U1573" s="42"/>
      <c r="V1573" s="42"/>
      <c r="W1573" s="42"/>
      <c r="X1573" s="81"/>
    </row>
    <row r="1574" spans="2:24" x14ac:dyDescent="0.25">
      <c r="B1574" s="2">
        <v>1</v>
      </c>
      <c r="C1574" s="1">
        <f t="shared" si="190"/>
        <v>33.647058823529306</v>
      </c>
      <c r="D1574" s="1">
        <f t="shared" si="188"/>
        <v>0</v>
      </c>
      <c r="E1574" s="1">
        <f t="shared" si="191"/>
        <v>1</v>
      </c>
      <c r="F1574" s="31">
        <f t="shared" si="189"/>
        <v>6.4</v>
      </c>
      <c r="G1574" s="31">
        <f t="shared" ca="1" si="193"/>
        <v>0</v>
      </c>
      <c r="H1574" s="30">
        <f t="shared" ca="1" si="194"/>
        <v>6.4</v>
      </c>
      <c r="I1574" s="31">
        <f t="shared" ca="1" si="195"/>
        <v>6.4</v>
      </c>
      <c r="Q1574" s="80"/>
      <c r="R1574" s="42"/>
      <c r="S1574" s="90">
        <f t="shared" si="192"/>
        <v>151.59999999999567</v>
      </c>
      <c r="T1574" s="42"/>
      <c r="U1574" s="42"/>
      <c r="V1574" s="42"/>
      <c r="W1574" s="42"/>
      <c r="X1574" s="81"/>
    </row>
    <row r="1575" spans="2:24" x14ac:dyDescent="0.25">
      <c r="B1575" s="2">
        <v>1</v>
      </c>
      <c r="C1575" s="1">
        <f t="shared" si="190"/>
        <v>34.647058823529306</v>
      </c>
      <c r="D1575" s="1">
        <f t="shared" si="188"/>
        <v>0</v>
      </c>
      <c r="E1575" s="1">
        <f t="shared" si="191"/>
        <v>1</v>
      </c>
      <c r="F1575" s="31">
        <f t="shared" si="189"/>
        <v>6.4</v>
      </c>
      <c r="G1575" s="31">
        <f t="shared" ca="1" si="193"/>
        <v>0</v>
      </c>
      <c r="H1575" s="30">
        <f t="shared" ca="1" si="194"/>
        <v>6.4</v>
      </c>
      <c r="I1575" s="31">
        <f t="shared" ca="1" si="195"/>
        <v>6.4</v>
      </c>
      <c r="Q1575" s="80"/>
      <c r="R1575" s="42"/>
      <c r="S1575" s="90">
        <f t="shared" si="192"/>
        <v>151.69999999999567</v>
      </c>
      <c r="T1575" s="42"/>
      <c r="U1575" s="42"/>
      <c r="V1575" s="42"/>
      <c r="W1575" s="42"/>
      <c r="X1575" s="81"/>
    </row>
    <row r="1576" spans="2:24" x14ac:dyDescent="0.25">
      <c r="B1576" s="2">
        <v>1</v>
      </c>
      <c r="C1576" s="1">
        <f t="shared" si="190"/>
        <v>0.3529411764704804</v>
      </c>
      <c r="D1576" s="1">
        <f t="shared" si="188"/>
        <v>1</v>
      </c>
      <c r="E1576" s="1">
        <f t="shared" si="191"/>
        <v>0</v>
      </c>
      <c r="F1576" s="31">
        <f t="shared" si="189"/>
        <v>14.6</v>
      </c>
      <c r="G1576" s="31">
        <f t="shared" ca="1" si="193"/>
        <v>6.4</v>
      </c>
      <c r="H1576" s="30">
        <f t="shared" ca="1" si="194"/>
        <v>0</v>
      </c>
      <c r="I1576" s="31">
        <f t="shared" ca="1" si="195"/>
        <v>6.4</v>
      </c>
      <c r="Q1576" s="80"/>
      <c r="R1576" s="42"/>
      <c r="S1576" s="90">
        <f t="shared" si="192"/>
        <v>151.79999999999566</v>
      </c>
      <c r="T1576" s="42"/>
      <c r="U1576" s="42"/>
      <c r="V1576" s="42"/>
      <c r="W1576" s="42"/>
      <c r="X1576" s="81"/>
    </row>
    <row r="1577" spans="2:24" x14ac:dyDescent="0.25">
      <c r="B1577" s="2">
        <v>1</v>
      </c>
      <c r="C1577" s="1">
        <f t="shared" si="190"/>
        <v>1.3529411764704804</v>
      </c>
      <c r="D1577" s="1">
        <f t="shared" si="188"/>
        <v>1</v>
      </c>
      <c r="E1577" s="1">
        <f t="shared" si="191"/>
        <v>0</v>
      </c>
      <c r="F1577" s="31">
        <f t="shared" si="189"/>
        <v>14.6</v>
      </c>
      <c r="G1577" s="31">
        <f t="shared" ca="1" si="193"/>
        <v>8.4500000000000011</v>
      </c>
      <c r="H1577" s="30">
        <f t="shared" ca="1" si="194"/>
        <v>0</v>
      </c>
      <c r="I1577" s="31">
        <f t="shared" ca="1" si="195"/>
        <v>8.4500000000000011</v>
      </c>
      <c r="Q1577" s="80"/>
      <c r="R1577" s="42"/>
      <c r="S1577" s="90">
        <f t="shared" si="192"/>
        <v>151.89999999999566</v>
      </c>
      <c r="T1577" s="42"/>
      <c r="U1577" s="42"/>
      <c r="V1577" s="42"/>
      <c r="W1577" s="42"/>
      <c r="X1577" s="81"/>
    </row>
    <row r="1578" spans="2:24" x14ac:dyDescent="0.25">
      <c r="B1578" s="2">
        <v>1</v>
      </c>
      <c r="C1578" s="1">
        <f t="shared" si="190"/>
        <v>2.3529411764704804</v>
      </c>
      <c r="D1578" s="1">
        <f t="shared" si="188"/>
        <v>1</v>
      </c>
      <c r="E1578" s="1">
        <f t="shared" si="191"/>
        <v>0</v>
      </c>
      <c r="F1578" s="31">
        <f t="shared" si="189"/>
        <v>14.6</v>
      </c>
      <c r="G1578" s="31">
        <f t="shared" ca="1" si="193"/>
        <v>10.5</v>
      </c>
      <c r="H1578" s="30">
        <f t="shared" ca="1" si="194"/>
        <v>0</v>
      </c>
      <c r="I1578" s="31">
        <f t="shared" ca="1" si="195"/>
        <v>10.5</v>
      </c>
      <c r="Q1578" s="80"/>
      <c r="R1578" s="42"/>
      <c r="S1578" s="90">
        <f t="shared" si="192"/>
        <v>151.99999999999565</v>
      </c>
      <c r="T1578" s="42"/>
      <c r="U1578" s="42"/>
      <c r="V1578" s="42"/>
      <c r="W1578" s="42"/>
      <c r="X1578" s="81"/>
    </row>
    <row r="1579" spans="2:24" x14ac:dyDescent="0.25">
      <c r="B1579" s="2">
        <v>1</v>
      </c>
      <c r="C1579" s="1">
        <f t="shared" si="190"/>
        <v>3.3529411764704804</v>
      </c>
      <c r="D1579" s="1">
        <f t="shared" si="188"/>
        <v>1</v>
      </c>
      <c r="E1579" s="1">
        <f t="shared" si="191"/>
        <v>0</v>
      </c>
      <c r="F1579" s="31">
        <f t="shared" si="189"/>
        <v>14.6</v>
      </c>
      <c r="G1579" s="31">
        <f t="shared" ca="1" si="193"/>
        <v>12.55</v>
      </c>
      <c r="H1579" s="30">
        <f t="shared" ca="1" si="194"/>
        <v>0</v>
      </c>
      <c r="I1579" s="31">
        <f t="shared" ca="1" si="195"/>
        <v>12.55</v>
      </c>
      <c r="Q1579" s="80"/>
      <c r="R1579" s="42"/>
      <c r="S1579" s="90">
        <f t="shared" si="192"/>
        <v>152.09999999999565</v>
      </c>
      <c r="T1579" s="42"/>
      <c r="U1579" s="42"/>
      <c r="V1579" s="42"/>
      <c r="W1579" s="42"/>
      <c r="X1579" s="81"/>
    </row>
    <row r="1580" spans="2:24" x14ac:dyDescent="0.25">
      <c r="B1580" s="2">
        <v>1</v>
      </c>
      <c r="C1580" s="1">
        <f t="shared" si="190"/>
        <v>4.3529411764704804</v>
      </c>
      <c r="D1580" s="1">
        <f t="shared" si="188"/>
        <v>1</v>
      </c>
      <c r="E1580" s="1">
        <f t="shared" si="191"/>
        <v>0</v>
      </c>
      <c r="F1580" s="31">
        <f t="shared" si="189"/>
        <v>14.6</v>
      </c>
      <c r="G1580" s="31">
        <f t="shared" ca="1" si="193"/>
        <v>14.6</v>
      </c>
      <c r="H1580" s="30">
        <f t="shared" ca="1" si="194"/>
        <v>0</v>
      </c>
      <c r="I1580" s="31">
        <f t="shared" ca="1" si="195"/>
        <v>14.6</v>
      </c>
      <c r="Q1580" s="80"/>
      <c r="R1580" s="42"/>
      <c r="S1580" s="90">
        <f t="shared" si="192"/>
        <v>152.19999999999564</v>
      </c>
      <c r="T1580" s="42"/>
      <c r="U1580" s="42"/>
      <c r="V1580" s="42"/>
      <c r="W1580" s="42"/>
      <c r="X1580" s="81"/>
    </row>
    <row r="1581" spans="2:24" x14ac:dyDescent="0.25">
      <c r="B1581" s="2">
        <v>1</v>
      </c>
      <c r="C1581" s="1">
        <f t="shared" si="190"/>
        <v>5.3529411764704804</v>
      </c>
      <c r="D1581" s="1">
        <f t="shared" si="188"/>
        <v>1</v>
      </c>
      <c r="E1581" s="1">
        <f t="shared" si="191"/>
        <v>0</v>
      </c>
      <c r="F1581" s="31">
        <f t="shared" si="189"/>
        <v>14.6</v>
      </c>
      <c r="G1581" s="31">
        <f t="shared" ca="1" si="193"/>
        <v>14.6</v>
      </c>
      <c r="H1581" s="30">
        <f t="shared" ca="1" si="194"/>
        <v>0</v>
      </c>
      <c r="I1581" s="31">
        <f t="shared" ca="1" si="195"/>
        <v>14.6</v>
      </c>
      <c r="Q1581" s="80"/>
      <c r="R1581" s="42"/>
      <c r="S1581" s="90">
        <f t="shared" si="192"/>
        <v>152.29999999999563</v>
      </c>
      <c r="T1581" s="42"/>
      <c r="U1581" s="42"/>
      <c r="V1581" s="42"/>
      <c r="W1581" s="42"/>
      <c r="X1581" s="81"/>
    </row>
    <row r="1582" spans="2:24" x14ac:dyDescent="0.25">
      <c r="B1582" s="2">
        <v>1</v>
      </c>
      <c r="C1582" s="1">
        <f t="shared" si="190"/>
        <v>6.3529411764704804</v>
      </c>
      <c r="D1582" s="1">
        <f t="shared" si="188"/>
        <v>1</v>
      </c>
      <c r="E1582" s="1">
        <f t="shared" si="191"/>
        <v>0</v>
      </c>
      <c r="F1582" s="31">
        <f t="shared" si="189"/>
        <v>14.6</v>
      </c>
      <c r="G1582" s="31">
        <f t="shared" ca="1" si="193"/>
        <v>14.6</v>
      </c>
      <c r="H1582" s="30">
        <f t="shared" ca="1" si="194"/>
        <v>0</v>
      </c>
      <c r="I1582" s="31">
        <f t="shared" ca="1" si="195"/>
        <v>14.6</v>
      </c>
      <c r="Q1582" s="80"/>
      <c r="R1582" s="42"/>
      <c r="S1582" s="90">
        <f t="shared" si="192"/>
        <v>152.39999999999563</v>
      </c>
      <c r="T1582" s="42"/>
      <c r="U1582" s="42"/>
      <c r="V1582" s="42"/>
      <c r="W1582" s="42"/>
      <c r="X1582" s="81"/>
    </row>
    <row r="1583" spans="2:24" x14ac:dyDescent="0.25">
      <c r="B1583" s="2">
        <v>1</v>
      </c>
      <c r="C1583" s="1">
        <f t="shared" si="190"/>
        <v>7.3529411764704804</v>
      </c>
      <c r="D1583" s="1">
        <f t="shared" si="188"/>
        <v>1</v>
      </c>
      <c r="E1583" s="1">
        <f t="shared" si="191"/>
        <v>0</v>
      </c>
      <c r="F1583" s="31">
        <f t="shared" si="189"/>
        <v>14.6</v>
      </c>
      <c r="G1583" s="31">
        <f t="shared" ca="1" si="193"/>
        <v>14.6</v>
      </c>
      <c r="H1583" s="30">
        <f t="shared" ca="1" si="194"/>
        <v>0</v>
      </c>
      <c r="I1583" s="31">
        <f t="shared" ca="1" si="195"/>
        <v>14.6</v>
      </c>
      <c r="Q1583" s="80"/>
      <c r="R1583" s="42"/>
      <c r="S1583" s="90">
        <f t="shared" si="192"/>
        <v>152.49999999999562</v>
      </c>
      <c r="T1583" s="42"/>
      <c r="U1583" s="42"/>
      <c r="V1583" s="42"/>
      <c r="W1583" s="42"/>
      <c r="X1583" s="81"/>
    </row>
    <row r="1584" spans="2:24" x14ac:dyDescent="0.25">
      <c r="B1584" s="2">
        <v>1</v>
      </c>
      <c r="C1584" s="1">
        <f t="shared" si="190"/>
        <v>8.3529411764704804</v>
      </c>
      <c r="D1584" s="1">
        <f t="shared" si="188"/>
        <v>1</v>
      </c>
      <c r="E1584" s="1">
        <f t="shared" si="191"/>
        <v>0</v>
      </c>
      <c r="F1584" s="31">
        <f t="shared" si="189"/>
        <v>14.6</v>
      </c>
      <c r="G1584" s="31">
        <f t="shared" ca="1" si="193"/>
        <v>14.6</v>
      </c>
      <c r="H1584" s="30">
        <f t="shared" ca="1" si="194"/>
        <v>0</v>
      </c>
      <c r="I1584" s="31">
        <f t="shared" ca="1" si="195"/>
        <v>14.6</v>
      </c>
      <c r="Q1584" s="80"/>
      <c r="R1584" s="42"/>
      <c r="S1584" s="90">
        <f t="shared" si="192"/>
        <v>152.59999999999562</v>
      </c>
      <c r="T1584" s="42"/>
      <c r="U1584" s="42"/>
      <c r="V1584" s="42"/>
      <c r="W1584" s="42"/>
      <c r="X1584" s="81"/>
    </row>
    <row r="1585" spans="2:24" x14ac:dyDescent="0.25">
      <c r="B1585" s="2">
        <v>1</v>
      </c>
      <c r="C1585" s="1">
        <f t="shared" si="190"/>
        <v>9.3529411764704804</v>
      </c>
      <c r="D1585" s="1">
        <f t="shared" si="188"/>
        <v>1</v>
      </c>
      <c r="E1585" s="1">
        <f t="shared" si="191"/>
        <v>0</v>
      </c>
      <c r="F1585" s="31">
        <f t="shared" si="189"/>
        <v>14.6</v>
      </c>
      <c r="G1585" s="31">
        <f t="shared" ca="1" si="193"/>
        <v>14.6</v>
      </c>
      <c r="H1585" s="30">
        <f t="shared" ca="1" si="194"/>
        <v>0</v>
      </c>
      <c r="I1585" s="31">
        <f t="shared" ca="1" si="195"/>
        <v>14.6</v>
      </c>
      <c r="Q1585" s="80"/>
      <c r="R1585" s="42"/>
      <c r="S1585" s="90">
        <f t="shared" si="192"/>
        <v>152.69999999999561</v>
      </c>
      <c r="T1585" s="42"/>
      <c r="U1585" s="42"/>
      <c r="V1585" s="42"/>
      <c r="W1585" s="42"/>
      <c r="X1585" s="81"/>
    </row>
    <row r="1586" spans="2:24" x14ac:dyDescent="0.25">
      <c r="B1586" s="2">
        <v>1</v>
      </c>
      <c r="C1586" s="1">
        <f t="shared" si="190"/>
        <v>10.35294117647048</v>
      </c>
      <c r="D1586" s="1">
        <f t="shared" si="188"/>
        <v>1</v>
      </c>
      <c r="E1586" s="1">
        <f t="shared" si="191"/>
        <v>0</v>
      </c>
      <c r="F1586" s="31">
        <f t="shared" si="189"/>
        <v>14.6</v>
      </c>
      <c r="G1586" s="31">
        <f t="shared" ca="1" si="193"/>
        <v>14.6</v>
      </c>
      <c r="H1586" s="30">
        <f t="shared" ca="1" si="194"/>
        <v>0</v>
      </c>
      <c r="I1586" s="31">
        <f t="shared" ca="1" si="195"/>
        <v>14.6</v>
      </c>
      <c r="Q1586" s="80"/>
      <c r="R1586" s="42"/>
      <c r="S1586" s="90">
        <f t="shared" si="192"/>
        <v>152.79999999999561</v>
      </c>
      <c r="T1586" s="42"/>
      <c r="U1586" s="42"/>
      <c r="V1586" s="42"/>
      <c r="W1586" s="42"/>
      <c r="X1586" s="81"/>
    </row>
    <row r="1587" spans="2:24" x14ac:dyDescent="0.25">
      <c r="B1587" s="2">
        <v>1</v>
      </c>
      <c r="C1587" s="1">
        <f t="shared" si="190"/>
        <v>11.35294117647048</v>
      </c>
      <c r="D1587" s="1">
        <f t="shared" si="188"/>
        <v>1</v>
      </c>
      <c r="E1587" s="1">
        <f t="shared" si="191"/>
        <v>0</v>
      </c>
      <c r="F1587" s="31">
        <f t="shared" si="189"/>
        <v>14.6</v>
      </c>
      <c r="G1587" s="31">
        <f t="shared" ca="1" si="193"/>
        <v>14.6</v>
      </c>
      <c r="H1587" s="30">
        <f t="shared" ca="1" si="194"/>
        <v>0</v>
      </c>
      <c r="I1587" s="31">
        <f t="shared" ca="1" si="195"/>
        <v>14.6</v>
      </c>
      <c r="Q1587" s="80"/>
      <c r="R1587" s="42"/>
      <c r="S1587" s="90">
        <f t="shared" si="192"/>
        <v>152.8999999999956</v>
      </c>
      <c r="T1587" s="42"/>
      <c r="U1587" s="42"/>
      <c r="V1587" s="42"/>
      <c r="W1587" s="42"/>
      <c r="X1587" s="81"/>
    </row>
    <row r="1588" spans="2:24" x14ac:dyDescent="0.25">
      <c r="B1588" s="2">
        <v>1</v>
      </c>
      <c r="C1588" s="1">
        <f t="shared" si="190"/>
        <v>12.35294117647048</v>
      </c>
      <c r="D1588" s="1">
        <f t="shared" si="188"/>
        <v>1</v>
      </c>
      <c r="E1588" s="1">
        <f t="shared" si="191"/>
        <v>0</v>
      </c>
      <c r="F1588" s="31">
        <f t="shared" si="189"/>
        <v>14.6</v>
      </c>
      <c r="G1588" s="31">
        <f t="shared" ca="1" si="193"/>
        <v>14.6</v>
      </c>
      <c r="H1588" s="30">
        <f t="shared" ca="1" si="194"/>
        <v>0</v>
      </c>
      <c r="I1588" s="31">
        <f t="shared" ca="1" si="195"/>
        <v>14.6</v>
      </c>
      <c r="Q1588" s="80"/>
      <c r="R1588" s="42"/>
      <c r="S1588" s="90">
        <f t="shared" si="192"/>
        <v>152.99999999999559</v>
      </c>
      <c r="T1588" s="42"/>
      <c r="U1588" s="42"/>
      <c r="V1588" s="42"/>
      <c r="W1588" s="42"/>
      <c r="X1588" s="81"/>
    </row>
    <row r="1589" spans="2:24" x14ac:dyDescent="0.25">
      <c r="B1589" s="2">
        <v>1</v>
      </c>
      <c r="C1589" s="1">
        <f t="shared" si="190"/>
        <v>13.35294117647048</v>
      </c>
      <c r="D1589" s="1">
        <f t="shared" si="188"/>
        <v>1</v>
      </c>
      <c r="E1589" s="1">
        <f t="shared" si="191"/>
        <v>0</v>
      </c>
      <c r="F1589" s="31">
        <f t="shared" si="189"/>
        <v>14.6</v>
      </c>
      <c r="G1589" s="31">
        <f t="shared" ca="1" si="193"/>
        <v>14.6</v>
      </c>
      <c r="H1589" s="30">
        <f t="shared" ca="1" si="194"/>
        <v>0</v>
      </c>
      <c r="I1589" s="31">
        <f t="shared" ca="1" si="195"/>
        <v>14.6</v>
      </c>
      <c r="Q1589" s="80"/>
      <c r="R1589" s="42"/>
      <c r="S1589" s="90">
        <f t="shared" si="192"/>
        <v>153.09999999999559</v>
      </c>
      <c r="T1589" s="42"/>
      <c r="U1589" s="42"/>
      <c r="V1589" s="42"/>
      <c r="W1589" s="42"/>
      <c r="X1589" s="81"/>
    </row>
    <row r="1590" spans="2:24" x14ac:dyDescent="0.25">
      <c r="B1590" s="2">
        <v>1</v>
      </c>
      <c r="C1590" s="1">
        <f t="shared" si="190"/>
        <v>14.35294117647048</v>
      </c>
      <c r="D1590" s="1">
        <f t="shared" si="188"/>
        <v>1</v>
      </c>
      <c r="E1590" s="1">
        <f t="shared" si="191"/>
        <v>0</v>
      </c>
      <c r="F1590" s="31">
        <f t="shared" si="189"/>
        <v>14.6</v>
      </c>
      <c r="G1590" s="31">
        <f t="shared" ca="1" si="193"/>
        <v>14.6</v>
      </c>
      <c r="H1590" s="30">
        <f t="shared" ca="1" si="194"/>
        <v>0</v>
      </c>
      <c r="I1590" s="31">
        <f t="shared" ca="1" si="195"/>
        <v>14.6</v>
      </c>
      <c r="Q1590" s="80"/>
      <c r="R1590" s="42"/>
      <c r="S1590" s="90">
        <f t="shared" si="192"/>
        <v>153.19999999999558</v>
      </c>
      <c r="T1590" s="42"/>
      <c r="U1590" s="42"/>
      <c r="V1590" s="42"/>
      <c r="W1590" s="42"/>
      <c r="X1590" s="81"/>
    </row>
    <row r="1591" spans="2:24" x14ac:dyDescent="0.25">
      <c r="B1591" s="2">
        <v>1</v>
      </c>
      <c r="C1591" s="1">
        <f t="shared" si="190"/>
        <v>15.35294117647048</v>
      </c>
      <c r="D1591" s="1">
        <f t="shared" si="188"/>
        <v>1</v>
      </c>
      <c r="E1591" s="1">
        <f t="shared" si="191"/>
        <v>0</v>
      </c>
      <c r="F1591" s="31">
        <f t="shared" si="189"/>
        <v>14.6</v>
      </c>
      <c r="G1591" s="31">
        <f t="shared" ca="1" si="193"/>
        <v>14.6</v>
      </c>
      <c r="H1591" s="30">
        <f t="shared" ca="1" si="194"/>
        <v>0</v>
      </c>
      <c r="I1591" s="31">
        <f t="shared" ca="1" si="195"/>
        <v>14.6</v>
      </c>
      <c r="Q1591" s="80"/>
      <c r="R1591" s="42"/>
      <c r="S1591" s="90">
        <f t="shared" si="192"/>
        <v>153.29999999999558</v>
      </c>
      <c r="T1591" s="42"/>
      <c r="U1591" s="42"/>
      <c r="V1591" s="42"/>
      <c r="W1591" s="42"/>
      <c r="X1591" s="81"/>
    </row>
    <row r="1592" spans="2:24" x14ac:dyDescent="0.25">
      <c r="B1592" s="2">
        <v>1</v>
      </c>
      <c r="C1592" s="1">
        <f t="shared" si="190"/>
        <v>16.35294117647048</v>
      </c>
      <c r="D1592" s="1">
        <f t="shared" si="188"/>
        <v>1</v>
      </c>
      <c r="E1592" s="1">
        <f t="shared" si="191"/>
        <v>0</v>
      </c>
      <c r="F1592" s="31">
        <f t="shared" si="189"/>
        <v>14.6</v>
      </c>
      <c r="G1592" s="31">
        <f t="shared" ca="1" si="193"/>
        <v>14.6</v>
      </c>
      <c r="H1592" s="30">
        <f t="shared" ca="1" si="194"/>
        <v>0</v>
      </c>
      <c r="I1592" s="31">
        <f t="shared" ca="1" si="195"/>
        <v>14.6</v>
      </c>
      <c r="Q1592" s="80"/>
      <c r="R1592" s="42"/>
      <c r="S1592" s="90">
        <f t="shared" si="192"/>
        <v>153.39999999999557</v>
      </c>
      <c r="T1592" s="42"/>
      <c r="U1592" s="42"/>
      <c r="V1592" s="42"/>
      <c r="W1592" s="42"/>
      <c r="X1592" s="81"/>
    </row>
    <row r="1593" spans="2:24" x14ac:dyDescent="0.25">
      <c r="B1593" s="2">
        <v>1</v>
      </c>
      <c r="C1593" s="1">
        <f t="shared" si="190"/>
        <v>17.35294117647048</v>
      </c>
      <c r="D1593" s="1">
        <f t="shared" si="188"/>
        <v>1</v>
      </c>
      <c r="E1593" s="1">
        <f t="shared" si="191"/>
        <v>0</v>
      </c>
      <c r="F1593" s="31">
        <f t="shared" si="189"/>
        <v>14.6</v>
      </c>
      <c r="G1593" s="31">
        <f t="shared" ca="1" si="193"/>
        <v>14.6</v>
      </c>
      <c r="H1593" s="30">
        <f t="shared" ca="1" si="194"/>
        <v>0</v>
      </c>
      <c r="I1593" s="31">
        <f t="shared" ca="1" si="195"/>
        <v>14.6</v>
      </c>
      <c r="Q1593" s="80"/>
      <c r="R1593" s="42"/>
      <c r="S1593" s="90">
        <f t="shared" si="192"/>
        <v>153.49999999999557</v>
      </c>
      <c r="T1593" s="42"/>
      <c r="U1593" s="42"/>
      <c r="V1593" s="42"/>
      <c r="W1593" s="42"/>
      <c r="X1593" s="81"/>
    </row>
    <row r="1594" spans="2:24" x14ac:dyDescent="0.25">
      <c r="B1594" s="2">
        <v>1</v>
      </c>
      <c r="C1594" s="1">
        <f t="shared" si="190"/>
        <v>18.35294117647048</v>
      </c>
      <c r="D1594" s="1">
        <f t="shared" ref="D1594:D1657" si="196">IF(C1594&lt;=Inhelation_Time_RT,1,0)</f>
        <v>1</v>
      </c>
      <c r="E1594" s="1">
        <f t="shared" si="191"/>
        <v>0</v>
      </c>
      <c r="F1594" s="31">
        <f t="shared" ref="F1594:F1657" si="197">(D1594*Inspiratory_pressure_level) + (E1594*PEEP)</f>
        <v>14.6</v>
      </c>
      <c r="G1594" s="31">
        <f t="shared" ca="1" si="193"/>
        <v>14.6</v>
      </c>
      <c r="H1594" s="30">
        <f t="shared" ca="1" si="194"/>
        <v>0</v>
      </c>
      <c r="I1594" s="31">
        <f t="shared" ca="1" si="195"/>
        <v>14.6</v>
      </c>
      <c r="Q1594" s="80"/>
      <c r="R1594" s="42"/>
      <c r="S1594" s="90">
        <f t="shared" si="192"/>
        <v>153.59999999999556</v>
      </c>
      <c r="T1594" s="42"/>
      <c r="U1594" s="42"/>
      <c r="V1594" s="42"/>
      <c r="W1594" s="42"/>
      <c r="X1594" s="81"/>
    </row>
    <row r="1595" spans="2:24" x14ac:dyDescent="0.25">
      <c r="B1595" s="2">
        <v>1</v>
      </c>
      <c r="C1595" s="1">
        <f t="shared" ref="C1595:C1658" si="198">MOD(C1594+B1595,time_for_breath_RT)</f>
        <v>19.35294117647048</v>
      </c>
      <c r="D1595" s="1">
        <f t="shared" si="196"/>
        <v>1</v>
      </c>
      <c r="E1595" s="1">
        <f t="shared" ref="E1595:E1658" si="199">IF(D1595=1,0,1)</f>
        <v>0</v>
      </c>
      <c r="F1595" s="31">
        <f t="shared" si="197"/>
        <v>14.6</v>
      </c>
      <c r="G1595" s="31">
        <f t="shared" ca="1" si="193"/>
        <v>14.6</v>
      </c>
      <c r="H1595" s="30">
        <f t="shared" ca="1" si="194"/>
        <v>0</v>
      </c>
      <c r="I1595" s="31">
        <f t="shared" ca="1" si="195"/>
        <v>14.6</v>
      </c>
      <c r="Q1595" s="80"/>
      <c r="R1595" s="42"/>
      <c r="S1595" s="90">
        <f t="shared" ref="S1595:S1658" si="200">S1594+(B1594 / RTC_to_seconds)</f>
        <v>153.69999999999555</v>
      </c>
      <c r="T1595" s="42"/>
      <c r="U1595" s="42"/>
      <c r="V1595" s="42"/>
      <c r="W1595" s="42"/>
      <c r="X1595" s="81"/>
    </row>
    <row r="1596" spans="2:24" x14ac:dyDescent="0.25">
      <c r="B1596" s="2">
        <v>1</v>
      </c>
      <c r="C1596" s="1">
        <f t="shared" si="198"/>
        <v>20.35294117647048</v>
      </c>
      <c r="D1596" s="1">
        <f t="shared" si="196"/>
        <v>1</v>
      </c>
      <c r="E1596" s="1">
        <f t="shared" si="199"/>
        <v>0</v>
      </c>
      <c r="F1596" s="31">
        <f t="shared" si="197"/>
        <v>14.6</v>
      </c>
      <c r="G1596" s="31">
        <f t="shared" ca="1" si="193"/>
        <v>14.6</v>
      </c>
      <c r="H1596" s="30">
        <f t="shared" ca="1" si="194"/>
        <v>0</v>
      </c>
      <c r="I1596" s="31">
        <f t="shared" ca="1" si="195"/>
        <v>14.6</v>
      </c>
      <c r="Q1596" s="80"/>
      <c r="R1596" s="42"/>
      <c r="S1596" s="90">
        <f t="shared" si="200"/>
        <v>153.79999999999555</v>
      </c>
      <c r="T1596" s="42"/>
      <c r="U1596" s="42"/>
      <c r="V1596" s="42"/>
      <c r="W1596" s="42"/>
      <c r="X1596" s="81"/>
    </row>
    <row r="1597" spans="2:24" x14ac:dyDescent="0.25">
      <c r="B1597" s="2">
        <v>1</v>
      </c>
      <c r="C1597" s="1">
        <f t="shared" si="198"/>
        <v>21.35294117647048</v>
      </c>
      <c r="D1597" s="1">
        <f t="shared" si="196"/>
        <v>1</v>
      </c>
      <c r="E1597" s="1">
        <f t="shared" si="199"/>
        <v>0</v>
      </c>
      <c r="F1597" s="31">
        <f t="shared" si="197"/>
        <v>14.6</v>
      </c>
      <c r="G1597" s="31">
        <f t="shared" ca="1" si="193"/>
        <v>14.6</v>
      </c>
      <c r="H1597" s="30">
        <f t="shared" ca="1" si="194"/>
        <v>0</v>
      </c>
      <c r="I1597" s="31">
        <f t="shared" ca="1" si="195"/>
        <v>14.6</v>
      </c>
      <c r="Q1597" s="80"/>
      <c r="R1597" s="42"/>
      <c r="S1597" s="90">
        <f t="shared" si="200"/>
        <v>153.89999999999554</v>
      </c>
      <c r="T1597" s="42"/>
      <c r="U1597" s="42"/>
      <c r="V1597" s="42"/>
      <c r="W1597" s="42"/>
      <c r="X1597" s="81"/>
    </row>
    <row r="1598" spans="2:24" x14ac:dyDescent="0.25">
      <c r="B1598" s="2">
        <v>1</v>
      </c>
      <c r="C1598" s="1">
        <f t="shared" si="198"/>
        <v>22.35294117647048</v>
      </c>
      <c r="D1598" s="1">
        <f t="shared" si="196"/>
        <v>1</v>
      </c>
      <c r="E1598" s="1">
        <f t="shared" si="199"/>
        <v>0</v>
      </c>
      <c r="F1598" s="31">
        <f t="shared" si="197"/>
        <v>14.6</v>
      </c>
      <c r="G1598" s="31">
        <f t="shared" ca="1" si="193"/>
        <v>14.6</v>
      </c>
      <c r="H1598" s="30">
        <f t="shared" ca="1" si="194"/>
        <v>0</v>
      </c>
      <c r="I1598" s="31">
        <f t="shared" ca="1" si="195"/>
        <v>14.6</v>
      </c>
      <c r="Q1598" s="80"/>
      <c r="R1598" s="42"/>
      <c r="S1598" s="90">
        <f t="shared" si="200"/>
        <v>153.99999999999554</v>
      </c>
      <c r="T1598" s="42"/>
      <c r="U1598" s="42"/>
      <c r="V1598" s="42"/>
      <c r="W1598" s="42"/>
      <c r="X1598" s="81"/>
    </row>
    <row r="1599" spans="2:24" x14ac:dyDescent="0.25">
      <c r="B1599" s="2">
        <v>1</v>
      </c>
      <c r="C1599" s="1">
        <f t="shared" si="198"/>
        <v>23.35294117647048</v>
      </c>
      <c r="D1599" s="1">
        <f t="shared" si="196"/>
        <v>0</v>
      </c>
      <c r="E1599" s="1">
        <f t="shared" si="199"/>
        <v>1</v>
      </c>
      <c r="F1599" s="31">
        <f t="shared" si="197"/>
        <v>6.4</v>
      </c>
      <c r="G1599" s="31">
        <f t="shared" ca="1" si="193"/>
        <v>0</v>
      </c>
      <c r="H1599" s="30">
        <f t="shared" ca="1" si="194"/>
        <v>14.6</v>
      </c>
      <c r="I1599" s="31">
        <f t="shared" ca="1" si="195"/>
        <v>14.6</v>
      </c>
      <c r="Q1599" s="80"/>
      <c r="R1599" s="42"/>
      <c r="S1599" s="90">
        <f t="shared" si="200"/>
        <v>154.09999999999553</v>
      </c>
      <c r="T1599" s="42"/>
      <c r="U1599" s="42"/>
      <c r="V1599" s="42"/>
      <c r="W1599" s="42"/>
      <c r="X1599" s="81"/>
    </row>
    <row r="1600" spans="2:24" x14ac:dyDescent="0.25">
      <c r="B1600" s="2">
        <v>1</v>
      </c>
      <c r="C1600" s="1">
        <f t="shared" si="198"/>
        <v>24.35294117647048</v>
      </c>
      <c r="D1600" s="1">
        <f t="shared" si="196"/>
        <v>0</v>
      </c>
      <c r="E1600" s="1">
        <f t="shared" si="199"/>
        <v>1</v>
      </c>
      <c r="F1600" s="31">
        <f t="shared" si="197"/>
        <v>6.4</v>
      </c>
      <c r="G1600" s="31">
        <f t="shared" ca="1" si="193"/>
        <v>0</v>
      </c>
      <c r="H1600" s="30">
        <f t="shared" ca="1" si="194"/>
        <v>6.4</v>
      </c>
      <c r="I1600" s="31">
        <f t="shared" ca="1" si="195"/>
        <v>6.4</v>
      </c>
      <c r="Q1600" s="80"/>
      <c r="R1600" s="42"/>
      <c r="S1600" s="90">
        <f t="shared" si="200"/>
        <v>154.19999999999553</v>
      </c>
      <c r="T1600" s="42"/>
      <c r="U1600" s="42"/>
      <c r="V1600" s="42"/>
      <c r="W1600" s="42"/>
      <c r="X1600" s="81"/>
    </row>
    <row r="1601" spans="2:24" x14ac:dyDescent="0.25">
      <c r="B1601" s="2">
        <v>1</v>
      </c>
      <c r="C1601" s="1">
        <f t="shared" si="198"/>
        <v>25.35294117647048</v>
      </c>
      <c r="D1601" s="1">
        <f t="shared" si="196"/>
        <v>0</v>
      </c>
      <c r="E1601" s="1">
        <f t="shared" si="199"/>
        <v>1</v>
      </c>
      <c r="F1601" s="31">
        <f t="shared" si="197"/>
        <v>6.4</v>
      </c>
      <c r="G1601" s="31">
        <f t="shared" ca="1" si="193"/>
        <v>0</v>
      </c>
      <c r="H1601" s="30">
        <f t="shared" ca="1" si="194"/>
        <v>6.4</v>
      </c>
      <c r="I1601" s="31">
        <f t="shared" ca="1" si="195"/>
        <v>6.4</v>
      </c>
      <c r="Q1601" s="80"/>
      <c r="R1601" s="42"/>
      <c r="S1601" s="90">
        <f t="shared" si="200"/>
        <v>154.29999999999552</v>
      </c>
      <c r="T1601" s="42"/>
      <c r="U1601" s="42"/>
      <c r="V1601" s="42"/>
      <c r="W1601" s="42"/>
      <c r="X1601" s="81"/>
    </row>
    <row r="1602" spans="2:24" x14ac:dyDescent="0.25">
      <c r="B1602" s="2">
        <v>1</v>
      </c>
      <c r="C1602" s="1">
        <f t="shared" si="198"/>
        <v>26.35294117647048</v>
      </c>
      <c r="D1602" s="1">
        <f t="shared" si="196"/>
        <v>0</v>
      </c>
      <c r="E1602" s="1">
        <f t="shared" si="199"/>
        <v>1</v>
      </c>
      <c r="F1602" s="31">
        <f t="shared" si="197"/>
        <v>6.4</v>
      </c>
      <c r="G1602" s="31">
        <f t="shared" ca="1" si="193"/>
        <v>0</v>
      </c>
      <c r="H1602" s="30">
        <f t="shared" ca="1" si="194"/>
        <v>6.4</v>
      </c>
      <c r="I1602" s="31">
        <f t="shared" ca="1" si="195"/>
        <v>6.4</v>
      </c>
      <c r="Q1602" s="80"/>
      <c r="R1602" s="42"/>
      <c r="S1602" s="90">
        <f t="shared" si="200"/>
        <v>154.39999999999552</v>
      </c>
      <c r="T1602" s="42"/>
      <c r="U1602" s="42"/>
      <c r="V1602" s="42"/>
      <c r="W1602" s="42"/>
      <c r="X1602" s="81"/>
    </row>
    <row r="1603" spans="2:24" x14ac:dyDescent="0.25">
      <c r="B1603" s="2">
        <v>1</v>
      </c>
      <c r="C1603" s="1">
        <f t="shared" si="198"/>
        <v>27.35294117647048</v>
      </c>
      <c r="D1603" s="1">
        <f t="shared" si="196"/>
        <v>0</v>
      </c>
      <c r="E1603" s="1">
        <f t="shared" si="199"/>
        <v>1</v>
      </c>
      <c r="F1603" s="31">
        <f t="shared" si="197"/>
        <v>6.4</v>
      </c>
      <c r="G1603" s="31">
        <f t="shared" ca="1" si="193"/>
        <v>0</v>
      </c>
      <c r="H1603" s="30">
        <f t="shared" ca="1" si="194"/>
        <v>6.4</v>
      </c>
      <c r="I1603" s="31">
        <f t="shared" ca="1" si="195"/>
        <v>6.4</v>
      </c>
      <c r="Q1603" s="80"/>
      <c r="R1603" s="42"/>
      <c r="S1603" s="90">
        <f t="shared" si="200"/>
        <v>154.49999999999551</v>
      </c>
      <c r="T1603" s="42"/>
      <c r="U1603" s="42"/>
      <c r="V1603" s="42"/>
      <c r="W1603" s="42"/>
      <c r="X1603" s="81"/>
    </row>
    <row r="1604" spans="2:24" x14ac:dyDescent="0.25">
      <c r="B1604" s="2">
        <v>1</v>
      </c>
      <c r="C1604" s="1">
        <f t="shared" si="198"/>
        <v>28.35294117647048</v>
      </c>
      <c r="D1604" s="1">
        <f t="shared" si="196"/>
        <v>0</v>
      </c>
      <c r="E1604" s="1">
        <f t="shared" si="199"/>
        <v>1</v>
      </c>
      <c r="F1604" s="31">
        <f t="shared" si="197"/>
        <v>6.4</v>
      </c>
      <c r="G1604" s="31">
        <f t="shared" ca="1" si="193"/>
        <v>0</v>
      </c>
      <c r="H1604" s="30">
        <f t="shared" ca="1" si="194"/>
        <v>6.4</v>
      </c>
      <c r="I1604" s="31">
        <f t="shared" ca="1" si="195"/>
        <v>6.4</v>
      </c>
      <c r="Q1604" s="80"/>
      <c r="R1604" s="42"/>
      <c r="S1604" s="90">
        <f t="shared" si="200"/>
        <v>154.5999999999955</v>
      </c>
      <c r="T1604" s="42"/>
      <c r="U1604" s="42"/>
      <c r="V1604" s="42"/>
      <c r="W1604" s="42"/>
      <c r="X1604" s="81"/>
    </row>
    <row r="1605" spans="2:24" x14ac:dyDescent="0.25">
      <c r="B1605" s="2">
        <v>1</v>
      </c>
      <c r="C1605" s="1">
        <f t="shared" si="198"/>
        <v>29.35294117647048</v>
      </c>
      <c r="D1605" s="1">
        <f t="shared" si="196"/>
        <v>0</v>
      </c>
      <c r="E1605" s="1">
        <f t="shared" si="199"/>
        <v>1</v>
      </c>
      <c r="F1605" s="31">
        <f t="shared" si="197"/>
        <v>6.4</v>
      </c>
      <c r="G1605" s="31">
        <f t="shared" ca="1" si="193"/>
        <v>0</v>
      </c>
      <c r="H1605" s="30">
        <f t="shared" ca="1" si="194"/>
        <v>6.4</v>
      </c>
      <c r="I1605" s="31">
        <f t="shared" ca="1" si="195"/>
        <v>6.4</v>
      </c>
      <c r="Q1605" s="80"/>
      <c r="R1605" s="42"/>
      <c r="S1605" s="90">
        <f t="shared" si="200"/>
        <v>154.6999999999955</v>
      </c>
      <c r="T1605" s="42"/>
      <c r="U1605" s="42"/>
      <c r="V1605" s="42"/>
      <c r="W1605" s="42"/>
      <c r="X1605" s="81"/>
    </row>
    <row r="1606" spans="2:24" x14ac:dyDescent="0.25">
      <c r="B1606" s="2">
        <v>1</v>
      </c>
      <c r="C1606" s="1">
        <f t="shared" si="198"/>
        <v>30.35294117647048</v>
      </c>
      <c r="D1606" s="1">
        <f t="shared" si="196"/>
        <v>0</v>
      </c>
      <c r="E1606" s="1">
        <f t="shared" si="199"/>
        <v>1</v>
      </c>
      <c r="F1606" s="31">
        <f t="shared" si="197"/>
        <v>6.4</v>
      </c>
      <c r="G1606" s="31">
        <f t="shared" ca="1" si="193"/>
        <v>0</v>
      </c>
      <c r="H1606" s="30">
        <f t="shared" ca="1" si="194"/>
        <v>6.4</v>
      </c>
      <c r="I1606" s="31">
        <f t="shared" ca="1" si="195"/>
        <v>6.4</v>
      </c>
      <c r="Q1606" s="80"/>
      <c r="R1606" s="42"/>
      <c r="S1606" s="90">
        <f t="shared" si="200"/>
        <v>154.79999999999549</v>
      </c>
      <c r="T1606" s="42"/>
      <c r="U1606" s="42"/>
      <c r="V1606" s="42"/>
      <c r="W1606" s="42"/>
      <c r="X1606" s="81"/>
    </row>
    <row r="1607" spans="2:24" x14ac:dyDescent="0.25">
      <c r="B1607" s="2">
        <v>1</v>
      </c>
      <c r="C1607" s="1">
        <f t="shared" si="198"/>
        <v>31.35294117647048</v>
      </c>
      <c r="D1607" s="1">
        <f t="shared" si="196"/>
        <v>0</v>
      </c>
      <c r="E1607" s="1">
        <f t="shared" si="199"/>
        <v>1</v>
      </c>
      <c r="F1607" s="31">
        <f t="shared" si="197"/>
        <v>6.4</v>
      </c>
      <c r="G1607" s="31">
        <f t="shared" ca="1" si="193"/>
        <v>0</v>
      </c>
      <c r="H1607" s="30">
        <f t="shared" ca="1" si="194"/>
        <v>6.4</v>
      </c>
      <c r="I1607" s="31">
        <f t="shared" ca="1" si="195"/>
        <v>6.4</v>
      </c>
      <c r="Q1607" s="80"/>
      <c r="R1607" s="42"/>
      <c r="S1607" s="90">
        <f t="shared" si="200"/>
        <v>154.89999999999549</v>
      </c>
      <c r="T1607" s="42"/>
      <c r="U1607" s="42"/>
      <c r="V1607" s="42"/>
      <c r="W1607" s="42"/>
      <c r="X1607" s="81"/>
    </row>
    <row r="1608" spans="2:24" x14ac:dyDescent="0.25">
      <c r="B1608" s="2">
        <v>1</v>
      </c>
      <c r="C1608" s="1">
        <f t="shared" si="198"/>
        <v>32.35294117647048</v>
      </c>
      <c r="D1608" s="1">
        <f t="shared" si="196"/>
        <v>0</v>
      </c>
      <c r="E1608" s="1">
        <f t="shared" si="199"/>
        <v>1</v>
      </c>
      <c r="F1608" s="31">
        <f t="shared" si="197"/>
        <v>6.4</v>
      </c>
      <c r="G1608" s="31">
        <f t="shared" ca="1" si="193"/>
        <v>0</v>
      </c>
      <c r="H1608" s="30">
        <f t="shared" ca="1" si="194"/>
        <v>6.4</v>
      </c>
      <c r="I1608" s="31">
        <f t="shared" ca="1" si="195"/>
        <v>6.4</v>
      </c>
      <c r="Q1608" s="80"/>
      <c r="R1608" s="42"/>
      <c r="S1608" s="90">
        <f t="shared" si="200"/>
        <v>154.99999999999548</v>
      </c>
      <c r="T1608" s="42"/>
      <c r="U1608" s="42"/>
      <c r="V1608" s="42"/>
      <c r="W1608" s="42"/>
      <c r="X1608" s="81"/>
    </row>
    <row r="1609" spans="2:24" x14ac:dyDescent="0.25">
      <c r="B1609" s="2">
        <v>1</v>
      </c>
      <c r="C1609" s="1">
        <f t="shared" si="198"/>
        <v>33.35294117647048</v>
      </c>
      <c r="D1609" s="1">
        <f t="shared" si="196"/>
        <v>0</v>
      </c>
      <c r="E1609" s="1">
        <f t="shared" si="199"/>
        <v>1</v>
      </c>
      <c r="F1609" s="31">
        <f t="shared" si="197"/>
        <v>6.4</v>
      </c>
      <c r="G1609" s="31">
        <f t="shared" ca="1" si="193"/>
        <v>0</v>
      </c>
      <c r="H1609" s="30">
        <f t="shared" ca="1" si="194"/>
        <v>6.4</v>
      </c>
      <c r="I1609" s="31">
        <f t="shared" ca="1" si="195"/>
        <v>6.4</v>
      </c>
      <c r="Q1609" s="80"/>
      <c r="R1609" s="42"/>
      <c r="S1609" s="90">
        <f t="shared" si="200"/>
        <v>155.09999999999548</v>
      </c>
      <c r="T1609" s="42"/>
      <c r="U1609" s="42"/>
      <c r="V1609" s="42"/>
      <c r="W1609" s="42"/>
      <c r="X1609" s="81"/>
    </row>
    <row r="1610" spans="2:24" x14ac:dyDescent="0.25">
      <c r="B1610" s="2">
        <v>1</v>
      </c>
      <c r="C1610" s="1">
        <f t="shared" si="198"/>
        <v>34.35294117647048</v>
      </c>
      <c r="D1610" s="1">
        <f t="shared" si="196"/>
        <v>0</v>
      </c>
      <c r="E1610" s="1">
        <f t="shared" si="199"/>
        <v>1</v>
      </c>
      <c r="F1610" s="31">
        <f t="shared" si="197"/>
        <v>6.4</v>
      </c>
      <c r="G1610" s="31">
        <f t="shared" ca="1" si="193"/>
        <v>0</v>
      </c>
      <c r="H1610" s="30">
        <f t="shared" ca="1" si="194"/>
        <v>6.4</v>
      </c>
      <c r="I1610" s="31">
        <f t="shared" ca="1" si="195"/>
        <v>6.4</v>
      </c>
      <c r="Q1610" s="80"/>
      <c r="R1610" s="42"/>
      <c r="S1610" s="90">
        <f t="shared" si="200"/>
        <v>155.19999999999547</v>
      </c>
      <c r="T1610" s="42"/>
      <c r="U1610" s="42"/>
      <c r="V1610" s="42"/>
      <c r="W1610" s="42"/>
      <c r="X1610" s="81"/>
    </row>
    <row r="1611" spans="2:24" x14ac:dyDescent="0.25">
      <c r="B1611" s="2">
        <v>1</v>
      </c>
      <c r="C1611" s="1">
        <f t="shared" si="198"/>
        <v>5.8823529411654363E-2</v>
      </c>
      <c r="D1611" s="1">
        <f t="shared" si="196"/>
        <v>1</v>
      </c>
      <c r="E1611" s="1">
        <f t="shared" si="199"/>
        <v>0</v>
      </c>
      <c r="F1611" s="31">
        <f t="shared" si="197"/>
        <v>14.6</v>
      </c>
      <c r="G1611" s="31">
        <f t="shared" ref="G1611:G1674" ca="1" si="201">IF(D1611=1, AVERAGE(OFFSET(F1611,-$L$27,0,$L$27,1)),0)</f>
        <v>6.4</v>
      </c>
      <c r="H1611" s="30">
        <f t="shared" ref="H1611:H1674" ca="1" si="202">IF(D1611=0, AVERAGE(OFFSET(F1611,-$L$28,0,$L$28,1)),0)</f>
        <v>0</v>
      </c>
      <c r="I1611" s="31">
        <f t="shared" ref="I1611:I1674" ca="1" si="203">G1611+H1611</f>
        <v>6.4</v>
      </c>
      <c r="Q1611" s="80"/>
      <c r="R1611" s="42"/>
      <c r="S1611" s="90">
        <f t="shared" si="200"/>
        <v>155.29999999999546</v>
      </c>
      <c r="T1611" s="42"/>
      <c r="U1611" s="42"/>
      <c r="V1611" s="42"/>
      <c r="W1611" s="42"/>
      <c r="X1611" s="81"/>
    </row>
    <row r="1612" spans="2:24" x14ac:dyDescent="0.25">
      <c r="B1612" s="2">
        <v>1</v>
      </c>
      <c r="C1612" s="1">
        <f t="shared" si="198"/>
        <v>1.0588235294116544</v>
      </c>
      <c r="D1612" s="1">
        <f t="shared" si="196"/>
        <v>1</v>
      </c>
      <c r="E1612" s="1">
        <f t="shared" si="199"/>
        <v>0</v>
      </c>
      <c r="F1612" s="31">
        <f t="shared" si="197"/>
        <v>14.6</v>
      </c>
      <c r="G1612" s="31">
        <f t="shared" ca="1" si="201"/>
        <v>8.4500000000000011</v>
      </c>
      <c r="H1612" s="30">
        <f t="shared" ca="1" si="202"/>
        <v>0</v>
      </c>
      <c r="I1612" s="31">
        <f t="shared" ca="1" si="203"/>
        <v>8.4500000000000011</v>
      </c>
      <c r="Q1612" s="80"/>
      <c r="R1612" s="42"/>
      <c r="S1612" s="90">
        <f t="shared" si="200"/>
        <v>155.39999999999546</v>
      </c>
      <c r="T1612" s="42"/>
      <c r="U1612" s="42"/>
      <c r="V1612" s="42"/>
      <c r="W1612" s="42"/>
      <c r="X1612" s="81"/>
    </row>
    <row r="1613" spans="2:24" x14ac:dyDescent="0.25">
      <c r="B1613" s="2">
        <v>1</v>
      </c>
      <c r="C1613" s="1">
        <f t="shared" si="198"/>
        <v>2.0588235294116544</v>
      </c>
      <c r="D1613" s="1">
        <f t="shared" si="196"/>
        <v>1</v>
      </c>
      <c r="E1613" s="1">
        <f t="shared" si="199"/>
        <v>0</v>
      </c>
      <c r="F1613" s="31">
        <f t="shared" si="197"/>
        <v>14.6</v>
      </c>
      <c r="G1613" s="31">
        <f t="shared" ca="1" si="201"/>
        <v>10.5</v>
      </c>
      <c r="H1613" s="30">
        <f t="shared" ca="1" si="202"/>
        <v>0</v>
      </c>
      <c r="I1613" s="31">
        <f t="shared" ca="1" si="203"/>
        <v>10.5</v>
      </c>
      <c r="Q1613" s="80"/>
      <c r="R1613" s="42"/>
      <c r="S1613" s="90">
        <f t="shared" si="200"/>
        <v>155.49999999999545</v>
      </c>
      <c r="T1613" s="42"/>
      <c r="U1613" s="42"/>
      <c r="V1613" s="42"/>
      <c r="W1613" s="42"/>
      <c r="X1613" s="81"/>
    </row>
    <row r="1614" spans="2:24" x14ac:dyDescent="0.25">
      <c r="B1614" s="2">
        <v>1</v>
      </c>
      <c r="C1614" s="1">
        <f t="shared" si="198"/>
        <v>3.0588235294116544</v>
      </c>
      <c r="D1614" s="1">
        <f t="shared" si="196"/>
        <v>1</v>
      </c>
      <c r="E1614" s="1">
        <f t="shared" si="199"/>
        <v>0</v>
      </c>
      <c r="F1614" s="31">
        <f t="shared" si="197"/>
        <v>14.6</v>
      </c>
      <c r="G1614" s="31">
        <f t="shared" ca="1" si="201"/>
        <v>12.55</v>
      </c>
      <c r="H1614" s="30">
        <f t="shared" ca="1" si="202"/>
        <v>0</v>
      </c>
      <c r="I1614" s="31">
        <f t="shared" ca="1" si="203"/>
        <v>12.55</v>
      </c>
      <c r="Q1614" s="80"/>
      <c r="R1614" s="42"/>
      <c r="S1614" s="90">
        <f t="shared" si="200"/>
        <v>155.59999999999545</v>
      </c>
      <c r="T1614" s="42"/>
      <c r="U1614" s="42"/>
      <c r="V1614" s="42"/>
      <c r="W1614" s="42"/>
      <c r="X1614" s="81"/>
    </row>
    <row r="1615" spans="2:24" x14ac:dyDescent="0.25">
      <c r="B1615" s="2">
        <v>1</v>
      </c>
      <c r="C1615" s="1">
        <f t="shared" si="198"/>
        <v>4.0588235294116544</v>
      </c>
      <c r="D1615" s="1">
        <f t="shared" si="196"/>
        <v>1</v>
      </c>
      <c r="E1615" s="1">
        <f t="shared" si="199"/>
        <v>0</v>
      </c>
      <c r="F1615" s="31">
        <f t="shared" si="197"/>
        <v>14.6</v>
      </c>
      <c r="G1615" s="31">
        <f t="shared" ca="1" si="201"/>
        <v>14.6</v>
      </c>
      <c r="H1615" s="30">
        <f t="shared" ca="1" si="202"/>
        <v>0</v>
      </c>
      <c r="I1615" s="31">
        <f t="shared" ca="1" si="203"/>
        <v>14.6</v>
      </c>
      <c r="Q1615" s="80"/>
      <c r="R1615" s="42"/>
      <c r="S1615" s="90">
        <f t="shared" si="200"/>
        <v>155.69999999999544</v>
      </c>
      <c r="T1615" s="42"/>
      <c r="U1615" s="42"/>
      <c r="V1615" s="42"/>
      <c r="W1615" s="42"/>
      <c r="X1615" s="81"/>
    </row>
    <row r="1616" spans="2:24" x14ac:dyDescent="0.25">
      <c r="B1616" s="2">
        <v>1</v>
      </c>
      <c r="C1616" s="1">
        <f t="shared" si="198"/>
        <v>5.0588235294116544</v>
      </c>
      <c r="D1616" s="1">
        <f t="shared" si="196"/>
        <v>1</v>
      </c>
      <c r="E1616" s="1">
        <f t="shared" si="199"/>
        <v>0</v>
      </c>
      <c r="F1616" s="31">
        <f t="shared" si="197"/>
        <v>14.6</v>
      </c>
      <c r="G1616" s="31">
        <f t="shared" ca="1" si="201"/>
        <v>14.6</v>
      </c>
      <c r="H1616" s="30">
        <f t="shared" ca="1" si="202"/>
        <v>0</v>
      </c>
      <c r="I1616" s="31">
        <f t="shared" ca="1" si="203"/>
        <v>14.6</v>
      </c>
      <c r="Q1616" s="80"/>
      <c r="R1616" s="42"/>
      <c r="S1616" s="90">
        <f t="shared" si="200"/>
        <v>155.79999999999544</v>
      </c>
      <c r="T1616" s="42"/>
      <c r="U1616" s="42"/>
      <c r="V1616" s="42"/>
      <c r="W1616" s="42"/>
      <c r="X1616" s="81"/>
    </row>
    <row r="1617" spans="2:24" x14ac:dyDescent="0.25">
      <c r="B1617" s="2">
        <v>1</v>
      </c>
      <c r="C1617" s="1">
        <f t="shared" si="198"/>
        <v>6.0588235294116544</v>
      </c>
      <c r="D1617" s="1">
        <f t="shared" si="196"/>
        <v>1</v>
      </c>
      <c r="E1617" s="1">
        <f t="shared" si="199"/>
        <v>0</v>
      </c>
      <c r="F1617" s="31">
        <f t="shared" si="197"/>
        <v>14.6</v>
      </c>
      <c r="G1617" s="31">
        <f t="shared" ca="1" si="201"/>
        <v>14.6</v>
      </c>
      <c r="H1617" s="30">
        <f t="shared" ca="1" si="202"/>
        <v>0</v>
      </c>
      <c r="I1617" s="31">
        <f t="shared" ca="1" si="203"/>
        <v>14.6</v>
      </c>
      <c r="Q1617" s="80"/>
      <c r="R1617" s="42"/>
      <c r="S1617" s="90">
        <f t="shared" si="200"/>
        <v>155.89999999999543</v>
      </c>
      <c r="T1617" s="42"/>
      <c r="U1617" s="42"/>
      <c r="V1617" s="42"/>
      <c r="W1617" s="42"/>
      <c r="X1617" s="81"/>
    </row>
    <row r="1618" spans="2:24" x14ac:dyDescent="0.25">
      <c r="B1618" s="2">
        <v>1</v>
      </c>
      <c r="C1618" s="1">
        <f t="shared" si="198"/>
        <v>7.0588235294116544</v>
      </c>
      <c r="D1618" s="1">
        <f t="shared" si="196"/>
        <v>1</v>
      </c>
      <c r="E1618" s="1">
        <f t="shared" si="199"/>
        <v>0</v>
      </c>
      <c r="F1618" s="31">
        <f t="shared" si="197"/>
        <v>14.6</v>
      </c>
      <c r="G1618" s="31">
        <f t="shared" ca="1" si="201"/>
        <v>14.6</v>
      </c>
      <c r="H1618" s="30">
        <f t="shared" ca="1" si="202"/>
        <v>0</v>
      </c>
      <c r="I1618" s="31">
        <f t="shared" ca="1" si="203"/>
        <v>14.6</v>
      </c>
      <c r="Q1618" s="80"/>
      <c r="R1618" s="42"/>
      <c r="S1618" s="90">
        <f t="shared" si="200"/>
        <v>155.99999999999542</v>
      </c>
      <c r="T1618" s="42"/>
      <c r="U1618" s="42"/>
      <c r="V1618" s="42"/>
      <c r="W1618" s="42"/>
      <c r="X1618" s="81"/>
    </row>
    <row r="1619" spans="2:24" x14ac:dyDescent="0.25">
      <c r="B1619" s="2">
        <v>1</v>
      </c>
      <c r="C1619" s="1">
        <f t="shared" si="198"/>
        <v>8.0588235294116544</v>
      </c>
      <c r="D1619" s="1">
        <f t="shared" si="196"/>
        <v>1</v>
      </c>
      <c r="E1619" s="1">
        <f t="shared" si="199"/>
        <v>0</v>
      </c>
      <c r="F1619" s="31">
        <f t="shared" si="197"/>
        <v>14.6</v>
      </c>
      <c r="G1619" s="31">
        <f t="shared" ca="1" si="201"/>
        <v>14.6</v>
      </c>
      <c r="H1619" s="30">
        <f t="shared" ca="1" si="202"/>
        <v>0</v>
      </c>
      <c r="I1619" s="31">
        <f t="shared" ca="1" si="203"/>
        <v>14.6</v>
      </c>
      <c r="Q1619" s="80"/>
      <c r="R1619" s="42"/>
      <c r="S1619" s="90">
        <f t="shared" si="200"/>
        <v>156.09999999999542</v>
      </c>
      <c r="T1619" s="42"/>
      <c r="U1619" s="42"/>
      <c r="V1619" s="42"/>
      <c r="W1619" s="42"/>
      <c r="X1619" s="81"/>
    </row>
    <row r="1620" spans="2:24" x14ac:dyDescent="0.25">
      <c r="B1620" s="2">
        <v>1</v>
      </c>
      <c r="C1620" s="1">
        <f t="shared" si="198"/>
        <v>9.0588235294116544</v>
      </c>
      <c r="D1620" s="1">
        <f t="shared" si="196"/>
        <v>1</v>
      </c>
      <c r="E1620" s="1">
        <f t="shared" si="199"/>
        <v>0</v>
      </c>
      <c r="F1620" s="31">
        <f t="shared" si="197"/>
        <v>14.6</v>
      </c>
      <c r="G1620" s="31">
        <f t="shared" ca="1" si="201"/>
        <v>14.6</v>
      </c>
      <c r="H1620" s="30">
        <f t="shared" ca="1" si="202"/>
        <v>0</v>
      </c>
      <c r="I1620" s="31">
        <f t="shared" ca="1" si="203"/>
        <v>14.6</v>
      </c>
      <c r="Q1620" s="80"/>
      <c r="R1620" s="42"/>
      <c r="S1620" s="90">
        <f t="shared" si="200"/>
        <v>156.19999999999541</v>
      </c>
      <c r="T1620" s="42"/>
      <c r="U1620" s="42"/>
      <c r="V1620" s="42"/>
      <c r="W1620" s="42"/>
      <c r="X1620" s="81"/>
    </row>
    <row r="1621" spans="2:24" x14ac:dyDescent="0.25">
      <c r="B1621" s="2">
        <v>1</v>
      </c>
      <c r="C1621" s="1">
        <f t="shared" si="198"/>
        <v>10.058823529411654</v>
      </c>
      <c r="D1621" s="1">
        <f t="shared" si="196"/>
        <v>1</v>
      </c>
      <c r="E1621" s="1">
        <f t="shared" si="199"/>
        <v>0</v>
      </c>
      <c r="F1621" s="31">
        <f t="shared" si="197"/>
        <v>14.6</v>
      </c>
      <c r="G1621" s="31">
        <f t="shared" ca="1" si="201"/>
        <v>14.6</v>
      </c>
      <c r="H1621" s="30">
        <f t="shared" ca="1" si="202"/>
        <v>0</v>
      </c>
      <c r="I1621" s="31">
        <f t="shared" ca="1" si="203"/>
        <v>14.6</v>
      </c>
      <c r="Q1621" s="80"/>
      <c r="R1621" s="42"/>
      <c r="S1621" s="90">
        <f t="shared" si="200"/>
        <v>156.29999999999541</v>
      </c>
      <c r="T1621" s="42"/>
      <c r="U1621" s="42"/>
      <c r="V1621" s="42"/>
      <c r="W1621" s="42"/>
      <c r="X1621" s="81"/>
    </row>
    <row r="1622" spans="2:24" x14ac:dyDescent="0.25">
      <c r="B1622" s="2">
        <v>1</v>
      </c>
      <c r="C1622" s="1">
        <f t="shared" si="198"/>
        <v>11.058823529411654</v>
      </c>
      <c r="D1622" s="1">
        <f t="shared" si="196"/>
        <v>1</v>
      </c>
      <c r="E1622" s="1">
        <f t="shared" si="199"/>
        <v>0</v>
      </c>
      <c r="F1622" s="31">
        <f t="shared" si="197"/>
        <v>14.6</v>
      </c>
      <c r="G1622" s="31">
        <f t="shared" ca="1" si="201"/>
        <v>14.6</v>
      </c>
      <c r="H1622" s="30">
        <f t="shared" ca="1" si="202"/>
        <v>0</v>
      </c>
      <c r="I1622" s="31">
        <f t="shared" ca="1" si="203"/>
        <v>14.6</v>
      </c>
      <c r="Q1622" s="80"/>
      <c r="R1622" s="42"/>
      <c r="S1622" s="90">
        <f t="shared" si="200"/>
        <v>156.3999999999954</v>
      </c>
      <c r="T1622" s="42"/>
      <c r="U1622" s="42"/>
      <c r="V1622" s="42"/>
      <c r="W1622" s="42"/>
      <c r="X1622" s="81"/>
    </row>
    <row r="1623" spans="2:24" x14ac:dyDescent="0.25">
      <c r="B1623" s="2">
        <v>1</v>
      </c>
      <c r="C1623" s="1">
        <f t="shared" si="198"/>
        <v>12.058823529411654</v>
      </c>
      <c r="D1623" s="1">
        <f t="shared" si="196"/>
        <v>1</v>
      </c>
      <c r="E1623" s="1">
        <f t="shared" si="199"/>
        <v>0</v>
      </c>
      <c r="F1623" s="31">
        <f t="shared" si="197"/>
        <v>14.6</v>
      </c>
      <c r="G1623" s="31">
        <f t="shared" ca="1" si="201"/>
        <v>14.6</v>
      </c>
      <c r="H1623" s="30">
        <f t="shared" ca="1" si="202"/>
        <v>0</v>
      </c>
      <c r="I1623" s="31">
        <f t="shared" ca="1" si="203"/>
        <v>14.6</v>
      </c>
      <c r="Q1623" s="80"/>
      <c r="R1623" s="42"/>
      <c r="S1623" s="90">
        <f t="shared" si="200"/>
        <v>156.4999999999954</v>
      </c>
      <c r="T1623" s="42"/>
      <c r="U1623" s="42"/>
      <c r="V1623" s="42"/>
      <c r="W1623" s="42"/>
      <c r="X1623" s="81"/>
    </row>
    <row r="1624" spans="2:24" x14ac:dyDescent="0.25">
      <c r="B1624" s="2">
        <v>1</v>
      </c>
      <c r="C1624" s="1">
        <f t="shared" si="198"/>
        <v>13.058823529411654</v>
      </c>
      <c r="D1624" s="1">
        <f t="shared" si="196"/>
        <v>1</v>
      </c>
      <c r="E1624" s="1">
        <f t="shared" si="199"/>
        <v>0</v>
      </c>
      <c r="F1624" s="31">
        <f t="shared" si="197"/>
        <v>14.6</v>
      </c>
      <c r="G1624" s="31">
        <f t="shared" ca="1" si="201"/>
        <v>14.6</v>
      </c>
      <c r="H1624" s="30">
        <f t="shared" ca="1" si="202"/>
        <v>0</v>
      </c>
      <c r="I1624" s="31">
        <f t="shared" ca="1" si="203"/>
        <v>14.6</v>
      </c>
      <c r="Q1624" s="80"/>
      <c r="R1624" s="42"/>
      <c r="S1624" s="90">
        <f t="shared" si="200"/>
        <v>156.59999999999539</v>
      </c>
      <c r="T1624" s="42"/>
      <c r="U1624" s="42"/>
      <c r="V1624" s="42"/>
      <c r="W1624" s="42"/>
      <c r="X1624" s="81"/>
    </row>
    <row r="1625" spans="2:24" x14ac:dyDescent="0.25">
      <c r="B1625" s="2">
        <v>1</v>
      </c>
      <c r="C1625" s="1">
        <f t="shared" si="198"/>
        <v>14.058823529411654</v>
      </c>
      <c r="D1625" s="1">
        <f t="shared" si="196"/>
        <v>1</v>
      </c>
      <c r="E1625" s="1">
        <f t="shared" si="199"/>
        <v>0</v>
      </c>
      <c r="F1625" s="31">
        <f t="shared" si="197"/>
        <v>14.6</v>
      </c>
      <c r="G1625" s="31">
        <f t="shared" ca="1" si="201"/>
        <v>14.6</v>
      </c>
      <c r="H1625" s="30">
        <f t="shared" ca="1" si="202"/>
        <v>0</v>
      </c>
      <c r="I1625" s="31">
        <f t="shared" ca="1" si="203"/>
        <v>14.6</v>
      </c>
      <c r="Q1625" s="80"/>
      <c r="R1625" s="42"/>
      <c r="S1625" s="90">
        <f t="shared" si="200"/>
        <v>156.69999999999538</v>
      </c>
      <c r="T1625" s="42"/>
      <c r="U1625" s="42"/>
      <c r="V1625" s="42"/>
      <c r="W1625" s="42"/>
      <c r="X1625" s="81"/>
    </row>
    <row r="1626" spans="2:24" x14ac:dyDescent="0.25">
      <c r="B1626" s="2">
        <v>1</v>
      </c>
      <c r="C1626" s="1">
        <f t="shared" si="198"/>
        <v>15.058823529411654</v>
      </c>
      <c r="D1626" s="1">
        <f t="shared" si="196"/>
        <v>1</v>
      </c>
      <c r="E1626" s="1">
        <f t="shared" si="199"/>
        <v>0</v>
      </c>
      <c r="F1626" s="31">
        <f t="shared" si="197"/>
        <v>14.6</v>
      </c>
      <c r="G1626" s="31">
        <f t="shared" ca="1" si="201"/>
        <v>14.6</v>
      </c>
      <c r="H1626" s="30">
        <f t="shared" ca="1" si="202"/>
        <v>0</v>
      </c>
      <c r="I1626" s="31">
        <f t="shared" ca="1" si="203"/>
        <v>14.6</v>
      </c>
      <c r="Q1626" s="80"/>
      <c r="R1626" s="42"/>
      <c r="S1626" s="90">
        <f t="shared" si="200"/>
        <v>156.79999999999538</v>
      </c>
      <c r="T1626" s="42"/>
      <c r="U1626" s="42"/>
      <c r="V1626" s="42"/>
      <c r="W1626" s="42"/>
      <c r="X1626" s="81"/>
    </row>
    <row r="1627" spans="2:24" x14ac:dyDescent="0.25">
      <c r="B1627" s="2">
        <v>1</v>
      </c>
      <c r="C1627" s="1">
        <f t="shared" si="198"/>
        <v>16.058823529411654</v>
      </c>
      <c r="D1627" s="1">
        <f t="shared" si="196"/>
        <v>1</v>
      </c>
      <c r="E1627" s="1">
        <f t="shared" si="199"/>
        <v>0</v>
      </c>
      <c r="F1627" s="31">
        <f t="shared" si="197"/>
        <v>14.6</v>
      </c>
      <c r="G1627" s="31">
        <f t="shared" ca="1" si="201"/>
        <v>14.6</v>
      </c>
      <c r="H1627" s="30">
        <f t="shared" ca="1" si="202"/>
        <v>0</v>
      </c>
      <c r="I1627" s="31">
        <f t="shared" ca="1" si="203"/>
        <v>14.6</v>
      </c>
      <c r="Q1627" s="80"/>
      <c r="R1627" s="42"/>
      <c r="S1627" s="90">
        <f t="shared" si="200"/>
        <v>156.89999999999537</v>
      </c>
      <c r="T1627" s="42"/>
      <c r="U1627" s="42"/>
      <c r="V1627" s="42"/>
      <c r="W1627" s="42"/>
      <c r="X1627" s="81"/>
    </row>
    <row r="1628" spans="2:24" x14ac:dyDescent="0.25">
      <c r="B1628" s="2">
        <v>1</v>
      </c>
      <c r="C1628" s="1">
        <f t="shared" si="198"/>
        <v>17.058823529411654</v>
      </c>
      <c r="D1628" s="1">
        <f t="shared" si="196"/>
        <v>1</v>
      </c>
      <c r="E1628" s="1">
        <f t="shared" si="199"/>
        <v>0</v>
      </c>
      <c r="F1628" s="31">
        <f t="shared" si="197"/>
        <v>14.6</v>
      </c>
      <c r="G1628" s="31">
        <f t="shared" ca="1" si="201"/>
        <v>14.6</v>
      </c>
      <c r="H1628" s="30">
        <f t="shared" ca="1" si="202"/>
        <v>0</v>
      </c>
      <c r="I1628" s="31">
        <f t="shared" ca="1" si="203"/>
        <v>14.6</v>
      </c>
      <c r="Q1628" s="80"/>
      <c r="R1628" s="42"/>
      <c r="S1628" s="90">
        <f t="shared" si="200"/>
        <v>156.99999999999537</v>
      </c>
      <c r="T1628" s="42"/>
      <c r="U1628" s="42"/>
      <c r="V1628" s="42"/>
      <c r="W1628" s="42"/>
      <c r="X1628" s="81"/>
    </row>
    <row r="1629" spans="2:24" x14ac:dyDescent="0.25">
      <c r="B1629" s="2">
        <v>1</v>
      </c>
      <c r="C1629" s="1">
        <f t="shared" si="198"/>
        <v>18.058823529411654</v>
      </c>
      <c r="D1629" s="1">
        <f t="shared" si="196"/>
        <v>1</v>
      </c>
      <c r="E1629" s="1">
        <f t="shared" si="199"/>
        <v>0</v>
      </c>
      <c r="F1629" s="31">
        <f t="shared" si="197"/>
        <v>14.6</v>
      </c>
      <c r="G1629" s="31">
        <f t="shared" ca="1" si="201"/>
        <v>14.6</v>
      </c>
      <c r="H1629" s="30">
        <f t="shared" ca="1" si="202"/>
        <v>0</v>
      </c>
      <c r="I1629" s="31">
        <f t="shared" ca="1" si="203"/>
        <v>14.6</v>
      </c>
      <c r="Q1629" s="80"/>
      <c r="R1629" s="42"/>
      <c r="S1629" s="90">
        <f t="shared" si="200"/>
        <v>157.09999999999536</v>
      </c>
      <c r="T1629" s="42"/>
      <c r="U1629" s="42"/>
      <c r="V1629" s="42"/>
      <c r="W1629" s="42"/>
      <c r="X1629" s="81"/>
    </row>
    <row r="1630" spans="2:24" x14ac:dyDescent="0.25">
      <c r="B1630" s="2">
        <v>1</v>
      </c>
      <c r="C1630" s="1">
        <f t="shared" si="198"/>
        <v>19.058823529411654</v>
      </c>
      <c r="D1630" s="1">
        <f t="shared" si="196"/>
        <v>1</v>
      </c>
      <c r="E1630" s="1">
        <f t="shared" si="199"/>
        <v>0</v>
      </c>
      <c r="F1630" s="31">
        <f t="shared" si="197"/>
        <v>14.6</v>
      </c>
      <c r="G1630" s="31">
        <f t="shared" ca="1" si="201"/>
        <v>14.6</v>
      </c>
      <c r="H1630" s="30">
        <f t="shared" ca="1" si="202"/>
        <v>0</v>
      </c>
      <c r="I1630" s="31">
        <f t="shared" ca="1" si="203"/>
        <v>14.6</v>
      </c>
      <c r="Q1630" s="80"/>
      <c r="R1630" s="42"/>
      <c r="S1630" s="90">
        <f t="shared" si="200"/>
        <v>157.19999999999536</v>
      </c>
      <c r="T1630" s="42"/>
      <c r="U1630" s="42"/>
      <c r="V1630" s="42"/>
      <c r="W1630" s="42"/>
      <c r="X1630" s="81"/>
    </row>
    <row r="1631" spans="2:24" x14ac:dyDescent="0.25">
      <c r="B1631" s="2">
        <v>1</v>
      </c>
      <c r="C1631" s="1">
        <f t="shared" si="198"/>
        <v>20.058823529411654</v>
      </c>
      <c r="D1631" s="1">
        <f t="shared" si="196"/>
        <v>1</v>
      </c>
      <c r="E1631" s="1">
        <f t="shared" si="199"/>
        <v>0</v>
      </c>
      <c r="F1631" s="31">
        <f t="shared" si="197"/>
        <v>14.6</v>
      </c>
      <c r="G1631" s="31">
        <f t="shared" ca="1" si="201"/>
        <v>14.6</v>
      </c>
      <c r="H1631" s="30">
        <f t="shared" ca="1" si="202"/>
        <v>0</v>
      </c>
      <c r="I1631" s="31">
        <f t="shared" ca="1" si="203"/>
        <v>14.6</v>
      </c>
      <c r="Q1631" s="80"/>
      <c r="R1631" s="42"/>
      <c r="S1631" s="90">
        <f t="shared" si="200"/>
        <v>157.29999999999535</v>
      </c>
      <c r="T1631" s="42"/>
      <c r="U1631" s="42"/>
      <c r="V1631" s="42"/>
      <c r="W1631" s="42"/>
      <c r="X1631" s="81"/>
    </row>
    <row r="1632" spans="2:24" x14ac:dyDescent="0.25">
      <c r="B1632" s="2">
        <v>1</v>
      </c>
      <c r="C1632" s="1">
        <f t="shared" si="198"/>
        <v>21.058823529411654</v>
      </c>
      <c r="D1632" s="1">
        <f t="shared" si="196"/>
        <v>1</v>
      </c>
      <c r="E1632" s="1">
        <f t="shared" si="199"/>
        <v>0</v>
      </c>
      <c r="F1632" s="31">
        <f t="shared" si="197"/>
        <v>14.6</v>
      </c>
      <c r="G1632" s="31">
        <f t="shared" ca="1" si="201"/>
        <v>14.6</v>
      </c>
      <c r="H1632" s="30">
        <f t="shared" ca="1" si="202"/>
        <v>0</v>
      </c>
      <c r="I1632" s="31">
        <f t="shared" ca="1" si="203"/>
        <v>14.6</v>
      </c>
      <c r="Q1632" s="80"/>
      <c r="R1632" s="42"/>
      <c r="S1632" s="90">
        <f t="shared" si="200"/>
        <v>157.39999999999534</v>
      </c>
      <c r="T1632" s="42"/>
      <c r="U1632" s="42"/>
      <c r="V1632" s="42"/>
      <c r="W1632" s="42"/>
      <c r="X1632" s="81"/>
    </row>
    <row r="1633" spans="2:24" x14ac:dyDescent="0.25">
      <c r="B1633" s="2">
        <v>1</v>
      </c>
      <c r="C1633" s="1">
        <f t="shared" si="198"/>
        <v>22.058823529411654</v>
      </c>
      <c r="D1633" s="1">
        <f t="shared" si="196"/>
        <v>1</v>
      </c>
      <c r="E1633" s="1">
        <f t="shared" si="199"/>
        <v>0</v>
      </c>
      <c r="F1633" s="31">
        <f t="shared" si="197"/>
        <v>14.6</v>
      </c>
      <c r="G1633" s="31">
        <f t="shared" ca="1" si="201"/>
        <v>14.6</v>
      </c>
      <c r="H1633" s="30">
        <f t="shared" ca="1" si="202"/>
        <v>0</v>
      </c>
      <c r="I1633" s="31">
        <f t="shared" ca="1" si="203"/>
        <v>14.6</v>
      </c>
      <c r="Q1633" s="80"/>
      <c r="R1633" s="42"/>
      <c r="S1633" s="90">
        <f t="shared" si="200"/>
        <v>157.49999999999534</v>
      </c>
      <c r="T1633" s="42"/>
      <c r="U1633" s="42"/>
      <c r="V1633" s="42"/>
      <c r="W1633" s="42"/>
      <c r="X1633" s="81"/>
    </row>
    <row r="1634" spans="2:24" x14ac:dyDescent="0.25">
      <c r="B1634" s="2">
        <v>1</v>
      </c>
      <c r="C1634" s="1">
        <f t="shared" si="198"/>
        <v>23.058823529411654</v>
      </c>
      <c r="D1634" s="1">
        <f t="shared" si="196"/>
        <v>0</v>
      </c>
      <c r="E1634" s="1">
        <f t="shared" si="199"/>
        <v>1</v>
      </c>
      <c r="F1634" s="31">
        <f t="shared" si="197"/>
        <v>6.4</v>
      </c>
      <c r="G1634" s="31">
        <f t="shared" ca="1" si="201"/>
        <v>0</v>
      </c>
      <c r="H1634" s="30">
        <f t="shared" ca="1" si="202"/>
        <v>14.6</v>
      </c>
      <c r="I1634" s="31">
        <f t="shared" ca="1" si="203"/>
        <v>14.6</v>
      </c>
      <c r="Q1634" s="80"/>
      <c r="R1634" s="42"/>
      <c r="S1634" s="90">
        <f t="shared" si="200"/>
        <v>157.59999999999533</v>
      </c>
      <c r="T1634" s="42"/>
      <c r="U1634" s="42"/>
      <c r="V1634" s="42"/>
      <c r="W1634" s="42"/>
      <c r="X1634" s="81"/>
    </row>
    <row r="1635" spans="2:24" x14ac:dyDescent="0.25">
      <c r="B1635" s="2">
        <v>1</v>
      </c>
      <c r="C1635" s="1">
        <f t="shared" si="198"/>
        <v>24.058823529411654</v>
      </c>
      <c r="D1635" s="1">
        <f t="shared" si="196"/>
        <v>0</v>
      </c>
      <c r="E1635" s="1">
        <f t="shared" si="199"/>
        <v>1</v>
      </c>
      <c r="F1635" s="31">
        <f t="shared" si="197"/>
        <v>6.4</v>
      </c>
      <c r="G1635" s="31">
        <f t="shared" ca="1" si="201"/>
        <v>0</v>
      </c>
      <c r="H1635" s="30">
        <f t="shared" ca="1" si="202"/>
        <v>6.4</v>
      </c>
      <c r="I1635" s="31">
        <f t="shared" ca="1" si="203"/>
        <v>6.4</v>
      </c>
      <c r="Q1635" s="80"/>
      <c r="R1635" s="42"/>
      <c r="S1635" s="90">
        <f t="shared" si="200"/>
        <v>157.69999999999533</v>
      </c>
      <c r="T1635" s="42"/>
      <c r="U1635" s="42"/>
      <c r="V1635" s="42"/>
      <c r="W1635" s="42"/>
      <c r="X1635" s="81"/>
    </row>
    <row r="1636" spans="2:24" x14ac:dyDescent="0.25">
      <c r="B1636" s="2">
        <v>1</v>
      </c>
      <c r="C1636" s="1">
        <f t="shared" si="198"/>
        <v>25.058823529411654</v>
      </c>
      <c r="D1636" s="1">
        <f t="shared" si="196"/>
        <v>0</v>
      </c>
      <c r="E1636" s="1">
        <f t="shared" si="199"/>
        <v>1</v>
      </c>
      <c r="F1636" s="31">
        <f t="shared" si="197"/>
        <v>6.4</v>
      </c>
      <c r="G1636" s="31">
        <f t="shared" ca="1" si="201"/>
        <v>0</v>
      </c>
      <c r="H1636" s="30">
        <f t="shared" ca="1" si="202"/>
        <v>6.4</v>
      </c>
      <c r="I1636" s="31">
        <f t="shared" ca="1" si="203"/>
        <v>6.4</v>
      </c>
      <c r="Q1636" s="80"/>
      <c r="R1636" s="42"/>
      <c r="S1636" s="90">
        <f t="shared" si="200"/>
        <v>157.79999999999532</v>
      </c>
      <c r="T1636" s="42"/>
      <c r="U1636" s="42"/>
      <c r="V1636" s="42"/>
      <c r="W1636" s="42"/>
      <c r="X1636" s="81"/>
    </row>
    <row r="1637" spans="2:24" x14ac:dyDescent="0.25">
      <c r="B1637" s="2">
        <v>1</v>
      </c>
      <c r="C1637" s="1">
        <f t="shared" si="198"/>
        <v>26.058823529411654</v>
      </c>
      <c r="D1637" s="1">
        <f t="shared" si="196"/>
        <v>0</v>
      </c>
      <c r="E1637" s="1">
        <f t="shared" si="199"/>
        <v>1</v>
      </c>
      <c r="F1637" s="31">
        <f t="shared" si="197"/>
        <v>6.4</v>
      </c>
      <c r="G1637" s="31">
        <f t="shared" ca="1" si="201"/>
        <v>0</v>
      </c>
      <c r="H1637" s="30">
        <f t="shared" ca="1" si="202"/>
        <v>6.4</v>
      </c>
      <c r="I1637" s="31">
        <f t="shared" ca="1" si="203"/>
        <v>6.4</v>
      </c>
      <c r="Q1637" s="80"/>
      <c r="R1637" s="42"/>
      <c r="S1637" s="90">
        <f t="shared" si="200"/>
        <v>157.89999999999532</v>
      </c>
      <c r="T1637" s="42"/>
      <c r="U1637" s="42"/>
      <c r="V1637" s="42"/>
      <c r="W1637" s="42"/>
      <c r="X1637" s="81"/>
    </row>
    <row r="1638" spans="2:24" x14ac:dyDescent="0.25">
      <c r="B1638" s="2">
        <v>1</v>
      </c>
      <c r="C1638" s="1">
        <f t="shared" si="198"/>
        <v>27.058823529411654</v>
      </c>
      <c r="D1638" s="1">
        <f t="shared" si="196"/>
        <v>0</v>
      </c>
      <c r="E1638" s="1">
        <f t="shared" si="199"/>
        <v>1</v>
      </c>
      <c r="F1638" s="31">
        <f t="shared" si="197"/>
        <v>6.4</v>
      </c>
      <c r="G1638" s="31">
        <f t="shared" ca="1" si="201"/>
        <v>0</v>
      </c>
      <c r="H1638" s="30">
        <f t="shared" ca="1" si="202"/>
        <v>6.4</v>
      </c>
      <c r="I1638" s="31">
        <f t="shared" ca="1" si="203"/>
        <v>6.4</v>
      </c>
      <c r="Q1638" s="80"/>
      <c r="R1638" s="42"/>
      <c r="S1638" s="90">
        <f t="shared" si="200"/>
        <v>157.99999999999531</v>
      </c>
      <c r="T1638" s="42"/>
      <c r="U1638" s="42"/>
      <c r="V1638" s="42"/>
      <c r="W1638" s="42"/>
      <c r="X1638" s="81"/>
    </row>
    <row r="1639" spans="2:24" x14ac:dyDescent="0.25">
      <c r="B1639" s="2">
        <v>1</v>
      </c>
      <c r="C1639" s="1">
        <f t="shared" si="198"/>
        <v>28.058823529411654</v>
      </c>
      <c r="D1639" s="1">
        <f t="shared" si="196"/>
        <v>0</v>
      </c>
      <c r="E1639" s="1">
        <f t="shared" si="199"/>
        <v>1</v>
      </c>
      <c r="F1639" s="31">
        <f t="shared" si="197"/>
        <v>6.4</v>
      </c>
      <c r="G1639" s="31">
        <f t="shared" ca="1" si="201"/>
        <v>0</v>
      </c>
      <c r="H1639" s="30">
        <f t="shared" ca="1" si="202"/>
        <v>6.4</v>
      </c>
      <c r="I1639" s="31">
        <f t="shared" ca="1" si="203"/>
        <v>6.4</v>
      </c>
      <c r="Q1639" s="80"/>
      <c r="R1639" s="42"/>
      <c r="S1639" s="90">
        <f t="shared" si="200"/>
        <v>158.0999999999953</v>
      </c>
      <c r="T1639" s="42"/>
      <c r="U1639" s="42"/>
      <c r="V1639" s="42"/>
      <c r="W1639" s="42"/>
      <c r="X1639" s="81"/>
    </row>
    <row r="1640" spans="2:24" x14ac:dyDescent="0.25">
      <c r="B1640" s="2">
        <v>1</v>
      </c>
      <c r="C1640" s="1">
        <f t="shared" si="198"/>
        <v>29.058823529411654</v>
      </c>
      <c r="D1640" s="1">
        <f t="shared" si="196"/>
        <v>0</v>
      </c>
      <c r="E1640" s="1">
        <f t="shared" si="199"/>
        <v>1</v>
      </c>
      <c r="F1640" s="31">
        <f t="shared" si="197"/>
        <v>6.4</v>
      </c>
      <c r="G1640" s="31">
        <f t="shared" ca="1" si="201"/>
        <v>0</v>
      </c>
      <c r="H1640" s="30">
        <f t="shared" ca="1" si="202"/>
        <v>6.4</v>
      </c>
      <c r="I1640" s="31">
        <f t="shared" ca="1" si="203"/>
        <v>6.4</v>
      </c>
      <c r="Q1640" s="80"/>
      <c r="R1640" s="42"/>
      <c r="S1640" s="90">
        <f t="shared" si="200"/>
        <v>158.1999999999953</v>
      </c>
      <c r="T1640" s="42"/>
      <c r="U1640" s="42"/>
      <c r="V1640" s="42"/>
      <c r="W1640" s="42"/>
      <c r="X1640" s="81"/>
    </row>
    <row r="1641" spans="2:24" x14ac:dyDescent="0.25">
      <c r="B1641" s="2">
        <v>1</v>
      </c>
      <c r="C1641" s="1">
        <f t="shared" si="198"/>
        <v>30.058823529411654</v>
      </c>
      <c r="D1641" s="1">
        <f t="shared" si="196"/>
        <v>0</v>
      </c>
      <c r="E1641" s="1">
        <f t="shared" si="199"/>
        <v>1</v>
      </c>
      <c r="F1641" s="31">
        <f t="shared" si="197"/>
        <v>6.4</v>
      </c>
      <c r="G1641" s="31">
        <f t="shared" ca="1" si="201"/>
        <v>0</v>
      </c>
      <c r="H1641" s="30">
        <f t="shared" ca="1" si="202"/>
        <v>6.4</v>
      </c>
      <c r="I1641" s="31">
        <f t="shared" ca="1" si="203"/>
        <v>6.4</v>
      </c>
      <c r="Q1641" s="80"/>
      <c r="R1641" s="42"/>
      <c r="S1641" s="90">
        <f t="shared" si="200"/>
        <v>158.29999999999529</v>
      </c>
      <c r="T1641" s="42"/>
      <c r="U1641" s="42"/>
      <c r="V1641" s="42"/>
      <c r="W1641" s="42"/>
      <c r="X1641" s="81"/>
    </row>
    <row r="1642" spans="2:24" x14ac:dyDescent="0.25">
      <c r="B1642" s="2">
        <v>1</v>
      </c>
      <c r="C1642" s="1">
        <f t="shared" si="198"/>
        <v>31.058823529411654</v>
      </c>
      <c r="D1642" s="1">
        <f t="shared" si="196"/>
        <v>0</v>
      </c>
      <c r="E1642" s="1">
        <f t="shared" si="199"/>
        <v>1</v>
      </c>
      <c r="F1642" s="31">
        <f t="shared" si="197"/>
        <v>6.4</v>
      </c>
      <c r="G1642" s="31">
        <f t="shared" ca="1" si="201"/>
        <v>0</v>
      </c>
      <c r="H1642" s="30">
        <f t="shared" ca="1" si="202"/>
        <v>6.4</v>
      </c>
      <c r="I1642" s="31">
        <f t="shared" ca="1" si="203"/>
        <v>6.4</v>
      </c>
      <c r="Q1642" s="80"/>
      <c r="R1642" s="42"/>
      <c r="S1642" s="90">
        <f t="shared" si="200"/>
        <v>158.39999999999529</v>
      </c>
      <c r="T1642" s="42"/>
      <c r="U1642" s="42"/>
      <c r="V1642" s="42"/>
      <c r="W1642" s="42"/>
      <c r="X1642" s="81"/>
    </row>
    <row r="1643" spans="2:24" x14ac:dyDescent="0.25">
      <c r="B1643" s="2">
        <v>1</v>
      </c>
      <c r="C1643" s="1">
        <f t="shared" si="198"/>
        <v>32.058823529411654</v>
      </c>
      <c r="D1643" s="1">
        <f t="shared" si="196"/>
        <v>0</v>
      </c>
      <c r="E1643" s="1">
        <f t="shared" si="199"/>
        <v>1</v>
      </c>
      <c r="F1643" s="31">
        <f t="shared" si="197"/>
        <v>6.4</v>
      </c>
      <c r="G1643" s="31">
        <f t="shared" ca="1" si="201"/>
        <v>0</v>
      </c>
      <c r="H1643" s="30">
        <f t="shared" ca="1" si="202"/>
        <v>6.4</v>
      </c>
      <c r="I1643" s="31">
        <f t="shared" ca="1" si="203"/>
        <v>6.4</v>
      </c>
      <c r="Q1643" s="80"/>
      <c r="R1643" s="42"/>
      <c r="S1643" s="90">
        <f t="shared" si="200"/>
        <v>158.49999999999528</v>
      </c>
      <c r="T1643" s="42"/>
      <c r="U1643" s="42"/>
      <c r="V1643" s="42"/>
      <c r="W1643" s="42"/>
      <c r="X1643" s="81"/>
    </row>
    <row r="1644" spans="2:24" x14ac:dyDescent="0.25">
      <c r="B1644" s="2">
        <v>1</v>
      </c>
      <c r="C1644" s="1">
        <f t="shared" si="198"/>
        <v>33.058823529411654</v>
      </c>
      <c r="D1644" s="1">
        <f t="shared" si="196"/>
        <v>0</v>
      </c>
      <c r="E1644" s="1">
        <f t="shared" si="199"/>
        <v>1</v>
      </c>
      <c r="F1644" s="31">
        <f t="shared" si="197"/>
        <v>6.4</v>
      </c>
      <c r="G1644" s="31">
        <f t="shared" ca="1" si="201"/>
        <v>0</v>
      </c>
      <c r="H1644" s="30">
        <f t="shared" ca="1" si="202"/>
        <v>6.4</v>
      </c>
      <c r="I1644" s="31">
        <f t="shared" ca="1" si="203"/>
        <v>6.4</v>
      </c>
      <c r="Q1644" s="80"/>
      <c r="R1644" s="42"/>
      <c r="S1644" s="90">
        <f t="shared" si="200"/>
        <v>158.59999999999528</v>
      </c>
      <c r="T1644" s="42"/>
      <c r="U1644" s="42"/>
      <c r="V1644" s="42"/>
      <c r="W1644" s="42"/>
      <c r="X1644" s="81"/>
    </row>
    <row r="1645" spans="2:24" x14ac:dyDescent="0.25">
      <c r="B1645" s="2">
        <v>1</v>
      </c>
      <c r="C1645" s="1">
        <f t="shared" si="198"/>
        <v>34.058823529411654</v>
      </c>
      <c r="D1645" s="1">
        <f t="shared" si="196"/>
        <v>0</v>
      </c>
      <c r="E1645" s="1">
        <f t="shared" si="199"/>
        <v>1</v>
      </c>
      <c r="F1645" s="31">
        <f t="shared" si="197"/>
        <v>6.4</v>
      </c>
      <c r="G1645" s="31">
        <f t="shared" ca="1" si="201"/>
        <v>0</v>
      </c>
      <c r="H1645" s="30">
        <f t="shared" ca="1" si="202"/>
        <v>6.4</v>
      </c>
      <c r="I1645" s="31">
        <f t="shared" ca="1" si="203"/>
        <v>6.4</v>
      </c>
      <c r="Q1645" s="80"/>
      <c r="R1645" s="42"/>
      <c r="S1645" s="90">
        <f t="shared" si="200"/>
        <v>158.69999999999527</v>
      </c>
      <c r="T1645" s="42"/>
      <c r="U1645" s="42"/>
      <c r="V1645" s="42"/>
      <c r="W1645" s="42"/>
      <c r="X1645" s="81"/>
    </row>
    <row r="1646" spans="2:24" x14ac:dyDescent="0.25">
      <c r="B1646" s="2">
        <v>1</v>
      </c>
      <c r="C1646" s="1">
        <f t="shared" si="198"/>
        <v>35.058823529411654</v>
      </c>
      <c r="D1646" s="1">
        <f t="shared" si="196"/>
        <v>0</v>
      </c>
      <c r="E1646" s="1">
        <f t="shared" si="199"/>
        <v>1</v>
      </c>
      <c r="F1646" s="31">
        <f t="shared" si="197"/>
        <v>6.4</v>
      </c>
      <c r="G1646" s="31">
        <f t="shared" ca="1" si="201"/>
        <v>0</v>
      </c>
      <c r="H1646" s="30">
        <f t="shared" ca="1" si="202"/>
        <v>6.4</v>
      </c>
      <c r="I1646" s="31">
        <f t="shared" ca="1" si="203"/>
        <v>6.4</v>
      </c>
      <c r="Q1646" s="80"/>
      <c r="R1646" s="42"/>
      <c r="S1646" s="90">
        <f t="shared" si="200"/>
        <v>158.79999999999526</v>
      </c>
      <c r="T1646" s="42"/>
      <c r="U1646" s="42"/>
      <c r="V1646" s="42"/>
      <c r="W1646" s="42"/>
      <c r="X1646" s="81"/>
    </row>
    <row r="1647" spans="2:24" x14ac:dyDescent="0.25">
      <c r="B1647" s="2">
        <v>1</v>
      </c>
      <c r="C1647" s="1">
        <f t="shared" si="198"/>
        <v>0.76470588235282833</v>
      </c>
      <c r="D1647" s="1">
        <f t="shared" si="196"/>
        <v>1</v>
      </c>
      <c r="E1647" s="1">
        <f t="shared" si="199"/>
        <v>0</v>
      </c>
      <c r="F1647" s="31">
        <f t="shared" si="197"/>
        <v>14.6</v>
      </c>
      <c r="G1647" s="31">
        <f t="shared" ca="1" si="201"/>
        <v>6.4</v>
      </c>
      <c r="H1647" s="30">
        <f t="shared" ca="1" si="202"/>
        <v>0</v>
      </c>
      <c r="I1647" s="31">
        <f t="shared" ca="1" si="203"/>
        <v>6.4</v>
      </c>
      <c r="Q1647" s="80"/>
      <c r="R1647" s="42"/>
      <c r="S1647" s="90">
        <f t="shared" si="200"/>
        <v>158.89999999999526</v>
      </c>
      <c r="T1647" s="42"/>
      <c r="U1647" s="42"/>
      <c r="V1647" s="42"/>
      <c r="W1647" s="42"/>
      <c r="X1647" s="81"/>
    </row>
    <row r="1648" spans="2:24" x14ac:dyDescent="0.25">
      <c r="B1648" s="2">
        <v>1</v>
      </c>
      <c r="C1648" s="1">
        <f t="shared" si="198"/>
        <v>1.7647058823528283</v>
      </c>
      <c r="D1648" s="1">
        <f t="shared" si="196"/>
        <v>1</v>
      </c>
      <c r="E1648" s="1">
        <f t="shared" si="199"/>
        <v>0</v>
      </c>
      <c r="F1648" s="31">
        <f t="shared" si="197"/>
        <v>14.6</v>
      </c>
      <c r="G1648" s="31">
        <f t="shared" ca="1" si="201"/>
        <v>8.4500000000000011</v>
      </c>
      <c r="H1648" s="30">
        <f t="shared" ca="1" si="202"/>
        <v>0</v>
      </c>
      <c r="I1648" s="31">
        <f t="shared" ca="1" si="203"/>
        <v>8.4500000000000011</v>
      </c>
      <c r="Q1648" s="80"/>
      <c r="R1648" s="42"/>
      <c r="S1648" s="90">
        <f t="shared" si="200"/>
        <v>158.99999999999525</v>
      </c>
      <c r="T1648" s="42"/>
      <c r="U1648" s="42"/>
      <c r="V1648" s="42"/>
      <c r="W1648" s="42"/>
      <c r="X1648" s="81"/>
    </row>
    <row r="1649" spans="2:24" x14ac:dyDescent="0.25">
      <c r="B1649" s="2">
        <v>1</v>
      </c>
      <c r="C1649" s="1">
        <f t="shared" si="198"/>
        <v>2.7647058823528283</v>
      </c>
      <c r="D1649" s="1">
        <f t="shared" si="196"/>
        <v>1</v>
      </c>
      <c r="E1649" s="1">
        <f t="shared" si="199"/>
        <v>0</v>
      </c>
      <c r="F1649" s="31">
        <f t="shared" si="197"/>
        <v>14.6</v>
      </c>
      <c r="G1649" s="31">
        <f t="shared" ca="1" si="201"/>
        <v>10.5</v>
      </c>
      <c r="H1649" s="30">
        <f t="shared" ca="1" si="202"/>
        <v>0</v>
      </c>
      <c r="I1649" s="31">
        <f t="shared" ca="1" si="203"/>
        <v>10.5</v>
      </c>
      <c r="Q1649" s="80"/>
      <c r="R1649" s="42"/>
      <c r="S1649" s="90">
        <f t="shared" si="200"/>
        <v>159.09999999999525</v>
      </c>
      <c r="T1649" s="42"/>
      <c r="U1649" s="42"/>
      <c r="V1649" s="42"/>
      <c r="W1649" s="42"/>
      <c r="X1649" s="81"/>
    </row>
    <row r="1650" spans="2:24" x14ac:dyDescent="0.25">
      <c r="B1650" s="2">
        <v>1</v>
      </c>
      <c r="C1650" s="1">
        <f t="shared" si="198"/>
        <v>3.7647058823528283</v>
      </c>
      <c r="D1650" s="1">
        <f t="shared" si="196"/>
        <v>1</v>
      </c>
      <c r="E1650" s="1">
        <f t="shared" si="199"/>
        <v>0</v>
      </c>
      <c r="F1650" s="31">
        <f t="shared" si="197"/>
        <v>14.6</v>
      </c>
      <c r="G1650" s="31">
        <f t="shared" ca="1" si="201"/>
        <v>12.55</v>
      </c>
      <c r="H1650" s="30">
        <f t="shared" ca="1" si="202"/>
        <v>0</v>
      </c>
      <c r="I1650" s="31">
        <f t="shared" ca="1" si="203"/>
        <v>12.55</v>
      </c>
      <c r="Q1650" s="80"/>
      <c r="R1650" s="42"/>
      <c r="S1650" s="90">
        <f t="shared" si="200"/>
        <v>159.19999999999524</v>
      </c>
      <c r="T1650" s="42"/>
      <c r="U1650" s="42"/>
      <c r="V1650" s="42"/>
      <c r="W1650" s="42"/>
      <c r="X1650" s="81"/>
    </row>
    <row r="1651" spans="2:24" x14ac:dyDescent="0.25">
      <c r="B1651" s="2">
        <v>1</v>
      </c>
      <c r="C1651" s="1">
        <f t="shared" si="198"/>
        <v>4.7647058823528283</v>
      </c>
      <c r="D1651" s="1">
        <f t="shared" si="196"/>
        <v>1</v>
      </c>
      <c r="E1651" s="1">
        <f t="shared" si="199"/>
        <v>0</v>
      </c>
      <c r="F1651" s="31">
        <f t="shared" si="197"/>
        <v>14.6</v>
      </c>
      <c r="G1651" s="31">
        <f t="shared" ca="1" si="201"/>
        <v>14.6</v>
      </c>
      <c r="H1651" s="30">
        <f t="shared" ca="1" si="202"/>
        <v>0</v>
      </c>
      <c r="I1651" s="31">
        <f t="shared" ca="1" si="203"/>
        <v>14.6</v>
      </c>
      <c r="Q1651" s="80"/>
      <c r="R1651" s="42"/>
      <c r="S1651" s="90">
        <f t="shared" si="200"/>
        <v>159.29999999999524</v>
      </c>
      <c r="T1651" s="42"/>
      <c r="U1651" s="42"/>
      <c r="V1651" s="42"/>
      <c r="W1651" s="42"/>
      <c r="X1651" s="81"/>
    </row>
    <row r="1652" spans="2:24" x14ac:dyDescent="0.25">
      <c r="B1652" s="2">
        <v>1</v>
      </c>
      <c r="C1652" s="1">
        <f t="shared" si="198"/>
        <v>5.7647058823528283</v>
      </c>
      <c r="D1652" s="1">
        <f t="shared" si="196"/>
        <v>1</v>
      </c>
      <c r="E1652" s="1">
        <f t="shared" si="199"/>
        <v>0</v>
      </c>
      <c r="F1652" s="31">
        <f t="shared" si="197"/>
        <v>14.6</v>
      </c>
      <c r="G1652" s="31">
        <f t="shared" ca="1" si="201"/>
        <v>14.6</v>
      </c>
      <c r="H1652" s="30">
        <f t="shared" ca="1" si="202"/>
        <v>0</v>
      </c>
      <c r="I1652" s="31">
        <f t="shared" ca="1" si="203"/>
        <v>14.6</v>
      </c>
      <c r="Q1652" s="80"/>
      <c r="R1652" s="42"/>
      <c r="S1652" s="90">
        <f t="shared" si="200"/>
        <v>159.39999999999523</v>
      </c>
      <c r="T1652" s="42"/>
      <c r="U1652" s="42"/>
      <c r="V1652" s="42"/>
      <c r="W1652" s="42"/>
      <c r="X1652" s="81"/>
    </row>
    <row r="1653" spans="2:24" x14ac:dyDescent="0.25">
      <c r="B1653" s="2">
        <v>1</v>
      </c>
      <c r="C1653" s="1">
        <f t="shared" si="198"/>
        <v>6.7647058823528283</v>
      </c>
      <c r="D1653" s="1">
        <f t="shared" si="196"/>
        <v>1</v>
      </c>
      <c r="E1653" s="1">
        <f t="shared" si="199"/>
        <v>0</v>
      </c>
      <c r="F1653" s="31">
        <f t="shared" si="197"/>
        <v>14.6</v>
      </c>
      <c r="G1653" s="31">
        <f t="shared" ca="1" si="201"/>
        <v>14.6</v>
      </c>
      <c r="H1653" s="30">
        <f t="shared" ca="1" si="202"/>
        <v>0</v>
      </c>
      <c r="I1653" s="31">
        <f t="shared" ca="1" si="203"/>
        <v>14.6</v>
      </c>
      <c r="Q1653" s="80"/>
      <c r="R1653" s="42"/>
      <c r="S1653" s="90">
        <f t="shared" si="200"/>
        <v>159.49999999999523</v>
      </c>
      <c r="T1653" s="42"/>
      <c r="U1653" s="42"/>
      <c r="V1653" s="42"/>
      <c r="W1653" s="42"/>
      <c r="X1653" s="81"/>
    </row>
    <row r="1654" spans="2:24" x14ac:dyDescent="0.25">
      <c r="B1654" s="2">
        <v>1</v>
      </c>
      <c r="C1654" s="1">
        <f t="shared" si="198"/>
        <v>7.7647058823528283</v>
      </c>
      <c r="D1654" s="1">
        <f t="shared" si="196"/>
        <v>1</v>
      </c>
      <c r="E1654" s="1">
        <f t="shared" si="199"/>
        <v>0</v>
      </c>
      <c r="F1654" s="31">
        <f t="shared" si="197"/>
        <v>14.6</v>
      </c>
      <c r="G1654" s="31">
        <f t="shared" ca="1" si="201"/>
        <v>14.6</v>
      </c>
      <c r="H1654" s="30">
        <f t="shared" ca="1" si="202"/>
        <v>0</v>
      </c>
      <c r="I1654" s="31">
        <f t="shared" ca="1" si="203"/>
        <v>14.6</v>
      </c>
      <c r="Q1654" s="80"/>
      <c r="R1654" s="42"/>
      <c r="S1654" s="90">
        <f t="shared" si="200"/>
        <v>159.59999999999522</v>
      </c>
      <c r="T1654" s="42"/>
      <c r="U1654" s="42"/>
      <c r="V1654" s="42"/>
      <c r="W1654" s="42"/>
      <c r="X1654" s="81"/>
    </row>
    <row r="1655" spans="2:24" x14ac:dyDescent="0.25">
      <c r="B1655" s="2">
        <v>1</v>
      </c>
      <c r="C1655" s="1">
        <f t="shared" si="198"/>
        <v>8.7647058823528283</v>
      </c>
      <c r="D1655" s="1">
        <f t="shared" si="196"/>
        <v>1</v>
      </c>
      <c r="E1655" s="1">
        <f t="shared" si="199"/>
        <v>0</v>
      </c>
      <c r="F1655" s="31">
        <f t="shared" si="197"/>
        <v>14.6</v>
      </c>
      <c r="G1655" s="31">
        <f t="shared" ca="1" si="201"/>
        <v>14.6</v>
      </c>
      <c r="H1655" s="30">
        <f t="shared" ca="1" si="202"/>
        <v>0</v>
      </c>
      <c r="I1655" s="31">
        <f t="shared" ca="1" si="203"/>
        <v>14.6</v>
      </c>
      <c r="Q1655" s="80"/>
      <c r="R1655" s="42"/>
      <c r="S1655" s="90">
        <f t="shared" si="200"/>
        <v>159.69999999999521</v>
      </c>
      <c r="T1655" s="42"/>
      <c r="U1655" s="42"/>
      <c r="V1655" s="42"/>
      <c r="W1655" s="42"/>
      <c r="X1655" s="81"/>
    </row>
    <row r="1656" spans="2:24" x14ac:dyDescent="0.25">
      <c r="B1656" s="2">
        <v>1</v>
      </c>
      <c r="C1656" s="1">
        <f t="shared" si="198"/>
        <v>9.7647058823528283</v>
      </c>
      <c r="D1656" s="1">
        <f t="shared" si="196"/>
        <v>1</v>
      </c>
      <c r="E1656" s="1">
        <f t="shared" si="199"/>
        <v>0</v>
      </c>
      <c r="F1656" s="31">
        <f t="shared" si="197"/>
        <v>14.6</v>
      </c>
      <c r="G1656" s="31">
        <f t="shared" ca="1" si="201"/>
        <v>14.6</v>
      </c>
      <c r="H1656" s="30">
        <f t="shared" ca="1" si="202"/>
        <v>0</v>
      </c>
      <c r="I1656" s="31">
        <f t="shared" ca="1" si="203"/>
        <v>14.6</v>
      </c>
      <c r="Q1656" s="80"/>
      <c r="R1656" s="42"/>
      <c r="S1656" s="90">
        <f t="shared" si="200"/>
        <v>159.79999999999521</v>
      </c>
      <c r="T1656" s="42"/>
      <c r="U1656" s="42"/>
      <c r="V1656" s="42"/>
      <c r="W1656" s="42"/>
      <c r="X1656" s="81"/>
    </row>
    <row r="1657" spans="2:24" x14ac:dyDescent="0.25">
      <c r="B1657" s="2">
        <v>1</v>
      </c>
      <c r="C1657" s="1">
        <f t="shared" si="198"/>
        <v>10.764705882352828</v>
      </c>
      <c r="D1657" s="1">
        <f t="shared" si="196"/>
        <v>1</v>
      </c>
      <c r="E1657" s="1">
        <f t="shared" si="199"/>
        <v>0</v>
      </c>
      <c r="F1657" s="31">
        <f t="shared" si="197"/>
        <v>14.6</v>
      </c>
      <c r="G1657" s="31">
        <f t="shared" ca="1" si="201"/>
        <v>14.6</v>
      </c>
      <c r="H1657" s="30">
        <f t="shared" ca="1" si="202"/>
        <v>0</v>
      </c>
      <c r="I1657" s="31">
        <f t="shared" ca="1" si="203"/>
        <v>14.6</v>
      </c>
      <c r="Q1657" s="80"/>
      <c r="R1657" s="42"/>
      <c r="S1657" s="90">
        <f t="shared" si="200"/>
        <v>159.8999999999952</v>
      </c>
      <c r="T1657" s="42"/>
      <c r="U1657" s="42"/>
      <c r="V1657" s="42"/>
      <c r="W1657" s="42"/>
      <c r="X1657" s="81"/>
    </row>
    <row r="1658" spans="2:24" x14ac:dyDescent="0.25">
      <c r="B1658" s="2">
        <v>1</v>
      </c>
      <c r="C1658" s="1">
        <f t="shared" si="198"/>
        <v>11.764705882352828</v>
      </c>
      <c r="D1658" s="1">
        <f t="shared" ref="D1658:D1721" si="204">IF(C1658&lt;=Inhelation_Time_RT,1,0)</f>
        <v>1</v>
      </c>
      <c r="E1658" s="1">
        <f t="shared" si="199"/>
        <v>0</v>
      </c>
      <c r="F1658" s="31">
        <f t="shared" ref="F1658:F1721" si="205">(D1658*Inspiratory_pressure_level) + (E1658*PEEP)</f>
        <v>14.6</v>
      </c>
      <c r="G1658" s="31">
        <f t="shared" ca="1" si="201"/>
        <v>14.6</v>
      </c>
      <c r="H1658" s="30">
        <f t="shared" ca="1" si="202"/>
        <v>0</v>
      </c>
      <c r="I1658" s="31">
        <f t="shared" ca="1" si="203"/>
        <v>14.6</v>
      </c>
      <c r="Q1658" s="80"/>
      <c r="R1658" s="42"/>
      <c r="S1658" s="90">
        <f t="shared" si="200"/>
        <v>159.9999999999952</v>
      </c>
      <c r="T1658" s="42"/>
      <c r="U1658" s="42"/>
      <c r="V1658" s="42"/>
      <c r="W1658" s="42"/>
      <c r="X1658" s="81"/>
    </row>
    <row r="1659" spans="2:24" x14ac:dyDescent="0.25">
      <c r="B1659" s="2">
        <v>1</v>
      </c>
      <c r="C1659" s="1">
        <f t="shared" ref="C1659:C1722" si="206">MOD(C1658+B1659,time_for_breath_RT)</f>
        <v>12.764705882352828</v>
      </c>
      <c r="D1659" s="1">
        <f t="shared" si="204"/>
        <v>1</v>
      </c>
      <c r="E1659" s="1">
        <f t="shared" ref="E1659:E1722" si="207">IF(D1659=1,0,1)</f>
        <v>0</v>
      </c>
      <c r="F1659" s="31">
        <f t="shared" si="205"/>
        <v>14.6</v>
      </c>
      <c r="G1659" s="31">
        <f t="shared" ca="1" si="201"/>
        <v>14.6</v>
      </c>
      <c r="H1659" s="30">
        <f t="shared" ca="1" si="202"/>
        <v>0</v>
      </c>
      <c r="I1659" s="31">
        <f t="shared" ca="1" si="203"/>
        <v>14.6</v>
      </c>
      <c r="Q1659" s="80"/>
      <c r="R1659" s="42"/>
      <c r="S1659" s="90">
        <f t="shared" ref="S1659:S1722" si="208">S1658+(B1658 / RTC_to_seconds)</f>
        <v>160.09999999999519</v>
      </c>
      <c r="T1659" s="42"/>
      <c r="U1659" s="42"/>
      <c r="V1659" s="42"/>
      <c r="W1659" s="42"/>
      <c r="X1659" s="81"/>
    </row>
    <row r="1660" spans="2:24" x14ac:dyDescent="0.25">
      <c r="B1660" s="2">
        <v>1</v>
      </c>
      <c r="C1660" s="1">
        <f t="shared" si="206"/>
        <v>13.764705882352828</v>
      </c>
      <c r="D1660" s="1">
        <f t="shared" si="204"/>
        <v>1</v>
      </c>
      <c r="E1660" s="1">
        <f t="shared" si="207"/>
        <v>0</v>
      </c>
      <c r="F1660" s="31">
        <f t="shared" si="205"/>
        <v>14.6</v>
      </c>
      <c r="G1660" s="31">
        <f t="shared" ca="1" si="201"/>
        <v>14.6</v>
      </c>
      <c r="H1660" s="30">
        <f t="shared" ca="1" si="202"/>
        <v>0</v>
      </c>
      <c r="I1660" s="31">
        <f t="shared" ca="1" si="203"/>
        <v>14.6</v>
      </c>
      <c r="Q1660" s="80"/>
      <c r="R1660" s="42"/>
      <c r="S1660" s="90">
        <f t="shared" si="208"/>
        <v>160.19999999999519</v>
      </c>
      <c r="T1660" s="42"/>
      <c r="U1660" s="42"/>
      <c r="V1660" s="42"/>
      <c r="W1660" s="42"/>
      <c r="X1660" s="81"/>
    </row>
    <row r="1661" spans="2:24" x14ac:dyDescent="0.25">
      <c r="B1661" s="2">
        <v>1</v>
      </c>
      <c r="C1661" s="1">
        <f t="shared" si="206"/>
        <v>14.764705882352828</v>
      </c>
      <c r="D1661" s="1">
        <f t="shared" si="204"/>
        <v>1</v>
      </c>
      <c r="E1661" s="1">
        <f t="shared" si="207"/>
        <v>0</v>
      </c>
      <c r="F1661" s="31">
        <f t="shared" si="205"/>
        <v>14.6</v>
      </c>
      <c r="G1661" s="31">
        <f t="shared" ca="1" si="201"/>
        <v>14.6</v>
      </c>
      <c r="H1661" s="30">
        <f t="shared" ca="1" si="202"/>
        <v>0</v>
      </c>
      <c r="I1661" s="31">
        <f t="shared" ca="1" si="203"/>
        <v>14.6</v>
      </c>
      <c r="Q1661" s="80"/>
      <c r="R1661" s="42"/>
      <c r="S1661" s="90">
        <f t="shared" si="208"/>
        <v>160.29999999999518</v>
      </c>
      <c r="T1661" s="42"/>
      <c r="U1661" s="42"/>
      <c r="V1661" s="42"/>
      <c r="W1661" s="42"/>
      <c r="X1661" s="81"/>
    </row>
    <row r="1662" spans="2:24" x14ac:dyDescent="0.25">
      <c r="B1662" s="2">
        <v>1</v>
      </c>
      <c r="C1662" s="1">
        <f t="shared" si="206"/>
        <v>15.764705882352828</v>
      </c>
      <c r="D1662" s="1">
        <f t="shared" si="204"/>
        <v>1</v>
      </c>
      <c r="E1662" s="1">
        <f t="shared" si="207"/>
        <v>0</v>
      </c>
      <c r="F1662" s="31">
        <f t="shared" si="205"/>
        <v>14.6</v>
      </c>
      <c r="G1662" s="31">
        <f t="shared" ca="1" si="201"/>
        <v>14.6</v>
      </c>
      <c r="H1662" s="30">
        <f t="shared" ca="1" si="202"/>
        <v>0</v>
      </c>
      <c r="I1662" s="31">
        <f t="shared" ca="1" si="203"/>
        <v>14.6</v>
      </c>
      <c r="Q1662" s="80"/>
      <c r="R1662" s="42"/>
      <c r="S1662" s="90">
        <f t="shared" si="208"/>
        <v>160.39999999999517</v>
      </c>
      <c r="T1662" s="42"/>
      <c r="U1662" s="42"/>
      <c r="V1662" s="42"/>
      <c r="W1662" s="42"/>
      <c r="X1662" s="81"/>
    </row>
    <row r="1663" spans="2:24" x14ac:dyDescent="0.25">
      <c r="B1663" s="2">
        <v>1</v>
      </c>
      <c r="C1663" s="1">
        <f t="shared" si="206"/>
        <v>16.764705882352828</v>
      </c>
      <c r="D1663" s="1">
        <f t="shared" si="204"/>
        <v>1</v>
      </c>
      <c r="E1663" s="1">
        <f t="shared" si="207"/>
        <v>0</v>
      </c>
      <c r="F1663" s="31">
        <f t="shared" si="205"/>
        <v>14.6</v>
      </c>
      <c r="G1663" s="31">
        <f t="shared" ca="1" si="201"/>
        <v>14.6</v>
      </c>
      <c r="H1663" s="30">
        <f t="shared" ca="1" si="202"/>
        <v>0</v>
      </c>
      <c r="I1663" s="31">
        <f t="shared" ca="1" si="203"/>
        <v>14.6</v>
      </c>
      <c r="Q1663" s="80"/>
      <c r="R1663" s="42"/>
      <c r="S1663" s="90">
        <f t="shared" si="208"/>
        <v>160.49999999999517</v>
      </c>
      <c r="T1663" s="42"/>
      <c r="U1663" s="42"/>
      <c r="V1663" s="42"/>
      <c r="W1663" s="42"/>
      <c r="X1663" s="81"/>
    </row>
    <row r="1664" spans="2:24" x14ac:dyDescent="0.25">
      <c r="B1664" s="2">
        <v>1</v>
      </c>
      <c r="C1664" s="1">
        <f t="shared" si="206"/>
        <v>17.764705882352828</v>
      </c>
      <c r="D1664" s="1">
        <f t="shared" si="204"/>
        <v>1</v>
      </c>
      <c r="E1664" s="1">
        <f t="shared" si="207"/>
        <v>0</v>
      </c>
      <c r="F1664" s="31">
        <f t="shared" si="205"/>
        <v>14.6</v>
      </c>
      <c r="G1664" s="31">
        <f t="shared" ca="1" si="201"/>
        <v>14.6</v>
      </c>
      <c r="H1664" s="30">
        <f t="shared" ca="1" si="202"/>
        <v>0</v>
      </c>
      <c r="I1664" s="31">
        <f t="shared" ca="1" si="203"/>
        <v>14.6</v>
      </c>
      <c r="Q1664" s="80"/>
      <c r="R1664" s="42"/>
      <c r="S1664" s="90">
        <f t="shared" si="208"/>
        <v>160.59999999999516</v>
      </c>
      <c r="T1664" s="42"/>
      <c r="U1664" s="42"/>
      <c r="V1664" s="42"/>
      <c r="W1664" s="42"/>
      <c r="X1664" s="81"/>
    </row>
    <row r="1665" spans="2:24" x14ac:dyDescent="0.25">
      <c r="B1665" s="2">
        <v>1</v>
      </c>
      <c r="C1665" s="1">
        <f t="shared" si="206"/>
        <v>18.764705882352828</v>
      </c>
      <c r="D1665" s="1">
        <f t="shared" si="204"/>
        <v>1</v>
      </c>
      <c r="E1665" s="1">
        <f t="shared" si="207"/>
        <v>0</v>
      </c>
      <c r="F1665" s="31">
        <f t="shared" si="205"/>
        <v>14.6</v>
      </c>
      <c r="G1665" s="31">
        <f t="shared" ca="1" si="201"/>
        <v>14.6</v>
      </c>
      <c r="H1665" s="30">
        <f t="shared" ca="1" si="202"/>
        <v>0</v>
      </c>
      <c r="I1665" s="31">
        <f t="shared" ca="1" si="203"/>
        <v>14.6</v>
      </c>
      <c r="Q1665" s="80"/>
      <c r="R1665" s="42"/>
      <c r="S1665" s="90">
        <f t="shared" si="208"/>
        <v>160.69999999999516</v>
      </c>
      <c r="T1665" s="42"/>
      <c r="U1665" s="42"/>
      <c r="V1665" s="42"/>
      <c r="W1665" s="42"/>
      <c r="X1665" s="81"/>
    </row>
    <row r="1666" spans="2:24" x14ac:dyDescent="0.25">
      <c r="B1666" s="2">
        <v>1</v>
      </c>
      <c r="C1666" s="1">
        <f t="shared" si="206"/>
        <v>19.764705882352828</v>
      </c>
      <c r="D1666" s="1">
        <f t="shared" si="204"/>
        <v>1</v>
      </c>
      <c r="E1666" s="1">
        <f t="shared" si="207"/>
        <v>0</v>
      </c>
      <c r="F1666" s="31">
        <f t="shared" si="205"/>
        <v>14.6</v>
      </c>
      <c r="G1666" s="31">
        <f t="shared" ca="1" si="201"/>
        <v>14.6</v>
      </c>
      <c r="H1666" s="30">
        <f t="shared" ca="1" si="202"/>
        <v>0</v>
      </c>
      <c r="I1666" s="31">
        <f t="shared" ca="1" si="203"/>
        <v>14.6</v>
      </c>
      <c r="Q1666" s="80"/>
      <c r="R1666" s="42"/>
      <c r="S1666" s="90">
        <f t="shared" si="208"/>
        <v>160.79999999999515</v>
      </c>
      <c r="T1666" s="42"/>
      <c r="U1666" s="42"/>
      <c r="V1666" s="42"/>
      <c r="W1666" s="42"/>
      <c r="X1666" s="81"/>
    </row>
    <row r="1667" spans="2:24" x14ac:dyDescent="0.25">
      <c r="B1667" s="2">
        <v>1</v>
      </c>
      <c r="C1667" s="1">
        <f t="shared" si="206"/>
        <v>20.764705882352828</v>
      </c>
      <c r="D1667" s="1">
        <f t="shared" si="204"/>
        <v>1</v>
      </c>
      <c r="E1667" s="1">
        <f t="shared" si="207"/>
        <v>0</v>
      </c>
      <c r="F1667" s="31">
        <f t="shared" si="205"/>
        <v>14.6</v>
      </c>
      <c r="G1667" s="31">
        <f t="shared" ca="1" si="201"/>
        <v>14.6</v>
      </c>
      <c r="H1667" s="30">
        <f t="shared" ca="1" si="202"/>
        <v>0</v>
      </c>
      <c r="I1667" s="31">
        <f t="shared" ca="1" si="203"/>
        <v>14.6</v>
      </c>
      <c r="Q1667" s="80"/>
      <c r="R1667" s="42"/>
      <c r="S1667" s="90">
        <f t="shared" si="208"/>
        <v>160.89999999999515</v>
      </c>
      <c r="T1667" s="42"/>
      <c r="U1667" s="42"/>
      <c r="V1667" s="42"/>
      <c r="W1667" s="42"/>
      <c r="X1667" s="81"/>
    </row>
    <row r="1668" spans="2:24" x14ac:dyDescent="0.25">
      <c r="B1668" s="2">
        <v>1</v>
      </c>
      <c r="C1668" s="1">
        <f t="shared" si="206"/>
        <v>21.764705882352828</v>
      </c>
      <c r="D1668" s="1">
        <f t="shared" si="204"/>
        <v>1</v>
      </c>
      <c r="E1668" s="1">
        <f t="shared" si="207"/>
        <v>0</v>
      </c>
      <c r="F1668" s="31">
        <f t="shared" si="205"/>
        <v>14.6</v>
      </c>
      <c r="G1668" s="31">
        <f t="shared" ca="1" si="201"/>
        <v>14.6</v>
      </c>
      <c r="H1668" s="30">
        <f t="shared" ca="1" si="202"/>
        <v>0</v>
      </c>
      <c r="I1668" s="31">
        <f t="shared" ca="1" si="203"/>
        <v>14.6</v>
      </c>
      <c r="Q1668" s="80"/>
      <c r="R1668" s="42"/>
      <c r="S1668" s="90">
        <f t="shared" si="208"/>
        <v>160.99999999999514</v>
      </c>
      <c r="T1668" s="42"/>
      <c r="U1668" s="42"/>
      <c r="V1668" s="42"/>
      <c r="W1668" s="42"/>
      <c r="X1668" s="81"/>
    </row>
    <row r="1669" spans="2:24" x14ac:dyDescent="0.25">
      <c r="B1669" s="2">
        <v>1</v>
      </c>
      <c r="C1669" s="1">
        <f t="shared" si="206"/>
        <v>22.764705882352828</v>
      </c>
      <c r="D1669" s="1">
        <f t="shared" si="204"/>
        <v>0</v>
      </c>
      <c r="E1669" s="1">
        <f t="shared" si="207"/>
        <v>1</v>
      </c>
      <c r="F1669" s="31">
        <f t="shared" si="205"/>
        <v>6.4</v>
      </c>
      <c r="G1669" s="31">
        <f t="shared" ca="1" si="201"/>
        <v>0</v>
      </c>
      <c r="H1669" s="30">
        <f t="shared" ca="1" si="202"/>
        <v>14.6</v>
      </c>
      <c r="I1669" s="31">
        <f t="shared" ca="1" si="203"/>
        <v>14.6</v>
      </c>
      <c r="Q1669" s="80"/>
      <c r="R1669" s="42"/>
      <c r="S1669" s="90">
        <f t="shared" si="208"/>
        <v>161.09999999999513</v>
      </c>
      <c r="T1669" s="42"/>
      <c r="U1669" s="42"/>
      <c r="V1669" s="42"/>
      <c r="W1669" s="42"/>
      <c r="X1669" s="81"/>
    </row>
    <row r="1670" spans="2:24" x14ac:dyDescent="0.25">
      <c r="B1670" s="2">
        <v>1</v>
      </c>
      <c r="C1670" s="1">
        <f t="shared" si="206"/>
        <v>23.764705882352828</v>
      </c>
      <c r="D1670" s="1">
        <f t="shared" si="204"/>
        <v>0</v>
      </c>
      <c r="E1670" s="1">
        <f t="shared" si="207"/>
        <v>1</v>
      </c>
      <c r="F1670" s="31">
        <f t="shared" si="205"/>
        <v>6.4</v>
      </c>
      <c r="G1670" s="31">
        <f t="shared" ca="1" si="201"/>
        <v>0</v>
      </c>
      <c r="H1670" s="30">
        <f t="shared" ca="1" si="202"/>
        <v>6.4</v>
      </c>
      <c r="I1670" s="31">
        <f t="shared" ca="1" si="203"/>
        <v>6.4</v>
      </c>
      <c r="Q1670" s="80"/>
      <c r="R1670" s="42"/>
      <c r="S1670" s="90">
        <f t="shared" si="208"/>
        <v>161.19999999999513</v>
      </c>
      <c r="T1670" s="42"/>
      <c r="U1670" s="42"/>
      <c r="V1670" s="42"/>
      <c r="W1670" s="42"/>
      <c r="X1670" s="81"/>
    </row>
    <row r="1671" spans="2:24" x14ac:dyDescent="0.25">
      <c r="B1671" s="2">
        <v>1</v>
      </c>
      <c r="C1671" s="1">
        <f t="shared" si="206"/>
        <v>24.764705882352828</v>
      </c>
      <c r="D1671" s="1">
        <f t="shared" si="204"/>
        <v>0</v>
      </c>
      <c r="E1671" s="1">
        <f t="shared" si="207"/>
        <v>1</v>
      </c>
      <c r="F1671" s="31">
        <f t="shared" si="205"/>
        <v>6.4</v>
      </c>
      <c r="G1671" s="31">
        <f t="shared" ca="1" si="201"/>
        <v>0</v>
      </c>
      <c r="H1671" s="30">
        <f t="shared" ca="1" si="202"/>
        <v>6.4</v>
      </c>
      <c r="I1671" s="31">
        <f t="shared" ca="1" si="203"/>
        <v>6.4</v>
      </c>
      <c r="Q1671" s="80"/>
      <c r="R1671" s="42"/>
      <c r="S1671" s="90">
        <f t="shared" si="208"/>
        <v>161.29999999999512</v>
      </c>
      <c r="T1671" s="42"/>
      <c r="U1671" s="42"/>
      <c r="V1671" s="42"/>
      <c r="W1671" s="42"/>
      <c r="X1671" s="81"/>
    </row>
    <row r="1672" spans="2:24" x14ac:dyDescent="0.25">
      <c r="B1672" s="2">
        <v>1</v>
      </c>
      <c r="C1672" s="1">
        <f t="shared" si="206"/>
        <v>25.764705882352828</v>
      </c>
      <c r="D1672" s="1">
        <f t="shared" si="204"/>
        <v>0</v>
      </c>
      <c r="E1672" s="1">
        <f t="shared" si="207"/>
        <v>1</v>
      </c>
      <c r="F1672" s="31">
        <f t="shared" si="205"/>
        <v>6.4</v>
      </c>
      <c r="G1672" s="31">
        <f t="shared" ca="1" si="201"/>
        <v>0</v>
      </c>
      <c r="H1672" s="30">
        <f t="shared" ca="1" si="202"/>
        <v>6.4</v>
      </c>
      <c r="I1672" s="31">
        <f t="shared" ca="1" si="203"/>
        <v>6.4</v>
      </c>
      <c r="Q1672" s="80"/>
      <c r="R1672" s="42"/>
      <c r="S1672" s="90">
        <f t="shared" si="208"/>
        <v>161.39999999999512</v>
      </c>
      <c r="T1672" s="42"/>
      <c r="U1672" s="42"/>
      <c r="V1672" s="42"/>
      <c r="W1672" s="42"/>
      <c r="X1672" s="81"/>
    </row>
    <row r="1673" spans="2:24" x14ac:dyDescent="0.25">
      <c r="B1673" s="2">
        <v>1</v>
      </c>
      <c r="C1673" s="1">
        <f t="shared" si="206"/>
        <v>26.764705882352828</v>
      </c>
      <c r="D1673" s="1">
        <f t="shared" si="204"/>
        <v>0</v>
      </c>
      <c r="E1673" s="1">
        <f t="shared" si="207"/>
        <v>1</v>
      </c>
      <c r="F1673" s="31">
        <f t="shared" si="205"/>
        <v>6.4</v>
      </c>
      <c r="G1673" s="31">
        <f t="shared" ca="1" si="201"/>
        <v>0</v>
      </c>
      <c r="H1673" s="30">
        <f t="shared" ca="1" si="202"/>
        <v>6.4</v>
      </c>
      <c r="I1673" s="31">
        <f t="shared" ca="1" si="203"/>
        <v>6.4</v>
      </c>
      <c r="Q1673" s="80"/>
      <c r="R1673" s="42"/>
      <c r="S1673" s="90">
        <f t="shared" si="208"/>
        <v>161.49999999999511</v>
      </c>
      <c r="T1673" s="42"/>
      <c r="U1673" s="42"/>
      <c r="V1673" s="42"/>
      <c r="W1673" s="42"/>
      <c r="X1673" s="81"/>
    </row>
    <row r="1674" spans="2:24" x14ac:dyDescent="0.25">
      <c r="B1674" s="2">
        <v>1</v>
      </c>
      <c r="C1674" s="1">
        <f t="shared" si="206"/>
        <v>27.764705882352828</v>
      </c>
      <c r="D1674" s="1">
        <f t="shared" si="204"/>
        <v>0</v>
      </c>
      <c r="E1674" s="1">
        <f t="shared" si="207"/>
        <v>1</v>
      </c>
      <c r="F1674" s="31">
        <f t="shared" si="205"/>
        <v>6.4</v>
      </c>
      <c r="G1674" s="31">
        <f t="shared" ca="1" si="201"/>
        <v>0</v>
      </c>
      <c r="H1674" s="30">
        <f t="shared" ca="1" si="202"/>
        <v>6.4</v>
      </c>
      <c r="I1674" s="31">
        <f t="shared" ca="1" si="203"/>
        <v>6.4</v>
      </c>
      <c r="Q1674" s="80"/>
      <c r="R1674" s="42"/>
      <c r="S1674" s="90">
        <f t="shared" si="208"/>
        <v>161.59999999999511</v>
      </c>
      <c r="T1674" s="42"/>
      <c r="U1674" s="42"/>
      <c r="V1674" s="42"/>
      <c r="W1674" s="42"/>
      <c r="X1674" s="81"/>
    </row>
    <row r="1675" spans="2:24" x14ac:dyDescent="0.25">
      <c r="B1675" s="2">
        <v>1</v>
      </c>
      <c r="C1675" s="1">
        <f t="shared" si="206"/>
        <v>28.764705882352828</v>
      </c>
      <c r="D1675" s="1">
        <f t="shared" si="204"/>
        <v>0</v>
      </c>
      <c r="E1675" s="1">
        <f t="shared" si="207"/>
        <v>1</v>
      </c>
      <c r="F1675" s="31">
        <f t="shared" si="205"/>
        <v>6.4</v>
      </c>
      <c r="G1675" s="31">
        <f t="shared" ref="G1675:G1738" ca="1" si="209">IF(D1675=1, AVERAGE(OFFSET(F1675,-$L$27,0,$L$27,1)),0)</f>
        <v>0</v>
      </c>
      <c r="H1675" s="30">
        <f t="shared" ref="H1675:H1738" ca="1" si="210">IF(D1675=0, AVERAGE(OFFSET(F1675,-$L$28,0,$L$28,1)),0)</f>
        <v>6.4</v>
      </c>
      <c r="I1675" s="31">
        <f t="shared" ref="I1675:I1738" ca="1" si="211">G1675+H1675</f>
        <v>6.4</v>
      </c>
      <c r="Q1675" s="80"/>
      <c r="R1675" s="42"/>
      <c r="S1675" s="90">
        <f t="shared" si="208"/>
        <v>161.6999999999951</v>
      </c>
      <c r="T1675" s="42"/>
      <c r="U1675" s="42"/>
      <c r="V1675" s="42"/>
      <c r="W1675" s="42"/>
      <c r="X1675" s="81"/>
    </row>
    <row r="1676" spans="2:24" x14ac:dyDescent="0.25">
      <c r="B1676" s="2">
        <v>1</v>
      </c>
      <c r="C1676" s="1">
        <f t="shared" si="206"/>
        <v>29.764705882352828</v>
      </c>
      <c r="D1676" s="1">
        <f t="shared" si="204"/>
        <v>0</v>
      </c>
      <c r="E1676" s="1">
        <f t="shared" si="207"/>
        <v>1</v>
      </c>
      <c r="F1676" s="31">
        <f t="shared" si="205"/>
        <v>6.4</v>
      </c>
      <c r="G1676" s="31">
        <f t="shared" ca="1" si="209"/>
        <v>0</v>
      </c>
      <c r="H1676" s="30">
        <f t="shared" ca="1" si="210"/>
        <v>6.4</v>
      </c>
      <c r="I1676" s="31">
        <f t="shared" ca="1" si="211"/>
        <v>6.4</v>
      </c>
      <c r="Q1676" s="80"/>
      <c r="R1676" s="42"/>
      <c r="S1676" s="90">
        <f t="shared" si="208"/>
        <v>161.79999999999509</v>
      </c>
      <c r="T1676" s="42"/>
      <c r="U1676" s="42"/>
      <c r="V1676" s="42"/>
      <c r="W1676" s="42"/>
      <c r="X1676" s="81"/>
    </row>
    <row r="1677" spans="2:24" x14ac:dyDescent="0.25">
      <c r="B1677" s="2">
        <v>1</v>
      </c>
      <c r="C1677" s="1">
        <f t="shared" si="206"/>
        <v>30.764705882352828</v>
      </c>
      <c r="D1677" s="1">
        <f t="shared" si="204"/>
        <v>0</v>
      </c>
      <c r="E1677" s="1">
        <f t="shared" si="207"/>
        <v>1</v>
      </c>
      <c r="F1677" s="31">
        <f t="shared" si="205"/>
        <v>6.4</v>
      </c>
      <c r="G1677" s="31">
        <f t="shared" ca="1" si="209"/>
        <v>0</v>
      </c>
      <c r="H1677" s="30">
        <f t="shared" ca="1" si="210"/>
        <v>6.4</v>
      </c>
      <c r="I1677" s="31">
        <f t="shared" ca="1" si="211"/>
        <v>6.4</v>
      </c>
      <c r="Q1677" s="80"/>
      <c r="R1677" s="42"/>
      <c r="S1677" s="90">
        <f t="shared" si="208"/>
        <v>161.89999999999509</v>
      </c>
      <c r="T1677" s="42"/>
      <c r="U1677" s="42"/>
      <c r="V1677" s="42"/>
      <c r="W1677" s="42"/>
      <c r="X1677" s="81"/>
    </row>
    <row r="1678" spans="2:24" x14ac:dyDescent="0.25">
      <c r="B1678" s="2">
        <v>1</v>
      </c>
      <c r="C1678" s="1">
        <f t="shared" si="206"/>
        <v>31.764705882352828</v>
      </c>
      <c r="D1678" s="1">
        <f t="shared" si="204"/>
        <v>0</v>
      </c>
      <c r="E1678" s="1">
        <f t="shared" si="207"/>
        <v>1</v>
      </c>
      <c r="F1678" s="31">
        <f t="shared" si="205"/>
        <v>6.4</v>
      </c>
      <c r="G1678" s="31">
        <f t="shared" ca="1" si="209"/>
        <v>0</v>
      </c>
      <c r="H1678" s="30">
        <f t="shared" ca="1" si="210"/>
        <v>6.4</v>
      </c>
      <c r="I1678" s="31">
        <f t="shared" ca="1" si="211"/>
        <v>6.4</v>
      </c>
      <c r="Q1678" s="80"/>
      <c r="R1678" s="42"/>
      <c r="S1678" s="90">
        <f t="shared" si="208"/>
        <v>161.99999999999508</v>
      </c>
      <c r="T1678" s="42"/>
      <c r="U1678" s="42"/>
      <c r="V1678" s="42"/>
      <c r="W1678" s="42"/>
      <c r="X1678" s="81"/>
    </row>
    <row r="1679" spans="2:24" x14ac:dyDescent="0.25">
      <c r="B1679" s="2">
        <v>1</v>
      </c>
      <c r="C1679" s="1">
        <f t="shared" si="206"/>
        <v>32.764705882352828</v>
      </c>
      <c r="D1679" s="1">
        <f t="shared" si="204"/>
        <v>0</v>
      </c>
      <c r="E1679" s="1">
        <f t="shared" si="207"/>
        <v>1</v>
      </c>
      <c r="F1679" s="31">
        <f t="shared" si="205"/>
        <v>6.4</v>
      </c>
      <c r="G1679" s="31">
        <f t="shared" ca="1" si="209"/>
        <v>0</v>
      </c>
      <c r="H1679" s="30">
        <f t="shared" ca="1" si="210"/>
        <v>6.4</v>
      </c>
      <c r="I1679" s="31">
        <f t="shared" ca="1" si="211"/>
        <v>6.4</v>
      </c>
      <c r="Q1679" s="80"/>
      <c r="R1679" s="42"/>
      <c r="S1679" s="90">
        <f t="shared" si="208"/>
        <v>162.09999999999508</v>
      </c>
      <c r="T1679" s="42"/>
      <c r="U1679" s="42"/>
      <c r="V1679" s="42"/>
      <c r="W1679" s="42"/>
      <c r="X1679" s="81"/>
    </row>
    <row r="1680" spans="2:24" x14ac:dyDescent="0.25">
      <c r="B1680" s="2">
        <v>1</v>
      </c>
      <c r="C1680" s="1">
        <f t="shared" si="206"/>
        <v>33.764705882352828</v>
      </c>
      <c r="D1680" s="1">
        <f t="shared" si="204"/>
        <v>0</v>
      </c>
      <c r="E1680" s="1">
        <f t="shared" si="207"/>
        <v>1</v>
      </c>
      <c r="F1680" s="31">
        <f t="shared" si="205"/>
        <v>6.4</v>
      </c>
      <c r="G1680" s="31">
        <f t="shared" ca="1" si="209"/>
        <v>0</v>
      </c>
      <c r="H1680" s="30">
        <f t="shared" ca="1" si="210"/>
        <v>6.4</v>
      </c>
      <c r="I1680" s="31">
        <f t="shared" ca="1" si="211"/>
        <v>6.4</v>
      </c>
      <c r="Q1680" s="80"/>
      <c r="R1680" s="42"/>
      <c r="S1680" s="90">
        <f t="shared" si="208"/>
        <v>162.19999999999507</v>
      </c>
      <c r="T1680" s="42"/>
      <c r="U1680" s="42"/>
      <c r="V1680" s="42"/>
      <c r="W1680" s="42"/>
      <c r="X1680" s="81"/>
    </row>
    <row r="1681" spans="2:24" x14ac:dyDescent="0.25">
      <c r="B1681" s="2">
        <v>1</v>
      </c>
      <c r="C1681" s="1">
        <f t="shared" si="206"/>
        <v>34.764705882352828</v>
      </c>
      <c r="D1681" s="1">
        <f t="shared" si="204"/>
        <v>0</v>
      </c>
      <c r="E1681" s="1">
        <f t="shared" si="207"/>
        <v>1</v>
      </c>
      <c r="F1681" s="31">
        <f t="shared" si="205"/>
        <v>6.4</v>
      </c>
      <c r="G1681" s="31">
        <f t="shared" ca="1" si="209"/>
        <v>0</v>
      </c>
      <c r="H1681" s="30">
        <f t="shared" ca="1" si="210"/>
        <v>6.4</v>
      </c>
      <c r="I1681" s="31">
        <f t="shared" ca="1" si="211"/>
        <v>6.4</v>
      </c>
      <c r="Q1681" s="80"/>
      <c r="R1681" s="42"/>
      <c r="S1681" s="90">
        <f t="shared" si="208"/>
        <v>162.29999999999507</v>
      </c>
      <c r="T1681" s="42"/>
      <c r="U1681" s="42"/>
      <c r="V1681" s="42"/>
      <c r="W1681" s="42"/>
      <c r="X1681" s="81"/>
    </row>
    <row r="1682" spans="2:24" x14ac:dyDescent="0.25">
      <c r="B1682" s="2">
        <v>1</v>
      </c>
      <c r="C1682" s="1">
        <f t="shared" si="206"/>
        <v>0.47058823529400229</v>
      </c>
      <c r="D1682" s="1">
        <f t="shared" si="204"/>
        <v>1</v>
      </c>
      <c r="E1682" s="1">
        <f t="shared" si="207"/>
        <v>0</v>
      </c>
      <c r="F1682" s="31">
        <f t="shared" si="205"/>
        <v>14.6</v>
      </c>
      <c r="G1682" s="31">
        <f t="shared" ca="1" si="209"/>
        <v>6.4</v>
      </c>
      <c r="H1682" s="30">
        <f t="shared" ca="1" si="210"/>
        <v>0</v>
      </c>
      <c r="I1682" s="31">
        <f t="shared" ca="1" si="211"/>
        <v>6.4</v>
      </c>
      <c r="Q1682" s="80"/>
      <c r="R1682" s="42"/>
      <c r="S1682" s="90">
        <f t="shared" si="208"/>
        <v>162.39999999999506</v>
      </c>
      <c r="T1682" s="42"/>
      <c r="U1682" s="42"/>
      <c r="V1682" s="42"/>
      <c r="W1682" s="42"/>
      <c r="X1682" s="81"/>
    </row>
    <row r="1683" spans="2:24" x14ac:dyDescent="0.25">
      <c r="B1683" s="2">
        <v>1</v>
      </c>
      <c r="C1683" s="1">
        <f t="shared" si="206"/>
        <v>1.4705882352940023</v>
      </c>
      <c r="D1683" s="1">
        <f t="shared" si="204"/>
        <v>1</v>
      </c>
      <c r="E1683" s="1">
        <f t="shared" si="207"/>
        <v>0</v>
      </c>
      <c r="F1683" s="31">
        <f t="shared" si="205"/>
        <v>14.6</v>
      </c>
      <c r="G1683" s="31">
        <f t="shared" ca="1" si="209"/>
        <v>8.4500000000000011</v>
      </c>
      <c r="H1683" s="30">
        <f t="shared" ca="1" si="210"/>
        <v>0</v>
      </c>
      <c r="I1683" s="31">
        <f t="shared" ca="1" si="211"/>
        <v>8.4500000000000011</v>
      </c>
      <c r="Q1683" s="80"/>
      <c r="R1683" s="42"/>
      <c r="S1683" s="90">
        <f t="shared" si="208"/>
        <v>162.49999999999505</v>
      </c>
      <c r="T1683" s="42"/>
      <c r="U1683" s="42"/>
      <c r="V1683" s="42"/>
      <c r="W1683" s="42"/>
      <c r="X1683" s="81"/>
    </row>
    <row r="1684" spans="2:24" x14ac:dyDescent="0.25">
      <c r="B1684" s="2">
        <v>1</v>
      </c>
      <c r="C1684" s="1">
        <f t="shared" si="206"/>
        <v>2.4705882352940023</v>
      </c>
      <c r="D1684" s="1">
        <f t="shared" si="204"/>
        <v>1</v>
      </c>
      <c r="E1684" s="1">
        <f t="shared" si="207"/>
        <v>0</v>
      </c>
      <c r="F1684" s="31">
        <f t="shared" si="205"/>
        <v>14.6</v>
      </c>
      <c r="G1684" s="31">
        <f t="shared" ca="1" si="209"/>
        <v>10.5</v>
      </c>
      <c r="H1684" s="30">
        <f t="shared" ca="1" si="210"/>
        <v>0</v>
      </c>
      <c r="I1684" s="31">
        <f t="shared" ca="1" si="211"/>
        <v>10.5</v>
      </c>
      <c r="Q1684" s="80"/>
      <c r="R1684" s="42"/>
      <c r="S1684" s="90">
        <f t="shared" si="208"/>
        <v>162.59999999999505</v>
      </c>
      <c r="T1684" s="42"/>
      <c r="U1684" s="42"/>
      <c r="V1684" s="42"/>
      <c r="W1684" s="42"/>
      <c r="X1684" s="81"/>
    </row>
    <row r="1685" spans="2:24" x14ac:dyDescent="0.25">
      <c r="B1685" s="2">
        <v>1</v>
      </c>
      <c r="C1685" s="1">
        <f t="shared" si="206"/>
        <v>3.4705882352940023</v>
      </c>
      <c r="D1685" s="1">
        <f t="shared" si="204"/>
        <v>1</v>
      </c>
      <c r="E1685" s="1">
        <f t="shared" si="207"/>
        <v>0</v>
      </c>
      <c r="F1685" s="31">
        <f t="shared" si="205"/>
        <v>14.6</v>
      </c>
      <c r="G1685" s="31">
        <f t="shared" ca="1" si="209"/>
        <v>12.55</v>
      </c>
      <c r="H1685" s="30">
        <f t="shared" ca="1" si="210"/>
        <v>0</v>
      </c>
      <c r="I1685" s="31">
        <f t="shared" ca="1" si="211"/>
        <v>12.55</v>
      </c>
      <c r="Q1685" s="80"/>
      <c r="R1685" s="42"/>
      <c r="S1685" s="90">
        <f t="shared" si="208"/>
        <v>162.69999999999504</v>
      </c>
      <c r="T1685" s="42"/>
      <c r="U1685" s="42"/>
      <c r="V1685" s="42"/>
      <c r="W1685" s="42"/>
      <c r="X1685" s="81"/>
    </row>
    <row r="1686" spans="2:24" x14ac:dyDescent="0.25">
      <c r="B1686" s="2">
        <v>1</v>
      </c>
      <c r="C1686" s="1">
        <f t="shared" si="206"/>
        <v>4.4705882352940023</v>
      </c>
      <c r="D1686" s="1">
        <f t="shared" si="204"/>
        <v>1</v>
      </c>
      <c r="E1686" s="1">
        <f t="shared" si="207"/>
        <v>0</v>
      </c>
      <c r="F1686" s="31">
        <f t="shared" si="205"/>
        <v>14.6</v>
      </c>
      <c r="G1686" s="31">
        <f t="shared" ca="1" si="209"/>
        <v>14.6</v>
      </c>
      <c r="H1686" s="30">
        <f t="shared" ca="1" si="210"/>
        <v>0</v>
      </c>
      <c r="I1686" s="31">
        <f t="shared" ca="1" si="211"/>
        <v>14.6</v>
      </c>
      <c r="Q1686" s="80"/>
      <c r="R1686" s="42"/>
      <c r="S1686" s="90">
        <f t="shared" si="208"/>
        <v>162.79999999999504</v>
      </c>
      <c r="T1686" s="42"/>
      <c r="U1686" s="42"/>
      <c r="V1686" s="42"/>
      <c r="W1686" s="42"/>
      <c r="X1686" s="81"/>
    </row>
    <row r="1687" spans="2:24" x14ac:dyDescent="0.25">
      <c r="B1687" s="2">
        <v>1</v>
      </c>
      <c r="C1687" s="1">
        <f t="shared" si="206"/>
        <v>5.4705882352940023</v>
      </c>
      <c r="D1687" s="1">
        <f t="shared" si="204"/>
        <v>1</v>
      </c>
      <c r="E1687" s="1">
        <f t="shared" si="207"/>
        <v>0</v>
      </c>
      <c r="F1687" s="31">
        <f t="shared" si="205"/>
        <v>14.6</v>
      </c>
      <c r="G1687" s="31">
        <f t="shared" ca="1" si="209"/>
        <v>14.6</v>
      </c>
      <c r="H1687" s="30">
        <f t="shared" ca="1" si="210"/>
        <v>0</v>
      </c>
      <c r="I1687" s="31">
        <f t="shared" ca="1" si="211"/>
        <v>14.6</v>
      </c>
      <c r="Q1687" s="80"/>
      <c r="R1687" s="42"/>
      <c r="S1687" s="90">
        <f t="shared" si="208"/>
        <v>162.89999999999503</v>
      </c>
      <c r="T1687" s="42"/>
      <c r="U1687" s="42"/>
      <c r="V1687" s="42"/>
      <c r="W1687" s="42"/>
      <c r="X1687" s="81"/>
    </row>
    <row r="1688" spans="2:24" x14ac:dyDescent="0.25">
      <c r="B1688" s="2">
        <v>1</v>
      </c>
      <c r="C1688" s="1">
        <f t="shared" si="206"/>
        <v>6.4705882352940023</v>
      </c>
      <c r="D1688" s="1">
        <f t="shared" si="204"/>
        <v>1</v>
      </c>
      <c r="E1688" s="1">
        <f t="shared" si="207"/>
        <v>0</v>
      </c>
      <c r="F1688" s="31">
        <f t="shared" si="205"/>
        <v>14.6</v>
      </c>
      <c r="G1688" s="31">
        <f t="shared" ca="1" si="209"/>
        <v>14.6</v>
      </c>
      <c r="H1688" s="30">
        <f t="shared" ca="1" si="210"/>
        <v>0</v>
      </c>
      <c r="I1688" s="31">
        <f t="shared" ca="1" si="211"/>
        <v>14.6</v>
      </c>
      <c r="Q1688" s="80"/>
      <c r="R1688" s="42"/>
      <c r="S1688" s="90">
        <f t="shared" si="208"/>
        <v>162.99999999999503</v>
      </c>
      <c r="T1688" s="42"/>
      <c r="U1688" s="42"/>
      <c r="V1688" s="42"/>
      <c r="W1688" s="42"/>
      <c r="X1688" s="81"/>
    </row>
    <row r="1689" spans="2:24" x14ac:dyDescent="0.25">
      <c r="B1689" s="2">
        <v>1</v>
      </c>
      <c r="C1689" s="1">
        <f t="shared" si="206"/>
        <v>7.4705882352940023</v>
      </c>
      <c r="D1689" s="1">
        <f t="shared" si="204"/>
        <v>1</v>
      </c>
      <c r="E1689" s="1">
        <f t="shared" si="207"/>
        <v>0</v>
      </c>
      <c r="F1689" s="31">
        <f t="shared" si="205"/>
        <v>14.6</v>
      </c>
      <c r="G1689" s="31">
        <f t="shared" ca="1" si="209"/>
        <v>14.6</v>
      </c>
      <c r="H1689" s="30">
        <f t="shared" ca="1" si="210"/>
        <v>0</v>
      </c>
      <c r="I1689" s="31">
        <f t="shared" ca="1" si="211"/>
        <v>14.6</v>
      </c>
      <c r="Q1689" s="80"/>
      <c r="R1689" s="42"/>
      <c r="S1689" s="90">
        <f t="shared" si="208"/>
        <v>163.09999999999502</v>
      </c>
      <c r="T1689" s="42"/>
      <c r="U1689" s="42"/>
      <c r="V1689" s="42"/>
      <c r="W1689" s="42"/>
      <c r="X1689" s="81"/>
    </row>
    <row r="1690" spans="2:24" x14ac:dyDescent="0.25">
      <c r="B1690" s="2">
        <v>1</v>
      </c>
      <c r="C1690" s="1">
        <f t="shared" si="206"/>
        <v>8.4705882352940023</v>
      </c>
      <c r="D1690" s="1">
        <f t="shared" si="204"/>
        <v>1</v>
      </c>
      <c r="E1690" s="1">
        <f t="shared" si="207"/>
        <v>0</v>
      </c>
      <c r="F1690" s="31">
        <f t="shared" si="205"/>
        <v>14.6</v>
      </c>
      <c r="G1690" s="31">
        <f t="shared" ca="1" si="209"/>
        <v>14.6</v>
      </c>
      <c r="H1690" s="30">
        <f t="shared" ca="1" si="210"/>
        <v>0</v>
      </c>
      <c r="I1690" s="31">
        <f t="shared" ca="1" si="211"/>
        <v>14.6</v>
      </c>
      <c r="Q1690" s="80"/>
      <c r="R1690" s="42"/>
      <c r="S1690" s="90">
        <f t="shared" si="208"/>
        <v>163.19999999999501</v>
      </c>
      <c r="T1690" s="42"/>
      <c r="U1690" s="42"/>
      <c r="V1690" s="42"/>
      <c r="W1690" s="42"/>
      <c r="X1690" s="81"/>
    </row>
    <row r="1691" spans="2:24" x14ac:dyDescent="0.25">
      <c r="B1691" s="2">
        <v>1</v>
      </c>
      <c r="C1691" s="1">
        <f t="shared" si="206"/>
        <v>9.4705882352940023</v>
      </c>
      <c r="D1691" s="1">
        <f t="shared" si="204"/>
        <v>1</v>
      </c>
      <c r="E1691" s="1">
        <f t="shared" si="207"/>
        <v>0</v>
      </c>
      <c r="F1691" s="31">
        <f t="shared" si="205"/>
        <v>14.6</v>
      </c>
      <c r="G1691" s="31">
        <f t="shared" ca="1" si="209"/>
        <v>14.6</v>
      </c>
      <c r="H1691" s="30">
        <f t="shared" ca="1" si="210"/>
        <v>0</v>
      </c>
      <c r="I1691" s="31">
        <f t="shared" ca="1" si="211"/>
        <v>14.6</v>
      </c>
      <c r="Q1691" s="80"/>
      <c r="R1691" s="42"/>
      <c r="S1691" s="90">
        <f t="shared" si="208"/>
        <v>163.29999999999501</v>
      </c>
      <c r="T1691" s="42"/>
      <c r="U1691" s="42"/>
      <c r="V1691" s="42"/>
      <c r="W1691" s="42"/>
      <c r="X1691" s="81"/>
    </row>
    <row r="1692" spans="2:24" x14ac:dyDescent="0.25">
      <c r="B1692" s="2">
        <v>1</v>
      </c>
      <c r="C1692" s="1">
        <f t="shared" si="206"/>
        <v>10.470588235294002</v>
      </c>
      <c r="D1692" s="1">
        <f t="shared" si="204"/>
        <v>1</v>
      </c>
      <c r="E1692" s="1">
        <f t="shared" si="207"/>
        <v>0</v>
      </c>
      <c r="F1692" s="31">
        <f t="shared" si="205"/>
        <v>14.6</v>
      </c>
      <c r="G1692" s="31">
        <f t="shared" ca="1" si="209"/>
        <v>14.6</v>
      </c>
      <c r="H1692" s="30">
        <f t="shared" ca="1" si="210"/>
        <v>0</v>
      </c>
      <c r="I1692" s="31">
        <f t="shared" ca="1" si="211"/>
        <v>14.6</v>
      </c>
      <c r="Q1692" s="80"/>
      <c r="R1692" s="42"/>
      <c r="S1692" s="90">
        <f t="shared" si="208"/>
        <v>163.399999999995</v>
      </c>
      <c r="T1692" s="42"/>
      <c r="U1692" s="42"/>
      <c r="V1692" s="42"/>
      <c r="W1692" s="42"/>
      <c r="X1692" s="81"/>
    </row>
    <row r="1693" spans="2:24" x14ac:dyDescent="0.25">
      <c r="B1693" s="2">
        <v>1</v>
      </c>
      <c r="C1693" s="1">
        <f t="shared" si="206"/>
        <v>11.470588235294002</v>
      </c>
      <c r="D1693" s="1">
        <f t="shared" si="204"/>
        <v>1</v>
      </c>
      <c r="E1693" s="1">
        <f t="shared" si="207"/>
        <v>0</v>
      </c>
      <c r="F1693" s="31">
        <f t="shared" si="205"/>
        <v>14.6</v>
      </c>
      <c r="G1693" s="31">
        <f t="shared" ca="1" si="209"/>
        <v>14.6</v>
      </c>
      <c r="H1693" s="30">
        <f t="shared" ca="1" si="210"/>
        <v>0</v>
      </c>
      <c r="I1693" s="31">
        <f t="shared" ca="1" si="211"/>
        <v>14.6</v>
      </c>
      <c r="Q1693" s="80"/>
      <c r="R1693" s="42"/>
      <c r="S1693" s="90">
        <f t="shared" si="208"/>
        <v>163.499999999995</v>
      </c>
      <c r="T1693" s="42"/>
      <c r="U1693" s="42"/>
      <c r="V1693" s="42"/>
      <c r="W1693" s="42"/>
      <c r="X1693" s="81"/>
    </row>
    <row r="1694" spans="2:24" x14ac:dyDescent="0.25">
      <c r="B1694" s="2">
        <v>1</v>
      </c>
      <c r="C1694" s="1">
        <f t="shared" si="206"/>
        <v>12.470588235294002</v>
      </c>
      <c r="D1694" s="1">
        <f t="shared" si="204"/>
        <v>1</v>
      </c>
      <c r="E1694" s="1">
        <f t="shared" si="207"/>
        <v>0</v>
      </c>
      <c r="F1694" s="31">
        <f t="shared" si="205"/>
        <v>14.6</v>
      </c>
      <c r="G1694" s="31">
        <f t="shared" ca="1" si="209"/>
        <v>14.6</v>
      </c>
      <c r="H1694" s="30">
        <f t="shared" ca="1" si="210"/>
        <v>0</v>
      </c>
      <c r="I1694" s="31">
        <f t="shared" ca="1" si="211"/>
        <v>14.6</v>
      </c>
      <c r="Q1694" s="80"/>
      <c r="R1694" s="42"/>
      <c r="S1694" s="90">
        <f t="shared" si="208"/>
        <v>163.59999999999499</v>
      </c>
      <c r="T1694" s="42"/>
      <c r="U1694" s="42"/>
      <c r="V1694" s="42"/>
      <c r="W1694" s="42"/>
      <c r="X1694" s="81"/>
    </row>
    <row r="1695" spans="2:24" x14ac:dyDescent="0.25">
      <c r="B1695" s="2">
        <v>1</v>
      </c>
      <c r="C1695" s="1">
        <f t="shared" si="206"/>
        <v>13.470588235294002</v>
      </c>
      <c r="D1695" s="1">
        <f t="shared" si="204"/>
        <v>1</v>
      </c>
      <c r="E1695" s="1">
        <f t="shared" si="207"/>
        <v>0</v>
      </c>
      <c r="F1695" s="31">
        <f t="shared" si="205"/>
        <v>14.6</v>
      </c>
      <c r="G1695" s="31">
        <f t="shared" ca="1" si="209"/>
        <v>14.6</v>
      </c>
      <c r="H1695" s="30">
        <f t="shared" ca="1" si="210"/>
        <v>0</v>
      </c>
      <c r="I1695" s="31">
        <f t="shared" ca="1" si="211"/>
        <v>14.6</v>
      </c>
      <c r="Q1695" s="80"/>
      <c r="R1695" s="42"/>
      <c r="S1695" s="90">
        <f t="shared" si="208"/>
        <v>163.69999999999499</v>
      </c>
      <c r="T1695" s="42"/>
      <c r="U1695" s="42"/>
      <c r="V1695" s="42"/>
      <c r="W1695" s="42"/>
      <c r="X1695" s="81"/>
    </row>
    <row r="1696" spans="2:24" x14ac:dyDescent="0.25">
      <c r="B1696" s="2">
        <v>1</v>
      </c>
      <c r="C1696" s="1">
        <f t="shared" si="206"/>
        <v>14.470588235294002</v>
      </c>
      <c r="D1696" s="1">
        <f t="shared" si="204"/>
        <v>1</v>
      </c>
      <c r="E1696" s="1">
        <f t="shared" si="207"/>
        <v>0</v>
      </c>
      <c r="F1696" s="31">
        <f t="shared" si="205"/>
        <v>14.6</v>
      </c>
      <c r="G1696" s="31">
        <f t="shared" ca="1" si="209"/>
        <v>14.6</v>
      </c>
      <c r="H1696" s="30">
        <f t="shared" ca="1" si="210"/>
        <v>0</v>
      </c>
      <c r="I1696" s="31">
        <f t="shared" ca="1" si="211"/>
        <v>14.6</v>
      </c>
      <c r="Q1696" s="80"/>
      <c r="R1696" s="42"/>
      <c r="S1696" s="90">
        <f t="shared" si="208"/>
        <v>163.79999999999498</v>
      </c>
      <c r="T1696" s="42"/>
      <c r="U1696" s="42"/>
      <c r="V1696" s="42"/>
      <c r="W1696" s="42"/>
      <c r="X1696" s="81"/>
    </row>
    <row r="1697" spans="2:24" x14ac:dyDescent="0.25">
      <c r="B1697" s="2">
        <v>1</v>
      </c>
      <c r="C1697" s="1">
        <f t="shared" si="206"/>
        <v>15.470588235294002</v>
      </c>
      <c r="D1697" s="1">
        <f t="shared" si="204"/>
        <v>1</v>
      </c>
      <c r="E1697" s="1">
        <f t="shared" si="207"/>
        <v>0</v>
      </c>
      <c r="F1697" s="31">
        <f t="shared" si="205"/>
        <v>14.6</v>
      </c>
      <c r="G1697" s="31">
        <f t="shared" ca="1" si="209"/>
        <v>14.6</v>
      </c>
      <c r="H1697" s="30">
        <f t="shared" ca="1" si="210"/>
        <v>0</v>
      </c>
      <c r="I1697" s="31">
        <f t="shared" ca="1" si="211"/>
        <v>14.6</v>
      </c>
      <c r="Q1697" s="80"/>
      <c r="R1697" s="42"/>
      <c r="S1697" s="90">
        <f t="shared" si="208"/>
        <v>163.89999999999498</v>
      </c>
      <c r="T1697" s="42"/>
      <c r="U1697" s="42"/>
      <c r="V1697" s="42"/>
      <c r="W1697" s="42"/>
      <c r="X1697" s="81"/>
    </row>
    <row r="1698" spans="2:24" x14ac:dyDescent="0.25">
      <c r="B1698" s="2">
        <v>1</v>
      </c>
      <c r="C1698" s="1">
        <f t="shared" si="206"/>
        <v>16.470588235294002</v>
      </c>
      <c r="D1698" s="1">
        <f t="shared" si="204"/>
        <v>1</v>
      </c>
      <c r="E1698" s="1">
        <f t="shared" si="207"/>
        <v>0</v>
      </c>
      <c r="F1698" s="31">
        <f t="shared" si="205"/>
        <v>14.6</v>
      </c>
      <c r="G1698" s="31">
        <f t="shared" ca="1" si="209"/>
        <v>14.6</v>
      </c>
      <c r="H1698" s="30">
        <f t="shared" ca="1" si="210"/>
        <v>0</v>
      </c>
      <c r="I1698" s="31">
        <f t="shared" ca="1" si="211"/>
        <v>14.6</v>
      </c>
      <c r="Q1698" s="80"/>
      <c r="R1698" s="42"/>
      <c r="S1698" s="90">
        <f t="shared" si="208"/>
        <v>163.99999999999497</v>
      </c>
      <c r="T1698" s="42"/>
      <c r="U1698" s="42"/>
      <c r="V1698" s="42"/>
      <c r="W1698" s="42"/>
      <c r="X1698" s="81"/>
    </row>
    <row r="1699" spans="2:24" x14ac:dyDescent="0.25">
      <c r="B1699" s="2">
        <v>1</v>
      </c>
      <c r="C1699" s="1">
        <f t="shared" si="206"/>
        <v>17.470588235294002</v>
      </c>
      <c r="D1699" s="1">
        <f t="shared" si="204"/>
        <v>1</v>
      </c>
      <c r="E1699" s="1">
        <f t="shared" si="207"/>
        <v>0</v>
      </c>
      <c r="F1699" s="31">
        <f t="shared" si="205"/>
        <v>14.6</v>
      </c>
      <c r="G1699" s="31">
        <f t="shared" ca="1" si="209"/>
        <v>14.6</v>
      </c>
      <c r="H1699" s="30">
        <f t="shared" ca="1" si="210"/>
        <v>0</v>
      </c>
      <c r="I1699" s="31">
        <f t="shared" ca="1" si="211"/>
        <v>14.6</v>
      </c>
      <c r="Q1699" s="80"/>
      <c r="R1699" s="42"/>
      <c r="S1699" s="90">
        <f t="shared" si="208"/>
        <v>164.09999999999496</v>
      </c>
      <c r="T1699" s="42"/>
      <c r="U1699" s="42"/>
      <c r="V1699" s="42"/>
      <c r="W1699" s="42"/>
      <c r="X1699" s="81"/>
    </row>
    <row r="1700" spans="2:24" x14ac:dyDescent="0.25">
      <c r="B1700" s="2">
        <v>1</v>
      </c>
      <c r="C1700" s="1">
        <f t="shared" si="206"/>
        <v>18.470588235294002</v>
      </c>
      <c r="D1700" s="1">
        <f t="shared" si="204"/>
        <v>1</v>
      </c>
      <c r="E1700" s="1">
        <f t="shared" si="207"/>
        <v>0</v>
      </c>
      <c r="F1700" s="31">
        <f t="shared" si="205"/>
        <v>14.6</v>
      </c>
      <c r="G1700" s="31">
        <f t="shared" ca="1" si="209"/>
        <v>14.6</v>
      </c>
      <c r="H1700" s="30">
        <f t="shared" ca="1" si="210"/>
        <v>0</v>
      </c>
      <c r="I1700" s="31">
        <f t="shared" ca="1" si="211"/>
        <v>14.6</v>
      </c>
      <c r="Q1700" s="80"/>
      <c r="R1700" s="42"/>
      <c r="S1700" s="90">
        <f t="shared" si="208"/>
        <v>164.19999999999496</v>
      </c>
      <c r="T1700" s="42"/>
      <c r="U1700" s="42"/>
      <c r="V1700" s="42"/>
      <c r="W1700" s="42"/>
      <c r="X1700" s="81"/>
    </row>
    <row r="1701" spans="2:24" x14ac:dyDescent="0.25">
      <c r="B1701" s="2">
        <v>1</v>
      </c>
      <c r="C1701" s="1">
        <f t="shared" si="206"/>
        <v>19.470588235294002</v>
      </c>
      <c r="D1701" s="1">
        <f t="shared" si="204"/>
        <v>1</v>
      </c>
      <c r="E1701" s="1">
        <f t="shared" si="207"/>
        <v>0</v>
      </c>
      <c r="F1701" s="31">
        <f t="shared" si="205"/>
        <v>14.6</v>
      </c>
      <c r="G1701" s="31">
        <f t="shared" ca="1" si="209"/>
        <v>14.6</v>
      </c>
      <c r="H1701" s="30">
        <f t="shared" ca="1" si="210"/>
        <v>0</v>
      </c>
      <c r="I1701" s="31">
        <f t="shared" ca="1" si="211"/>
        <v>14.6</v>
      </c>
      <c r="Q1701" s="80"/>
      <c r="R1701" s="42"/>
      <c r="S1701" s="90">
        <f t="shared" si="208"/>
        <v>164.29999999999495</v>
      </c>
      <c r="T1701" s="42"/>
      <c r="U1701" s="42"/>
      <c r="V1701" s="42"/>
      <c r="W1701" s="42"/>
      <c r="X1701" s="81"/>
    </row>
    <row r="1702" spans="2:24" x14ac:dyDescent="0.25">
      <c r="B1702" s="2">
        <v>1</v>
      </c>
      <c r="C1702" s="1">
        <f t="shared" si="206"/>
        <v>20.470588235294002</v>
      </c>
      <c r="D1702" s="1">
        <f t="shared" si="204"/>
        <v>1</v>
      </c>
      <c r="E1702" s="1">
        <f t="shared" si="207"/>
        <v>0</v>
      </c>
      <c r="F1702" s="31">
        <f t="shared" si="205"/>
        <v>14.6</v>
      </c>
      <c r="G1702" s="31">
        <f t="shared" ca="1" si="209"/>
        <v>14.6</v>
      </c>
      <c r="H1702" s="30">
        <f t="shared" ca="1" si="210"/>
        <v>0</v>
      </c>
      <c r="I1702" s="31">
        <f t="shared" ca="1" si="211"/>
        <v>14.6</v>
      </c>
      <c r="Q1702" s="80"/>
      <c r="R1702" s="42"/>
      <c r="S1702" s="90">
        <f t="shared" si="208"/>
        <v>164.39999999999495</v>
      </c>
      <c r="T1702" s="42"/>
      <c r="U1702" s="42"/>
      <c r="V1702" s="42"/>
      <c r="W1702" s="42"/>
      <c r="X1702" s="81"/>
    </row>
    <row r="1703" spans="2:24" x14ac:dyDescent="0.25">
      <c r="B1703" s="2">
        <v>1</v>
      </c>
      <c r="C1703" s="1">
        <f t="shared" si="206"/>
        <v>21.470588235294002</v>
      </c>
      <c r="D1703" s="1">
        <f t="shared" si="204"/>
        <v>1</v>
      </c>
      <c r="E1703" s="1">
        <f t="shared" si="207"/>
        <v>0</v>
      </c>
      <c r="F1703" s="31">
        <f t="shared" si="205"/>
        <v>14.6</v>
      </c>
      <c r="G1703" s="31">
        <f t="shared" ca="1" si="209"/>
        <v>14.6</v>
      </c>
      <c r="H1703" s="30">
        <f t="shared" ca="1" si="210"/>
        <v>0</v>
      </c>
      <c r="I1703" s="31">
        <f t="shared" ca="1" si="211"/>
        <v>14.6</v>
      </c>
      <c r="Q1703" s="80"/>
      <c r="R1703" s="42"/>
      <c r="S1703" s="90">
        <f t="shared" si="208"/>
        <v>164.49999999999494</v>
      </c>
      <c r="T1703" s="42"/>
      <c r="U1703" s="42"/>
      <c r="V1703" s="42"/>
      <c r="W1703" s="42"/>
      <c r="X1703" s="81"/>
    </row>
    <row r="1704" spans="2:24" x14ac:dyDescent="0.25">
      <c r="B1704" s="2">
        <v>1</v>
      </c>
      <c r="C1704" s="1">
        <f t="shared" si="206"/>
        <v>22.470588235294002</v>
      </c>
      <c r="D1704" s="1">
        <f t="shared" si="204"/>
        <v>1</v>
      </c>
      <c r="E1704" s="1">
        <f t="shared" si="207"/>
        <v>0</v>
      </c>
      <c r="F1704" s="31">
        <f t="shared" si="205"/>
        <v>14.6</v>
      </c>
      <c r="G1704" s="31">
        <f t="shared" ca="1" si="209"/>
        <v>14.6</v>
      </c>
      <c r="H1704" s="30">
        <f t="shared" ca="1" si="210"/>
        <v>0</v>
      </c>
      <c r="I1704" s="31">
        <f t="shared" ca="1" si="211"/>
        <v>14.6</v>
      </c>
      <c r="Q1704" s="80"/>
      <c r="R1704" s="42"/>
      <c r="S1704" s="90">
        <f t="shared" si="208"/>
        <v>164.59999999999494</v>
      </c>
      <c r="T1704" s="42"/>
      <c r="U1704" s="42"/>
      <c r="V1704" s="42"/>
      <c r="W1704" s="42"/>
      <c r="X1704" s="81"/>
    </row>
    <row r="1705" spans="2:24" x14ac:dyDescent="0.25">
      <c r="B1705" s="2">
        <v>1</v>
      </c>
      <c r="C1705" s="1">
        <f t="shared" si="206"/>
        <v>23.470588235294002</v>
      </c>
      <c r="D1705" s="1">
        <f t="shared" si="204"/>
        <v>0</v>
      </c>
      <c r="E1705" s="1">
        <f t="shared" si="207"/>
        <v>1</v>
      </c>
      <c r="F1705" s="31">
        <f t="shared" si="205"/>
        <v>6.4</v>
      </c>
      <c r="G1705" s="31">
        <f t="shared" ca="1" si="209"/>
        <v>0</v>
      </c>
      <c r="H1705" s="30">
        <f t="shared" ca="1" si="210"/>
        <v>14.6</v>
      </c>
      <c r="I1705" s="31">
        <f t="shared" ca="1" si="211"/>
        <v>14.6</v>
      </c>
      <c r="Q1705" s="80"/>
      <c r="R1705" s="42"/>
      <c r="S1705" s="90">
        <f t="shared" si="208"/>
        <v>164.69999999999493</v>
      </c>
      <c r="T1705" s="42"/>
      <c r="U1705" s="42"/>
      <c r="V1705" s="42"/>
      <c r="W1705" s="42"/>
      <c r="X1705" s="81"/>
    </row>
    <row r="1706" spans="2:24" x14ac:dyDescent="0.25">
      <c r="B1706" s="2">
        <v>1</v>
      </c>
      <c r="C1706" s="1">
        <f t="shared" si="206"/>
        <v>24.470588235294002</v>
      </c>
      <c r="D1706" s="1">
        <f t="shared" si="204"/>
        <v>0</v>
      </c>
      <c r="E1706" s="1">
        <f t="shared" si="207"/>
        <v>1</v>
      </c>
      <c r="F1706" s="31">
        <f t="shared" si="205"/>
        <v>6.4</v>
      </c>
      <c r="G1706" s="31">
        <f t="shared" ca="1" si="209"/>
        <v>0</v>
      </c>
      <c r="H1706" s="30">
        <f t="shared" ca="1" si="210"/>
        <v>6.4</v>
      </c>
      <c r="I1706" s="31">
        <f t="shared" ca="1" si="211"/>
        <v>6.4</v>
      </c>
      <c r="Q1706" s="80"/>
      <c r="R1706" s="42"/>
      <c r="S1706" s="90">
        <f t="shared" si="208"/>
        <v>164.79999999999492</v>
      </c>
      <c r="T1706" s="42"/>
      <c r="U1706" s="42"/>
      <c r="V1706" s="42"/>
      <c r="W1706" s="42"/>
      <c r="X1706" s="81"/>
    </row>
    <row r="1707" spans="2:24" x14ac:dyDescent="0.25">
      <c r="B1707" s="2">
        <v>1</v>
      </c>
      <c r="C1707" s="1">
        <f t="shared" si="206"/>
        <v>25.470588235294002</v>
      </c>
      <c r="D1707" s="1">
        <f t="shared" si="204"/>
        <v>0</v>
      </c>
      <c r="E1707" s="1">
        <f t="shared" si="207"/>
        <v>1</v>
      </c>
      <c r="F1707" s="31">
        <f t="shared" si="205"/>
        <v>6.4</v>
      </c>
      <c r="G1707" s="31">
        <f t="shared" ca="1" si="209"/>
        <v>0</v>
      </c>
      <c r="H1707" s="30">
        <f t="shared" ca="1" si="210"/>
        <v>6.4</v>
      </c>
      <c r="I1707" s="31">
        <f t="shared" ca="1" si="211"/>
        <v>6.4</v>
      </c>
      <c r="Q1707" s="80"/>
      <c r="R1707" s="42"/>
      <c r="S1707" s="90">
        <f t="shared" si="208"/>
        <v>164.89999999999492</v>
      </c>
      <c r="T1707" s="42"/>
      <c r="U1707" s="42"/>
      <c r="V1707" s="42"/>
      <c r="W1707" s="42"/>
      <c r="X1707" s="81"/>
    </row>
    <row r="1708" spans="2:24" x14ac:dyDescent="0.25">
      <c r="B1708" s="2">
        <v>1</v>
      </c>
      <c r="C1708" s="1">
        <f t="shared" si="206"/>
        <v>26.470588235294002</v>
      </c>
      <c r="D1708" s="1">
        <f t="shared" si="204"/>
        <v>0</v>
      </c>
      <c r="E1708" s="1">
        <f t="shared" si="207"/>
        <v>1</v>
      </c>
      <c r="F1708" s="31">
        <f t="shared" si="205"/>
        <v>6.4</v>
      </c>
      <c r="G1708" s="31">
        <f t="shared" ca="1" si="209"/>
        <v>0</v>
      </c>
      <c r="H1708" s="30">
        <f t="shared" ca="1" si="210"/>
        <v>6.4</v>
      </c>
      <c r="I1708" s="31">
        <f t="shared" ca="1" si="211"/>
        <v>6.4</v>
      </c>
      <c r="Q1708" s="80"/>
      <c r="R1708" s="42"/>
      <c r="S1708" s="90">
        <f t="shared" si="208"/>
        <v>164.99999999999491</v>
      </c>
      <c r="T1708" s="42"/>
      <c r="U1708" s="42"/>
      <c r="V1708" s="42"/>
      <c r="W1708" s="42"/>
      <c r="X1708" s="81"/>
    </row>
    <row r="1709" spans="2:24" x14ac:dyDescent="0.25">
      <c r="B1709" s="2">
        <v>1</v>
      </c>
      <c r="C1709" s="1">
        <f t="shared" si="206"/>
        <v>27.470588235294002</v>
      </c>
      <c r="D1709" s="1">
        <f t="shared" si="204"/>
        <v>0</v>
      </c>
      <c r="E1709" s="1">
        <f t="shared" si="207"/>
        <v>1</v>
      </c>
      <c r="F1709" s="31">
        <f t="shared" si="205"/>
        <v>6.4</v>
      </c>
      <c r="G1709" s="31">
        <f t="shared" ca="1" si="209"/>
        <v>0</v>
      </c>
      <c r="H1709" s="30">
        <f t="shared" ca="1" si="210"/>
        <v>6.4</v>
      </c>
      <c r="I1709" s="31">
        <f t="shared" ca="1" si="211"/>
        <v>6.4</v>
      </c>
      <c r="Q1709" s="80"/>
      <c r="R1709" s="42"/>
      <c r="S1709" s="90">
        <f t="shared" si="208"/>
        <v>165.09999999999491</v>
      </c>
      <c r="T1709" s="42"/>
      <c r="U1709" s="42"/>
      <c r="V1709" s="42"/>
      <c r="W1709" s="42"/>
      <c r="X1709" s="81"/>
    </row>
    <row r="1710" spans="2:24" x14ac:dyDescent="0.25">
      <c r="B1710" s="2">
        <v>1</v>
      </c>
      <c r="C1710" s="1">
        <f t="shared" si="206"/>
        <v>28.470588235294002</v>
      </c>
      <c r="D1710" s="1">
        <f t="shared" si="204"/>
        <v>0</v>
      </c>
      <c r="E1710" s="1">
        <f t="shared" si="207"/>
        <v>1</v>
      </c>
      <c r="F1710" s="31">
        <f t="shared" si="205"/>
        <v>6.4</v>
      </c>
      <c r="G1710" s="31">
        <f t="shared" ca="1" si="209"/>
        <v>0</v>
      </c>
      <c r="H1710" s="30">
        <f t="shared" ca="1" si="210"/>
        <v>6.4</v>
      </c>
      <c r="I1710" s="31">
        <f t="shared" ca="1" si="211"/>
        <v>6.4</v>
      </c>
      <c r="Q1710" s="80"/>
      <c r="R1710" s="42"/>
      <c r="S1710" s="90">
        <f t="shared" si="208"/>
        <v>165.1999999999949</v>
      </c>
      <c r="T1710" s="42"/>
      <c r="U1710" s="42"/>
      <c r="V1710" s="42"/>
      <c r="W1710" s="42"/>
      <c r="X1710" s="81"/>
    </row>
    <row r="1711" spans="2:24" x14ac:dyDescent="0.25">
      <c r="B1711" s="2">
        <v>1</v>
      </c>
      <c r="C1711" s="1">
        <f t="shared" si="206"/>
        <v>29.470588235294002</v>
      </c>
      <c r="D1711" s="1">
        <f t="shared" si="204"/>
        <v>0</v>
      </c>
      <c r="E1711" s="1">
        <f t="shared" si="207"/>
        <v>1</v>
      </c>
      <c r="F1711" s="31">
        <f t="shared" si="205"/>
        <v>6.4</v>
      </c>
      <c r="G1711" s="31">
        <f t="shared" ca="1" si="209"/>
        <v>0</v>
      </c>
      <c r="H1711" s="30">
        <f t="shared" ca="1" si="210"/>
        <v>6.4</v>
      </c>
      <c r="I1711" s="31">
        <f t="shared" ca="1" si="211"/>
        <v>6.4</v>
      </c>
      <c r="Q1711" s="80"/>
      <c r="R1711" s="42"/>
      <c r="S1711" s="90">
        <f t="shared" si="208"/>
        <v>165.2999999999949</v>
      </c>
      <c r="T1711" s="42"/>
      <c r="U1711" s="42"/>
      <c r="V1711" s="42"/>
      <c r="W1711" s="42"/>
      <c r="X1711" s="81"/>
    </row>
    <row r="1712" spans="2:24" x14ac:dyDescent="0.25">
      <c r="B1712" s="2">
        <v>1</v>
      </c>
      <c r="C1712" s="1">
        <f t="shared" si="206"/>
        <v>30.470588235294002</v>
      </c>
      <c r="D1712" s="1">
        <f t="shared" si="204"/>
        <v>0</v>
      </c>
      <c r="E1712" s="1">
        <f t="shared" si="207"/>
        <v>1</v>
      </c>
      <c r="F1712" s="31">
        <f t="shared" si="205"/>
        <v>6.4</v>
      </c>
      <c r="G1712" s="31">
        <f t="shared" ca="1" si="209"/>
        <v>0</v>
      </c>
      <c r="H1712" s="30">
        <f t="shared" ca="1" si="210"/>
        <v>6.4</v>
      </c>
      <c r="I1712" s="31">
        <f t="shared" ca="1" si="211"/>
        <v>6.4</v>
      </c>
      <c r="Q1712" s="80"/>
      <c r="R1712" s="42"/>
      <c r="S1712" s="90">
        <f t="shared" si="208"/>
        <v>165.39999999999489</v>
      </c>
      <c r="T1712" s="42"/>
      <c r="U1712" s="42"/>
      <c r="V1712" s="42"/>
      <c r="W1712" s="42"/>
      <c r="X1712" s="81"/>
    </row>
    <row r="1713" spans="2:24" x14ac:dyDescent="0.25">
      <c r="B1713" s="2">
        <v>1</v>
      </c>
      <c r="C1713" s="1">
        <f t="shared" si="206"/>
        <v>31.470588235294002</v>
      </c>
      <c r="D1713" s="1">
        <f t="shared" si="204"/>
        <v>0</v>
      </c>
      <c r="E1713" s="1">
        <f t="shared" si="207"/>
        <v>1</v>
      </c>
      <c r="F1713" s="31">
        <f t="shared" si="205"/>
        <v>6.4</v>
      </c>
      <c r="G1713" s="31">
        <f t="shared" ca="1" si="209"/>
        <v>0</v>
      </c>
      <c r="H1713" s="30">
        <f t="shared" ca="1" si="210"/>
        <v>6.4</v>
      </c>
      <c r="I1713" s="31">
        <f t="shared" ca="1" si="211"/>
        <v>6.4</v>
      </c>
      <c r="Q1713" s="80"/>
      <c r="R1713" s="42"/>
      <c r="S1713" s="90">
        <f t="shared" si="208"/>
        <v>165.49999999999488</v>
      </c>
      <c r="T1713" s="42"/>
      <c r="U1713" s="42"/>
      <c r="V1713" s="42"/>
      <c r="W1713" s="42"/>
      <c r="X1713" s="81"/>
    </row>
    <row r="1714" spans="2:24" x14ac:dyDescent="0.25">
      <c r="B1714" s="2">
        <v>1</v>
      </c>
      <c r="C1714" s="1">
        <f t="shared" si="206"/>
        <v>32.470588235294002</v>
      </c>
      <c r="D1714" s="1">
        <f t="shared" si="204"/>
        <v>0</v>
      </c>
      <c r="E1714" s="1">
        <f t="shared" si="207"/>
        <v>1</v>
      </c>
      <c r="F1714" s="31">
        <f t="shared" si="205"/>
        <v>6.4</v>
      </c>
      <c r="G1714" s="31">
        <f t="shared" ca="1" si="209"/>
        <v>0</v>
      </c>
      <c r="H1714" s="30">
        <f t="shared" ca="1" si="210"/>
        <v>6.4</v>
      </c>
      <c r="I1714" s="31">
        <f t="shared" ca="1" si="211"/>
        <v>6.4</v>
      </c>
      <c r="Q1714" s="80"/>
      <c r="R1714" s="42"/>
      <c r="S1714" s="90">
        <f t="shared" si="208"/>
        <v>165.59999999999488</v>
      </c>
      <c r="T1714" s="42"/>
      <c r="U1714" s="42"/>
      <c r="V1714" s="42"/>
      <c r="W1714" s="42"/>
      <c r="X1714" s="81"/>
    </row>
    <row r="1715" spans="2:24" x14ac:dyDescent="0.25">
      <c r="B1715" s="2">
        <v>1</v>
      </c>
      <c r="C1715" s="1">
        <f t="shared" si="206"/>
        <v>33.470588235294002</v>
      </c>
      <c r="D1715" s="1">
        <f t="shared" si="204"/>
        <v>0</v>
      </c>
      <c r="E1715" s="1">
        <f t="shared" si="207"/>
        <v>1</v>
      </c>
      <c r="F1715" s="31">
        <f t="shared" si="205"/>
        <v>6.4</v>
      </c>
      <c r="G1715" s="31">
        <f t="shared" ca="1" si="209"/>
        <v>0</v>
      </c>
      <c r="H1715" s="30">
        <f t="shared" ca="1" si="210"/>
        <v>6.4</v>
      </c>
      <c r="I1715" s="31">
        <f t="shared" ca="1" si="211"/>
        <v>6.4</v>
      </c>
      <c r="Q1715" s="80"/>
      <c r="R1715" s="42"/>
      <c r="S1715" s="90">
        <f t="shared" si="208"/>
        <v>165.69999999999487</v>
      </c>
      <c r="T1715" s="42"/>
      <c r="U1715" s="42"/>
      <c r="V1715" s="42"/>
      <c r="W1715" s="42"/>
      <c r="X1715" s="81"/>
    </row>
    <row r="1716" spans="2:24" x14ac:dyDescent="0.25">
      <c r="B1716" s="2">
        <v>1</v>
      </c>
      <c r="C1716" s="1">
        <f t="shared" si="206"/>
        <v>34.470588235294002</v>
      </c>
      <c r="D1716" s="1">
        <f t="shared" si="204"/>
        <v>0</v>
      </c>
      <c r="E1716" s="1">
        <f t="shared" si="207"/>
        <v>1</v>
      </c>
      <c r="F1716" s="31">
        <f t="shared" si="205"/>
        <v>6.4</v>
      </c>
      <c r="G1716" s="31">
        <f t="shared" ca="1" si="209"/>
        <v>0</v>
      </c>
      <c r="H1716" s="30">
        <f t="shared" ca="1" si="210"/>
        <v>6.4</v>
      </c>
      <c r="I1716" s="31">
        <f t="shared" ca="1" si="211"/>
        <v>6.4</v>
      </c>
      <c r="Q1716" s="80"/>
      <c r="R1716" s="42"/>
      <c r="S1716" s="90">
        <f t="shared" si="208"/>
        <v>165.79999999999487</v>
      </c>
      <c r="T1716" s="42"/>
      <c r="U1716" s="42"/>
      <c r="V1716" s="42"/>
      <c r="W1716" s="42"/>
      <c r="X1716" s="81"/>
    </row>
    <row r="1717" spans="2:24" x14ac:dyDescent="0.25">
      <c r="B1717" s="2">
        <v>1</v>
      </c>
      <c r="C1717" s="1">
        <f t="shared" si="206"/>
        <v>0.17647058823517625</v>
      </c>
      <c r="D1717" s="1">
        <f t="shared" si="204"/>
        <v>1</v>
      </c>
      <c r="E1717" s="1">
        <f t="shared" si="207"/>
        <v>0</v>
      </c>
      <c r="F1717" s="31">
        <f t="shared" si="205"/>
        <v>14.6</v>
      </c>
      <c r="G1717" s="31">
        <f t="shared" ca="1" si="209"/>
        <v>6.4</v>
      </c>
      <c r="H1717" s="30">
        <f t="shared" ca="1" si="210"/>
        <v>0</v>
      </c>
      <c r="I1717" s="31">
        <f t="shared" ca="1" si="211"/>
        <v>6.4</v>
      </c>
      <c r="Q1717" s="80"/>
      <c r="R1717" s="42"/>
      <c r="S1717" s="90">
        <f t="shared" si="208"/>
        <v>165.89999999999486</v>
      </c>
      <c r="T1717" s="42"/>
      <c r="U1717" s="42"/>
      <c r="V1717" s="42"/>
      <c r="W1717" s="42"/>
      <c r="X1717" s="81"/>
    </row>
    <row r="1718" spans="2:24" x14ac:dyDescent="0.25">
      <c r="B1718" s="2">
        <v>1</v>
      </c>
      <c r="C1718" s="1">
        <f t="shared" si="206"/>
        <v>1.1764705882351763</v>
      </c>
      <c r="D1718" s="1">
        <f t="shared" si="204"/>
        <v>1</v>
      </c>
      <c r="E1718" s="1">
        <f t="shared" si="207"/>
        <v>0</v>
      </c>
      <c r="F1718" s="31">
        <f t="shared" si="205"/>
        <v>14.6</v>
      </c>
      <c r="G1718" s="31">
        <f t="shared" ca="1" si="209"/>
        <v>8.4500000000000011</v>
      </c>
      <c r="H1718" s="30">
        <f t="shared" ca="1" si="210"/>
        <v>0</v>
      </c>
      <c r="I1718" s="31">
        <f t="shared" ca="1" si="211"/>
        <v>8.4500000000000011</v>
      </c>
      <c r="Q1718" s="80"/>
      <c r="R1718" s="42"/>
      <c r="S1718" s="90">
        <f t="shared" si="208"/>
        <v>165.99999999999486</v>
      </c>
      <c r="T1718" s="42"/>
      <c r="U1718" s="42"/>
      <c r="V1718" s="42"/>
      <c r="W1718" s="42"/>
      <c r="X1718" s="81"/>
    </row>
    <row r="1719" spans="2:24" x14ac:dyDescent="0.25">
      <c r="B1719" s="2">
        <v>1</v>
      </c>
      <c r="C1719" s="1">
        <f t="shared" si="206"/>
        <v>2.1764705882351763</v>
      </c>
      <c r="D1719" s="1">
        <f t="shared" si="204"/>
        <v>1</v>
      </c>
      <c r="E1719" s="1">
        <f t="shared" si="207"/>
        <v>0</v>
      </c>
      <c r="F1719" s="31">
        <f t="shared" si="205"/>
        <v>14.6</v>
      </c>
      <c r="G1719" s="31">
        <f t="shared" ca="1" si="209"/>
        <v>10.5</v>
      </c>
      <c r="H1719" s="30">
        <f t="shared" ca="1" si="210"/>
        <v>0</v>
      </c>
      <c r="I1719" s="31">
        <f t="shared" ca="1" si="211"/>
        <v>10.5</v>
      </c>
      <c r="Q1719" s="80"/>
      <c r="R1719" s="42"/>
      <c r="S1719" s="90">
        <f t="shared" si="208"/>
        <v>166.09999999999485</v>
      </c>
      <c r="T1719" s="42"/>
      <c r="U1719" s="42"/>
      <c r="V1719" s="42"/>
      <c r="W1719" s="42"/>
      <c r="X1719" s="81"/>
    </row>
    <row r="1720" spans="2:24" x14ac:dyDescent="0.25">
      <c r="B1720" s="2">
        <v>1</v>
      </c>
      <c r="C1720" s="1">
        <f t="shared" si="206"/>
        <v>3.1764705882351763</v>
      </c>
      <c r="D1720" s="1">
        <f t="shared" si="204"/>
        <v>1</v>
      </c>
      <c r="E1720" s="1">
        <f t="shared" si="207"/>
        <v>0</v>
      </c>
      <c r="F1720" s="31">
        <f t="shared" si="205"/>
        <v>14.6</v>
      </c>
      <c r="G1720" s="31">
        <f t="shared" ca="1" si="209"/>
        <v>12.55</v>
      </c>
      <c r="H1720" s="30">
        <f t="shared" ca="1" si="210"/>
        <v>0</v>
      </c>
      <c r="I1720" s="31">
        <f t="shared" ca="1" si="211"/>
        <v>12.55</v>
      </c>
      <c r="Q1720" s="80"/>
      <c r="R1720" s="42"/>
      <c r="S1720" s="90">
        <f t="shared" si="208"/>
        <v>166.19999999999484</v>
      </c>
      <c r="T1720" s="42"/>
      <c r="U1720" s="42"/>
      <c r="V1720" s="42"/>
      <c r="W1720" s="42"/>
      <c r="X1720" s="81"/>
    </row>
    <row r="1721" spans="2:24" x14ac:dyDescent="0.25">
      <c r="B1721" s="2">
        <v>1</v>
      </c>
      <c r="C1721" s="1">
        <f t="shared" si="206"/>
        <v>4.1764705882351763</v>
      </c>
      <c r="D1721" s="1">
        <f t="shared" si="204"/>
        <v>1</v>
      </c>
      <c r="E1721" s="1">
        <f t="shared" si="207"/>
        <v>0</v>
      </c>
      <c r="F1721" s="31">
        <f t="shared" si="205"/>
        <v>14.6</v>
      </c>
      <c r="G1721" s="31">
        <f t="shared" ca="1" si="209"/>
        <v>14.6</v>
      </c>
      <c r="H1721" s="30">
        <f t="shared" ca="1" si="210"/>
        <v>0</v>
      </c>
      <c r="I1721" s="31">
        <f t="shared" ca="1" si="211"/>
        <v>14.6</v>
      </c>
      <c r="Q1721" s="80"/>
      <c r="R1721" s="42"/>
      <c r="S1721" s="90">
        <f t="shared" si="208"/>
        <v>166.29999999999484</v>
      </c>
      <c r="T1721" s="42"/>
      <c r="U1721" s="42"/>
      <c r="V1721" s="42"/>
      <c r="W1721" s="42"/>
      <c r="X1721" s="81"/>
    </row>
    <row r="1722" spans="2:24" x14ac:dyDescent="0.25">
      <c r="B1722" s="2">
        <v>1</v>
      </c>
      <c r="C1722" s="1">
        <f t="shared" si="206"/>
        <v>5.1764705882351763</v>
      </c>
      <c r="D1722" s="1">
        <f t="shared" ref="D1722:D1785" si="212">IF(C1722&lt;=Inhelation_Time_RT,1,0)</f>
        <v>1</v>
      </c>
      <c r="E1722" s="1">
        <f t="shared" si="207"/>
        <v>0</v>
      </c>
      <c r="F1722" s="31">
        <f t="shared" ref="F1722:F1785" si="213">(D1722*Inspiratory_pressure_level) + (E1722*PEEP)</f>
        <v>14.6</v>
      </c>
      <c r="G1722" s="31">
        <f t="shared" ca="1" si="209"/>
        <v>14.6</v>
      </c>
      <c r="H1722" s="30">
        <f t="shared" ca="1" si="210"/>
        <v>0</v>
      </c>
      <c r="I1722" s="31">
        <f t="shared" ca="1" si="211"/>
        <v>14.6</v>
      </c>
      <c r="Q1722" s="80"/>
      <c r="R1722" s="42"/>
      <c r="S1722" s="90">
        <f t="shared" si="208"/>
        <v>166.39999999999483</v>
      </c>
      <c r="T1722" s="42"/>
      <c r="U1722" s="42"/>
      <c r="V1722" s="42"/>
      <c r="W1722" s="42"/>
      <c r="X1722" s="81"/>
    </row>
    <row r="1723" spans="2:24" x14ac:dyDescent="0.25">
      <c r="B1723" s="2">
        <v>1</v>
      </c>
      <c r="C1723" s="1">
        <f t="shared" ref="C1723:C1786" si="214">MOD(C1722+B1723,time_for_breath_RT)</f>
        <v>6.1764705882351763</v>
      </c>
      <c r="D1723" s="1">
        <f t="shared" si="212"/>
        <v>1</v>
      </c>
      <c r="E1723" s="1">
        <f t="shared" ref="E1723:E1786" si="215">IF(D1723=1,0,1)</f>
        <v>0</v>
      </c>
      <c r="F1723" s="31">
        <f t="shared" si="213"/>
        <v>14.6</v>
      </c>
      <c r="G1723" s="31">
        <f t="shared" ca="1" si="209"/>
        <v>14.6</v>
      </c>
      <c r="H1723" s="30">
        <f t="shared" ca="1" si="210"/>
        <v>0</v>
      </c>
      <c r="I1723" s="31">
        <f t="shared" ca="1" si="211"/>
        <v>14.6</v>
      </c>
      <c r="Q1723" s="80"/>
      <c r="R1723" s="42"/>
      <c r="S1723" s="90">
        <f t="shared" ref="S1723:S1786" si="216">S1722+(B1722 / RTC_to_seconds)</f>
        <v>166.49999999999483</v>
      </c>
      <c r="T1723" s="42"/>
      <c r="U1723" s="42"/>
      <c r="V1723" s="42"/>
      <c r="W1723" s="42"/>
      <c r="X1723" s="81"/>
    </row>
    <row r="1724" spans="2:24" x14ac:dyDescent="0.25">
      <c r="B1724" s="2">
        <v>1</v>
      </c>
      <c r="C1724" s="1">
        <f t="shared" si="214"/>
        <v>7.1764705882351763</v>
      </c>
      <c r="D1724" s="1">
        <f t="shared" si="212"/>
        <v>1</v>
      </c>
      <c r="E1724" s="1">
        <f t="shared" si="215"/>
        <v>0</v>
      </c>
      <c r="F1724" s="31">
        <f t="shared" si="213"/>
        <v>14.6</v>
      </c>
      <c r="G1724" s="31">
        <f t="shared" ca="1" si="209"/>
        <v>14.6</v>
      </c>
      <c r="H1724" s="30">
        <f t="shared" ca="1" si="210"/>
        <v>0</v>
      </c>
      <c r="I1724" s="31">
        <f t="shared" ca="1" si="211"/>
        <v>14.6</v>
      </c>
      <c r="Q1724" s="80"/>
      <c r="R1724" s="42"/>
      <c r="S1724" s="90">
        <f t="shared" si="216"/>
        <v>166.59999999999482</v>
      </c>
      <c r="T1724" s="42"/>
      <c r="U1724" s="42"/>
      <c r="V1724" s="42"/>
      <c r="W1724" s="42"/>
      <c r="X1724" s="81"/>
    </row>
    <row r="1725" spans="2:24" x14ac:dyDescent="0.25">
      <c r="B1725" s="2">
        <v>1</v>
      </c>
      <c r="C1725" s="1">
        <f t="shared" si="214"/>
        <v>8.1764705882351763</v>
      </c>
      <c r="D1725" s="1">
        <f t="shared" si="212"/>
        <v>1</v>
      </c>
      <c r="E1725" s="1">
        <f t="shared" si="215"/>
        <v>0</v>
      </c>
      <c r="F1725" s="31">
        <f t="shared" si="213"/>
        <v>14.6</v>
      </c>
      <c r="G1725" s="31">
        <f t="shared" ca="1" si="209"/>
        <v>14.6</v>
      </c>
      <c r="H1725" s="30">
        <f t="shared" ca="1" si="210"/>
        <v>0</v>
      </c>
      <c r="I1725" s="31">
        <f t="shared" ca="1" si="211"/>
        <v>14.6</v>
      </c>
      <c r="Q1725" s="80"/>
      <c r="R1725" s="42"/>
      <c r="S1725" s="90">
        <f t="shared" si="216"/>
        <v>166.69999999999482</v>
      </c>
      <c r="T1725" s="42"/>
      <c r="U1725" s="42"/>
      <c r="V1725" s="42"/>
      <c r="W1725" s="42"/>
      <c r="X1725" s="81"/>
    </row>
    <row r="1726" spans="2:24" x14ac:dyDescent="0.25">
      <c r="B1726" s="2">
        <v>1</v>
      </c>
      <c r="C1726" s="1">
        <f t="shared" si="214"/>
        <v>9.1764705882351763</v>
      </c>
      <c r="D1726" s="1">
        <f t="shared" si="212"/>
        <v>1</v>
      </c>
      <c r="E1726" s="1">
        <f t="shared" si="215"/>
        <v>0</v>
      </c>
      <c r="F1726" s="31">
        <f t="shared" si="213"/>
        <v>14.6</v>
      </c>
      <c r="G1726" s="31">
        <f t="shared" ca="1" si="209"/>
        <v>14.6</v>
      </c>
      <c r="H1726" s="30">
        <f t="shared" ca="1" si="210"/>
        <v>0</v>
      </c>
      <c r="I1726" s="31">
        <f t="shared" ca="1" si="211"/>
        <v>14.6</v>
      </c>
      <c r="Q1726" s="80"/>
      <c r="R1726" s="42"/>
      <c r="S1726" s="90">
        <f t="shared" si="216"/>
        <v>166.79999999999481</v>
      </c>
      <c r="T1726" s="42"/>
      <c r="U1726" s="42"/>
      <c r="V1726" s="42"/>
      <c r="W1726" s="42"/>
      <c r="X1726" s="81"/>
    </row>
    <row r="1727" spans="2:24" x14ac:dyDescent="0.25">
      <c r="B1727" s="2">
        <v>1</v>
      </c>
      <c r="C1727" s="1">
        <f t="shared" si="214"/>
        <v>10.176470588235176</v>
      </c>
      <c r="D1727" s="1">
        <f t="shared" si="212"/>
        <v>1</v>
      </c>
      <c r="E1727" s="1">
        <f t="shared" si="215"/>
        <v>0</v>
      </c>
      <c r="F1727" s="31">
        <f t="shared" si="213"/>
        <v>14.6</v>
      </c>
      <c r="G1727" s="31">
        <f t="shared" ca="1" si="209"/>
        <v>14.6</v>
      </c>
      <c r="H1727" s="30">
        <f t="shared" ca="1" si="210"/>
        <v>0</v>
      </c>
      <c r="I1727" s="31">
        <f t="shared" ca="1" si="211"/>
        <v>14.6</v>
      </c>
      <c r="Q1727" s="80"/>
      <c r="R1727" s="42"/>
      <c r="S1727" s="90">
        <f t="shared" si="216"/>
        <v>166.8999999999948</v>
      </c>
      <c r="T1727" s="42"/>
      <c r="U1727" s="42"/>
      <c r="V1727" s="42"/>
      <c r="W1727" s="42"/>
      <c r="X1727" s="81"/>
    </row>
    <row r="1728" spans="2:24" x14ac:dyDescent="0.25">
      <c r="B1728" s="2">
        <v>1</v>
      </c>
      <c r="C1728" s="1">
        <f t="shared" si="214"/>
        <v>11.176470588235176</v>
      </c>
      <c r="D1728" s="1">
        <f t="shared" si="212"/>
        <v>1</v>
      </c>
      <c r="E1728" s="1">
        <f t="shared" si="215"/>
        <v>0</v>
      </c>
      <c r="F1728" s="31">
        <f t="shared" si="213"/>
        <v>14.6</v>
      </c>
      <c r="G1728" s="31">
        <f t="shared" ca="1" si="209"/>
        <v>14.6</v>
      </c>
      <c r="H1728" s="30">
        <f t="shared" ca="1" si="210"/>
        <v>0</v>
      </c>
      <c r="I1728" s="31">
        <f t="shared" ca="1" si="211"/>
        <v>14.6</v>
      </c>
      <c r="Q1728" s="80"/>
      <c r="R1728" s="42"/>
      <c r="S1728" s="90">
        <f t="shared" si="216"/>
        <v>166.9999999999948</v>
      </c>
      <c r="T1728" s="42"/>
      <c r="U1728" s="42"/>
      <c r="V1728" s="42"/>
      <c r="W1728" s="42"/>
      <c r="X1728" s="81"/>
    </row>
    <row r="1729" spans="2:24" x14ac:dyDescent="0.25">
      <c r="B1729" s="2">
        <v>1</v>
      </c>
      <c r="C1729" s="1">
        <f t="shared" si="214"/>
        <v>12.176470588235176</v>
      </c>
      <c r="D1729" s="1">
        <f t="shared" si="212"/>
        <v>1</v>
      </c>
      <c r="E1729" s="1">
        <f t="shared" si="215"/>
        <v>0</v>
      </c>
      <c r="F1729" s="31">
        <f t="shared" si="213"/>
        <v>14.6</v>
      </c>
      <c r="G1729" s="31">
        <f t="shared" ca="1" si="209"/>
        <v>14.6</v>
      </c>
      <c r="H1729" s="30">
        <f t="shared" ca="1" si="210"/>
        <v>0</v>
      </c>
      <c r="I1729" s="31">
        <f t="shared" ca="1" si="211"/>
        <v>14.6</v>
      </c>
      <c r="Q1729" s="80"/>
      <c r="R1729" s="42"/>
      <c r="S1729" s="90">
        <f t="shared" si="216"/>
        <v>167.09999999999479</v>
      </c>
      <c r="T1729" s="42"/>
      <c r="U1729" s="42"/>
      <c r="V1729" s="42"/>
      <c r="W1729" s="42"/>
      <c r="X1729" s="81"/>
    </row>
    <row r="1730" spans="2:24" x14ac:dyDescent="0.25">
      <c r="B1730" s="2">
        <v>1</v>
      </c>
      <c r="C1730" s="1">
        <f t="shared" si="214"/>
        <v>13.176470588235176</v>
      </c>
      <c r="D1730" s="1">
        <f t="shared" si="212"/>
        <v>1</v>
      </c>
      <c r="E1730" s="1">
        <f t="shared" si="215"/>
        <v>0</v>
      </c>
      <c r="F1730" s="31">
        <f t="shared" si="213"/>
        <v>14.6</v>
      </c>
      <c r="G1730" s="31">
        <f t="shared" ca="1" si="209"/>
        <v>14.6</v>
      </c>
      <c r="H1730" s="30">
        <f t="shared" ca="1" si="210"/>
        <v>0</v>
      </c>
      <c r="I1730" s="31">
        <f t="shared" ca="1" si="211"/>
        <v>14.6</v>
      </c>
      <c r="Q1730" s="80"/>
      <c r="R1730" s="42"/>
      <c r="S1730" s="90">
        <f t="shared" si="216"/>
        <v>167.19999999999479</v>
      </c>
      <c r="T1730" s="42"/>
      <c r="U1730" s="42"/>
      <c r="V1730" s="42"/>
      <c r="W1730" s="42"/>
      <c r="X1730" s="81"/>
    </row>
    <row r="1731" spans="2:24" x14ac:dyDescent="0.25">
      <c r="B1731" s="2">
        <v>1</v>
      </c>
      <c r="C1731" s="1">
        <f t="shared" si="214"/>
        <v>14.176470588235176</v>
      </c>
      <c r="D1731" s="1">
        <f t="shared" si="212"/>
        <v>1</v>
      </c>
      <c r="E1731" s="1">
        <f t="shared" si="215"/>
        <v>0</v>
      </c>
      <c r="F1731" s="31">
        <f t="shared" si="213"/>
        <v>14.6</v>
      </c>
      <c r="G1731" s="31">
        <f t="shared" ca="1" si="209"/>
        <v>14.6</v>
      </c>
      <c r="H1731" s="30">
        <f t="shared" ca="1" si="210"/>
        <v>0</v>
      </c>
      <c r="I1731" s="31">
        <f t="shared" ca="1" si="211"/>
        <v>14.6</v>
      </c>
      <c r="Q1731" s="80"/>
      <c r="R1731" s="42"/>
      <c r="S1731" s="90">
        <f t="shared" si="216"/>
        <v>167.29999999999478</v>
      </c>
      <c r="T1731" s="42"/>
      <c r="U1731" s="42"/>
      <c r="V1731" s="42"/>
      <c r="W1731" s="42"/>
      <c r="X1731" s="81"/>
    </row>
    <row r="1732" spans="2:24" x14ac:dyDescent="0.25">
      <c r="B1732" s="2">
        <v>1</v>
      </c>
      <c r="C1732" s="1">
        <f t="shared" si="214"/>
        <v>15.176470588235176</v>
      </c>
      <c r="D1732" s="1">
        <f t="shared" si="212"/>
        <v>1</v>
      </c>
      <c r="E1732" s="1">
        <f t="shared" si="215"/>
        <v>0</v>
      </c>
      <c r="F1732" s="31">
        <f t="shared" si="213"/>
        <v>14.6</v>
      </c>
      <c r="G1732" s="31">
        <f t="shared" ca="1" si="209"/>
        <v>14.6</v>
      </c>
      <c r="H1732" s="30">
        <f t="shared" ca="1" si="210"/>
        <v>0</v>
      </c>
      <c r="I1732" s="31">
        <f t="shared" ca="1" si="211"/>
        <v>14.6</v>
      </c>
      <c r="Q1732" s="80"/>
      <c r="R1732" s="42"/>
      <c r="S1732" s="90">
        <f t="shared" si="216"/>
        <v>167.39999999999478</v>
      </c>
      <c r="T1732" s="42"/>
      <c r="U1732" s="42"/>
      <c r="V1732" s="42"/>
      <c r="W1732" s="42"/>
      <c r="X1732" s="81"/>
    </row>
    <row r="1733" spans="2:24" x14ac:dyDescent="0.25">
      <c r="B1733" s="2">
        <v>1</v>
      </c>
      <c r="C1733" s="1">
        <f t="shared" si="214"/>
        <v>16.176470588235176</v>
      </c>
      <c r="D1733" s="1">
        <f t="shared" si="212"/>
        <v>1</v>
      </c>
      <c r="E1733" s="1">
        <f t="shared" si="215"/>
        <v>0</v>
      </c>
      <c r="F1733" s="31">
        <f t="shared" si="213"/>
        <v>14.6</v>
      </c>
      <c r="G1733" s="31">
        <f t="shared" ca="1" si="209"/>
        <v>14.6</v>
      </c>
      <c r="H1733" s="30">
        <f t="shared" ca="1" si="210"/>
        <v>0</v>
      </c>
      <c r="I1733" s="31">
        <f t="shared" ca="1" si="211"/>
        <v>14.6</v>
      </c>
      <c r="Q1733" s="80"/>
      <c r="R1733" s="42"/>
      <c r="S1733" s="90">
        <f t="shared" si="216"/>
        <v>167.49999999999477</v>
      </c>
      <c r="T1733" s="42"/>
      <c r="U1733" s="42"/>
      <c r="V1733" s="42"/>
      <c r="W1733" s="42"/>
      <c r="X1733" s="81"/>
    </row>
    <row r="1734" spans="2:24" x14ac:dyDescent="0.25">
      <c r="B1734" s="2">
        <v>1</v>
      </c>
      <c r="C1734" s="1">
        <f t="shared" si="214"/>
        <v>17.176470588235176</v>
      </c>
      <c r="D1734" s="1">
        <f t="shared" si="212"/>
        <v>1</v>
      </c>
      <c r="E1734" s="1">
        <f t="shared" si="215"/>
        <v>0</v>
      </c>
      <c r="F1734" s="31">
        <f t="shared" si="213"/>
        <v>14.6</v>
      </c>
      <c r="G1734" s="31">
        <f t="shared" ca="1" si="209"/>
        <v>14.6</v>
      </c>
      <c r="H1734" s="30">
        <f t="shared" ca="1" si="210"/>
        <v>0</v>
      </c>
      <c r="I1734" s="31">
        <f t="shared" ca="1" si="211"/>
        <v>14.6</v>
      </c>
      <c r="Q1734" s="80"/>
      <c r="R1734" s="42"/>
      <c r="S1734" s="90">
        <f t="shared" si="216"/>
        <v>167.59999999999476</v>
      </c>
      <c r="T1734" s="42"/>
      <c r="U1734" s="42"/>
      <c r="V1734" s="42"/>
      <c r="W1734" s="42"/>
      <c r="X1734" s="81"/>
    </row>
    <row r="1735" spans="2:24" x14ac:dyDescent="0.25">
      <c r="B1735" s="2">
        <v>1</v>
      </c>
      <c r="C1735" s="1">
        <f t="shared" si="214"/>
        <v>18.176470588235176</v>
      </c>
      <c r="D1735" s="1">
        <f t="shared" si="212"/>
        <v>1</v>
      </c>
      <c r="E1735" s="1">
        <f t="shared" si="215"/>
        <v>0</v>
      </c>
      <c r="F1735" s="31">
        <f t="shared" si="213"/>
        <v>14.6</v>
      </c>
      <c r="G1735" s="31">
        <f t="shared" ca="1" si="209"/>
        <v>14.6</v>
      </c>
      <c r="H1735" s="30">
        <f t="shared" ca="1" si="210"/>
        <v>0</v>
      </c>
      <c r="I1735" s="31">
        <f t="shared" ca="1" si="211"/>
        <v>14.6</v>
      </c>
      <c r="Q1735" s="80"/>
      <c r="R1735" s="42"/>
      <c r="S1735" s="90">
        <f t="shared" si="216"/>
        <v>167.69999999999476</v>
      </c>
      <c r="T1735" s="42"/>
      <c r="U1735" s="42"/>
      <c r="V1735" s="42"/>
      <c r="W1735" s="42"/>
      <c r="X1735" s="81"/>
    </row>
    <row r="1736" spans="2:24" x14ac:dyDescent="0.25">
      <c r="B1736" s="2">
        <v>1</v>
      </c>
      <c r="C1736" s="1">
        <f t="shared" si="214"/>
        <v>19.176470588235176</v>
      </c>
      <c r="D1736" s="1">
        <f t="shared" si="212"/>
        <v>1</v>
      </c>
      <c r="E1736" s="1">
        <f t="shared" si="215"/>
        <v>0</v>
      </c>
      <c r="F1736" s="31">
        <f t="shared" si="213"/>
        <v>14.6</v>
      </c>
      <c r="G1736" s="31">
        <f t="shared" ca="1" si="209"/>
        <v>14.6</v>
      </c>
      <c r="H1736" s="30">
        <f t="shared" ca="1" si="210"/>
        <v>0</v>
      </c>
      <c r="I1736" s="31">
        <f t="shared" ca="1" si="211"/>
        <v>14.6</v>
      </c>
      <c r="Q1736" s="80"/>
      <c r="R1736" s="42"/>
      <c r="S1736" s="90">
        <f t="shared" si="216"/>
        <v>167.79999999999475</v>
      </c>
      <c r="T1736" s="42"/>
      <c r="U1736" s="42"/>
      <c r="V1736" s="42"/>
      <c r="W1736" s="42"/>
      <c r="X1736" s="81"/>
    </row>
    <row r="1737" spans="2:24" x14ac:dyDescent="0.25">
      <c r="B1737" s="2">
        <v>1</v>
      </c>
      <c r="C1737" s="1">
        <f t="shared" si="214"/>
        <v>20.176470588235176</v>
      </c>
      <c r="D1737" s="1">
        <f t="shared" si="212"/>
        <v>1</v>
      </c>
      <c r="E1737" s="1">
        <f t="shared" si="215"/>
        <v>0</v>
      </c>
      <c r="F1737" s="31">
        <f t="shared" si="213"/>
        <v>14.6</v>
      </c>
      <c r="G1737" s="31">
        <f t="shared" ca="1" si="209"/>
        <v>14.6</v>
      </c>
      <c r="H1737" s="30">
        <f t="shared" ca="1" si="210"/>
        <v>0</v>
      </c>
      <c r="I1737" s="31">
        <f t="shared" ca="1" si="211"/>
        <v>14.6</v>
      </c>
      <c r="Q1737" s="80"/>
      <c r="R1737" s="42"/>
      <c r="S1737" s="90">
        <f t="shared" si="216"/>
        <v>167.89999999999475</v>
      </c>
      <c r="T1737" s="42"/>
      <c r="U1737" s="42"/>
      <c r="V1737" s="42"/>
      <c r="W1737" s="42"/>
      <c r="X1737" s="81"/>
    </row>
    <row r="1738" spans="2:24" x14ac:dyDescent="0.25">
      <c r="B1738" s="2">
        <v>1</v>
      </c>
      <c r="C1738" s="1">
        <f t="shared" si="214"/>
        <v>21.176470588235176</v>
      </c>
      <c r="D1738" s="1">
        <f t="shared" si="212"/>
        <v>1</v>
      </c>
      <c r="E1738" s="1">
        <f t="shared" si="215"/>
        <v>0</v>
      </c>
      <c r="F1738" s="31">
        <f t="shared" si="213"/>
        <v>14.6</v>
      </c>
      <c r="G1738" s="31">
        <f t="shared" ca="1" si="209"/>
        <v>14.6</v>
      </c>
      <c r="H1738" s="30">
        <f t="shared" ca="1" si="210"/>
        <v>0</v>
      </c>
      <c r="I1738" s="31">
        <f t="shared" ca="1" si="211"/>
        <v>14.6</v>
      </c>
      <c r="Q1738" s="80"/>
      <c r="R1738" s="42"/>
      <c r="S1738" s="90">
        <f t="shared" si="216"/>
        <v>167.99999999999474</v>
      </c>
      <c r="T1738" s="42"/>
      <c r="U1738" s="42"/>
      <c r="V1738" s="42"/>
      <c r="W1738" s="42"/>
      <c r="X1738" s="81"/>
    </row>
    <row r="1739" spans="2:24" x14ac:dyDescent="0.25">
      <c r="B1739" s="2">
        <v>1</v>
      </c>
      <c r="C1739" s="1">
        <f t="shared" si="214"/>
        <v>22.176470588235176</v>
      </c>
      <c r="D1739" s="1">
        <f t="shared" si="212"/>
        <v>1</v>
      </c>
      <c r="E1739" s="1">
        <f t="shared" si="215"/>
        <v>0</v>
      </c>
      <c r="F1739" s="31">
        <f t="shared" si="213"/>
        <v>14.6</v>
      </c>
      <c r="G1739" s="31">
        <f t="shared" ref="G1739:G1802" ca="1" si="217">IF(D1739=1, AVERAGE(OFFSET(F1739,-$L$27,0,$L$27,1)),0)</f>
        <v>14.6</v>
      </c>
      <c r="H1739" s="30">
        <f t="shared" ref="H1739:H1802" ca="1" si="218">IF(D1739=0, AVERAGE(OFFSET(F1739,-$L$28,0,$L$28,1)),0)</f>
        <v>0</v>
      </c>
      <c r="I1739" s="31">
        <f t="shared" ref="I1739:I1802" ca="1" si="219">G1739+H1739</f>
        <v>14.6</v>
      </c>
      <c r="Q1739" s="80"/>
      <c r="R1739" s="42"/>
      <c r="S1739" s="90">
        <f t="shared" si="216"/>
        <v>168.09999999999474</v>
      </c>
      <c r="T1739" s="42"/>
      <c r="U1739" s="42"/>
      <c r="V1739" s="42"/>
      <c r="W1739" s="42"/>
      <c r="X1739" s="81"/>
    </row>
    <row r="1740" spans="2:24" x14ac:dyDescent="0.25">
      <c r="B1740" s="2">
        <v>1</v>
      </c>
      <c r="C1740" s="1">
        <f t="shared" si="214"/>
        <v>23.176470588235176</v>
      </c>
      <c r="D1740" s="1">
        <f t="shared" si="212"/>
        <v>0</v>
      </c>
      <c r="E1740" s="1">
        <f t="shared" si="215"/>
        <v>1</v>
      </c>
      <c r="F1740" s="31">
        <f t="shared" si="213"/>
        <v>6.4</v>
      </c>
      <c r="G1740" s="31">
        <f t="shared" ca="1" si="217"/>
        <v>0</v>
      </c>
      <c r="H1740" s="30">
        <f t="shared" ca="1" si="218"/>
        <v>14.6</v>
      </c>
      <c r="I1740" s="31">
        <f t="shared" ca="1" si="219"/>
        <v>14.6</v>
      </c>
      <c r="Q1740" s="80"/>
      <c r="R1740" s="42"/>
      <c r="S1740" s="90">
        <f t="shared" si="216"/>
        <v>168.19999999999473</v>
      </c>
      <c r="T1740" s="42"/>
      <c r="U1740" s="42"/>
      <c r="V1740" s="42"/>
      <c r="W1740" s="42"/>
      <c r="X1740" s="81"/>
    </row>
    <row r="1741" spans="2:24" x14ac:dyDescent="0.25">
      <c r="B1741" s="2">
        <v>1</v>
      </c>
      <c r="C1741" s="1">
        <f t="shared" si="214"/>
        <v>24.176470588235176</v>
      </c>
      <c r="D1741" s="1">
        <f t="shared" si="212"/>
        <v>0</v>
      </c>
      <c r="E1741" s="1">
        <f t="shared" si="215"/>
        <v>1</v>
      </c>
      <c r="F1741" s="31">
        <f t="shared" si="213"/>
        <v>6.4</v>
      </c>
      <c r="G1741" s="31">
        <f t="shared" ca="1" si="217"/>
        <v>0</v>
      </c>
      <c r="H1741" s="30">
        <f t="shared" ca="1" si="218"/>
        <v>6.4</v>
      </c>
      <c r="I1741" s="31">
        <f t="shared" ca="1" si="219"/>
        <v>6.4</v>
      </c>
      <c r="Q1741" s="80"/>
      <c r="R1741" s="42"/>
      <c r="S1741" s="90">
        <f t="shared" si="216"/>
        <v>168.29999999999472</v>
      </c>
      <c r="T1741" s="42"/>
      <c r="U1741" s="42"/>
      <c r="V1741" s="42"/>
      <c r="W1741" s="42"/>
      <c r="X1741" s="81"/>
    </row>
    <row r="1742" spans="2:24" x14ac:dyDescent="0.25">
      <c r="B1742" s="2">
        <v>1</v>
      </c>
      <c r="C1742" s="1">
        <f t="shared" si="214"/>
        <v>25.176470588235176</v>
      </c>
      <c r="D1742" s="1">
        <f t="shared" si="212"/>
        <v>0</v>
      </c>
      <c r="E1742" s="1">
        <f t="shared" si="215"/>
        <v>1</v>
      </c>
      <c r="F1742" s="31">
        <f t="shared" si="213"/>
        <v>6.4</v>
      </c>
      <c r="G1742" s="31">
        <f t="shared" ca="1" si="217"/>
        <v>0</v>
      </c>
      <c r="H1742" s="30">
        <f t="shared" ca="1" si="218"/>
        <v>6.4</v>
      </c>
      <c r="I1742" s="31">
        <f t="shared" ca="1" si="219"/>
        <v>6.4</v>
      </c>
      <c r="Q1742" s="80"/>
      <c r="R1742" s="42"/>
      <c r="S1742" s="90">
        <f t="shared" si="216"/>
        <v>168.39999999999472</v>
      </c>
      <c r="T1742" s="42"/>
      <c r="U1742" s="42"/>
      <c r="V1742" s="42"/>
      <c r="W1742" s="42"/>
      <c r="X1742" s="81"/>
    </row>
    <row r="1743" spans="2:24" x14ac:dyDescent="0.25">
      <c r="B1743" s="2">
        <v>1</v>
      </c>
      <c r="C1743" s="1">
        <f t="shared" si="214"/>
        <v>26.176470588235176</v>
      </c>
      <c r="D1743" s="1">
        <f t="shared" si="212"/>
        <v>0</v>
      </c>
      <c r="E1743" s="1">
        <f t="shared" si="215"/>
        <v>1</v>
      </c>
      <c r="F1743" s="31">
        <f t="shared" si="213"/>
        <v>6.4</v>
      </c>
      <c r="G1743" s="31">
        <f t="shared" ca="1" si="217"/>
        <v>0</v>
      </c>
      <c r="H1743" s="30">
        <f t="shared" ca="1" si="218"/>
        <v>6.4</v>
      </c>
      <c r="I1743" s="31">
        <f t="shared" ca="1" si="219"/>
        <v>6.4</v>
      </c>
      <c r="Q1743" s="80"/>
      <c r="R1743" s="42"/>
      <c r="S1743" s="90">
        <f t="shared" si="216"/>
        <v>168.49999999999471</v>
      </c>
      <c r="T1743" s="42"/>
      <c r="U1743" s="42"/>
      <c r="V1743" s="42"/>
      <c r="W1743" s="42"/>
      <c r="X1743" s="81"/>
    </row>
    <row r="1744" spans="2:24" x14ac:dyDescent="0.25">
      <c r="B1744" s="2">
        <v>1</v>
      </c>
      <c r="C1744" s="1">
        <f t="shared" si="214"/>
        <v>27.176470588235176</v>
      </c>
      <c r="D1744" s="1">
        <f t="shared" si="212"/>
        <v>0</v>
      </c>
      <c r="E1744" s="1">
        <f t="shared" si="215"/>
        <v>1</v>
      </c>
      <c r="F1744" s="31">
        <f t="shared" si="213"/>
        <v>6.4</v>
      </c>
      <c r="G1744" s="31">
        <f t="shared" ca="1" si="217"/>
        <v>0</v>
      </c>
      <c r="H1744" s="30">
        <f t="shared" ca="1" si="218"/>
        <v>6.4</v>
      </c>
      <c r="I1744" s="31">
        <f t="shared" ca="1" si="219"/>
        <v>6.4</v>
      </c>
      <c r="Q1744" s="80"/>
      <c r="R1744" s="42"/>
      <c r="S1744" s="90">
        <f t="shared" si="216"/>
        <v>168.59999999999471</v>
      </c>
      <c r="T1744" s="42"/>
      <c r="U1744" s="42"/>
      <c r="V1744" s="42"/>
      <c r="W1744" s="42"/>
      <c r="X1744" s="81"/>
    </row>
    <row r="1745" spans="2:24" x14ac:dyDescent="0.25">
      <c r="B1745" s="2">
        <v>1</v>
      </c>
      <c r="C1745" s="1">
        <f t="shared" si="214"/>
        <v>28.176470588235176</v>
      </c>
      <c r="D1745" s="1">
        <f t="shared" si="212"/>
        <v>0</v>
      </c>
      <c r="E1745" s="1">
        <f t="shared" si="215"/>
        <v>1</v>
      </c>
      <c r="F1745" s="31">
        <f t="shared" si="213"/>
        <v>6.4</v>
      </c>
      <c r="G1745" s="31">
        <f t="shared" ca="1" si="217"/>
        <v>0</v>
      </c>
      <c r="H1745" s="30">
        <f t="shared" ca="1" si="218"/>
        <v>6.4</v>
      </c>
      <c r="I1745" s="31">
        <f t="shared" ca="1" si="219"/>
        <v>6.4</v>
      </c>
      <c r="Q1745" s="80"/>
      <c r="R1745" s="42"/>
      <c r="S1745" s="90">
        <f t="shared" si="216"/>
        <v>168.6999999999947</v>
      </c>
      <c r="T1745" s="42"/>
      <c r="U1745" s="42"/>
      <c r="V1745" s="42"/>
      <c r="W1745" s="42"/>
      <c r="X1745" s="81"/>
    </row>
    <row r="1746" spans="2:24" x14ac:dyDescent="0.25">
      <c r="B1746" s="2">
        <v>1</v>
      </c>
      <c r="C1746" s="1">
        <f t="shared" si="214"/>
        <v>29.176470588235176</v>
      </c>
      <c r="D1746" s="1">
        <f t="shared" si="212"/>
        <v>0</v>
      </c>
      <c r="E1746" s="1">
        <f t="shared" si="215"/>
        <v>1</v>
      </c>
      <c r="F1746" s="31">
        <f t="shared" si="213"/>
        <v>6.4</v>
      </c>
      <c r="G1746" s="31">
        <f t="shared" ca="1" si="217"/>
        <v>0</v>
      </c>
      <c r="H1746" s="30">
        <f t="shared" ca="1" si="218"/>
        <v>6.4</v>
      </c>
      <c r="I1746" s="31">
        <f t="shared" ca="1" si="219"/>
        <v>6.4</v>
      </c>
      <c r="Q1746" s="80"/>
      <c r="R1746" s="42"/>
      <c r="S1746" s="90">
        <f t="shared" si="216"/>
        <v>168.7999999999947</v>
      </c>
      <c r="T1746" s="42"/>
      <c r="U1746" s="42"/>
      <c r="V1746" s="42"/>
      <c r="W1746" s="42"/>
      <c r="X1746" s="81"/>
    </row>
    <row r="1747" spans="2:24" x14ac:dyDescent="0.25">
      <c r="B1747" s="2">
        <v>1</v>
      </c>
      <c r="C1747" s="1">
        <f t="shared" si="214"/>
        <v>30.176470588235176</v>
      </c>
      <c r="D1747" s="1">
        <f t="shared" si="212"/>
        <v>0</v>
      </c>
      <c r="E1747" s="1">
        <f t="shared" si="215"/>
        <v>1</v>
      </c>
      <c r="F1747" s="31">
        <f t="shared" si="213"/>
        <v>6.4</v>
      </c>
      <c r="G1747" s="31">
        <f t="shared" ca="1" si="217"/>
        <v>0</v>
      </c>
      <c r="H1747" s="30">
        <f t="shared" ca="1" si="218"/>
        <v>6.4</v>
      </c>
      <c r="I1747" s="31">
        <f t="shared" ca="1" si="219"/>
        <v>6.4</v>
      </c>
      <c r="Q1747" s="80"/>
      <c r="R1747" s="42"/>
      <c r="S1747" s="90">
        <f t="shared" si="216"/>
        <v>168.89999999999469</v>
      </c>
      <c r="T1747" s="42"/>
      <c r="U1747" s="42"/>
      <c r="V1747" s="42"/>
      <c r="W1747" s="42"/>
      <c r="X1747" s="81"/>
    </row>
    <row r="1748" spans="2:24" x14ac:dyDescent="0.25">
      <c r="B1748" s="2">
        <v>1</v>
      </c>
      <c r="C1748" s="1">
        <f t="shared" si="214"/>
        <v>31.176470588235176</v>
      </c>
      <c r="D1748" s="1">
        <f t="shared" si="212"/>
        <v>0</v>
      </c>
      <c r="E1748" s="1">
        <f t="shared" si="215"/>
        <v>1</v>
      </c>
      <c r="F1748" s="31">
        <f t="shared" si="213"/>
        <v>6.4</v>
      </c>
      <c r="G1748" s="31">
        <f t="shared" ca="1" si="217"/>
        <v>0</v>
      </c>
      <c r="H1748" s="30">
        <f t="shared" ca="1" si="218"/>
        <v>6.4</v>
      </c>
      <c r="I1748" s="31">
        <f t="shared" ca="1" si="219"/>
        <v>6.4</v>
      </c>
      <c r="Q1748" s="80"/>
      <c r="R1748" s="42"/>
      <c r="S1748" s="90">
        <f t="shared" si="216"/>
        <v>168.99999999999469</v>
      </c>
      <c r="T1748" s="42"/>
      <c r="U1748" s="42"/>
      <c r="V1748" s="42"/>
      <c r="W1748" s="42"/>
      <c r="X1748" s="81"/>
    </row>
    <row r="1749" spans="2:24" x14ac:dyDescent="0.25">
      <c r="B1749" s="2">
        <v>1</v>
      </c>
      <c r="C1749" s="1">
        <f t="shared" si="214"/>
        <v>32.176470588235176</v>
      </c>
      <c r="D1749" s="1">
        <f t="shared" si="212"/>
        <v>0</v>
      </c>
      <c r="E1749" s="1">
        <f t="shared" si="215"/>
        <v>1</v>
      </c>
      <c r="F1749" s="31">
        <f t="shared" si="213"/>
        <v>6.4</v>
      </c>
      <c r="G1749" s="31">
        <f t="shared" ca="1" si="217"/>
        <v>0</v>
      </c>
      <c r="H1749" s="30">
        <f t="shared" ca="1" si="218"/>
        <v>6.4</v>
      </c>
      <c r="I1749" s="31">
        <f t="shared" ca="1" si="219"/>
        <v>6.4</v>
      </c>
      <c r="Q1749" s="80"/>
      <c r="R1749" s="42"/>
      <c r="S1749" s="90">
        <f t="shared" si="216"/>
        <v>169.09999999999468</v>
      </c>
      <c r="T1749" s="42"/>
      <c r="U1749" s="42"/>
      <c r="V1749" s="42"/>
      <c r="W1749" s="42"/>
      <c r="X1749" s="81"/>
    </row>
    <row r="1750" spans="2:24" x14ac:dyDescent="0.25">
      <c r="B1750" s="2">
        <v>1</v>
      </c>
      <c r="C1750" s="1">
        <f t="shared" si="214"/>
        <v>33.176470588235176</v>
      </c>
      <c r="D1750" s="1">
        <f t="shared" si="212"/>
        <v>0</v>
      </c>
      <c r="E1750" s="1">
        <f t="shared" si="215"/>
        <v>1</v>
      </c>
      <c r="F1750" s="31">
        <f t="shared" si="213"/>
        <v>6.4</v>
      </c>
      <c r="G1750" s="31">
        <f t="shared" ca="1" si="217"/>
        <v>0</v>
      </c>
      <c r="H1750" s="30">
        <f t="shared" ca="1" si="218"/>
        <v>6.4</v>
      </c>
      <c r="I1750" s="31">
        <f t="shared" ca="1" si="219"/>
        <v>6.4</v>
      </c>
      <c r="Q1750" s="80"/>
      <c r="R1750" s="42"/>
      <c r="S1750" s="90">
        <f t="shared" si="216"/>
        <v>169.19999999999467</v>
      </c>
      <c r="T1750" s="42"/>
      <c r="U1750" s="42"/>
      <c r="V1750" s="42"/>
      <c r="W1750" s="42"/>
      <c r="X1750" s="81"/>
    </row>
    <row r="1751" spans="2:24" x14ac:dyDescent="0.25">
      <c r="B1751" s="2">
        <v>1</v>
      </c>
      <c r="C1751" s="1">
        <f t="shared" si="214"/>
        <v>34.176470588235176</v>
      </c>
      <c r="D1751" s="1">
        <f t="shared" si="212"/>
        <v>0</v>
      </c>
      <c r="E1751" s="1">
        <f t="shared" si="215"/>
        <v>1</v>
      </c>
      <c r="F1751" s="31">
        <f t="shared" si="213"/>
        <v>6.4</v>
      </c>
      <c r="G1751" s="31">
        <f t="shared" ca="1" si="217"/>
        <v>0</v>
      </c>
      <c r="H1751" s="30">
        <f t="shared" ca="1" si="218"/>
        <v>6.4</v>
      </c>
      <c r="I1751" s="31">
        <f t="shared" ca="1" si="219"/>
        <v>6.4</v>
      </c>
      <c r="Q1751" s="80"/>
      <c r="R1751" s="42"/>
      <c r="S1751" s="90">
        <f t="shared" si="216"/>
        <v>169.29999999999467</v>
      </c>
      <c r="T1751" s="42"/>
      <c r="U1751" s="42"/>
      <c r="V1751" s="42"/>
      <c r="W1751" s="42"/>
      <c r="X1751" s="81"/>
    </row>
    <row r="1752" spans="2:24" x14ac:dyDescent="0.25">
      <c r="B1752" s="2">
        <v>1</v>
      </c>
      <c r="C1752" s="1">
        <f t="shared" si="214"/>
        <v>35.176470588235176</v>
      </c>
      <c r="D1752" s="1">
        <f t="shared" si="212"/>
        <v>0</v>
      </c>
      <c r="E1752" s="1">
        <f t="shared" si="215"/>
        <v>1</v>
      </c>
      <c r="F1752" s="31">
        <f t="shared" si="213"/>
        <v>6.4</v>
      </c>
      <c r="G1752" s="31">
        <f t="shared" ca="1" si="217"/>
        <v>0</v>
      </c>
      <c r="H1752" s="30">
        <f t="shared" ca="1" si="218"/>
        <v>6.4</v>
      </c>
      <c r="I1752" s="31">
        <f t="shared" ca="1" si="219"/>
        <v>6.4</v>
      </c>
      <c r="Q1752" s="80"/>
      <c r="R1752" s="42"/>
      <c r="S1752" s="90">
        <f t="shared" si="216"/>
        <v>169.39999999999466</v>
      </c>
      <c r="T1752" s="42"/>
      <c r="U1752" s="42"/>
      <c r="V1752" s="42"/>
      <c r="W1752" s="42"/>
      <c r="X1752" s="81"/>
    </row>
    <row r="1753" spans="2:24" x14ac:dyDescent="0.25">
      <c r="B1753" s="2">
        <v>1</v>
      </c>
      <c r="C1753" s="1">
        <f t="shared" si="214"/>
        <v>0.88235294117635021</v>
      </c>
      <c r="D1753" s="1">
        <f t="shared" si="212"/>
        <v>1</v>
      </c>
      <c r="E1753" s="1">
        <f t="shared" si="215"/>
        <v>0</v>
      </c>
      <c r="F1753" s="31">
        <f t="shared" si="213"/>
        <v>14.6</v>
      </c>
      <c r="G1753" s="31">
        <f t="shared" ca="1" si="217"/>
        <v>6.4</v>
      </c>
      <c r="H1753" s="30">
        <f t="shared" ca="1" si="218"/>
        <v>0</v>
      </c>
      <c r="I1753" s="31">
        <f t="shared" ca="1" si="219"/>
        <v>6.4</v>
      </c>
      <c r="Q1753" s="80"/>
      <c r="R1753" s="42"/>
      <c r="S1753" s="90">
        <f t="shared" si="216"/>
        <v>169.49999999999466</v>
      </c>
      <c r="T1753" s="42"/>
      <c r="U1753" s="42"/>
      <c r="V1753" s="42"/>
      <c r="W1753" s="42"/>
      <c r="X1753" s="81"/>
    </row>
    <row r="1754" spans="2:24" x14ac:dyDescent="0.25">
      <c r="B1754" s="2">
        <v>1</v>
      </c>
      <c r="C1754" s="1">
        <f t="shared" si="214"/>
        <v>1.8823529411763502</v>
      </c>
      <c r="D1754" s="1">
        <f t="shared" si="212"/>
        <v>1</v>
      </c>
      <c r="E1754" s="1">
        <f t="shared" si="215"/>
        <v>0</v>
      </c>
      <c r="F1754" s="31">
        <f t="shared" si="213"/>
        <v>14.6</v>
      </c>
      <c r="G1754" s="31">
        <f t="shared" ca="1" si="217"/>
        <v>8.4500000000000011</v>
      </c>
      <c r="H1754" s="30">
        <f t="shared" ca="1" si="218"/>
        <v>0</v>
      </c>
      <c r="I1754" s="31">
        <f t="shared" ca="1" si="219"/>
        <v>8.4500000000000011</v>
      </c>
      <c r="Q1754" s="80"/>
      <c r="R1754" s="42"/>
      <c r="S1754" s="90">
        <f t="shared" si="216"/>
        <v>169.59999999999465</v>
      </c>
      <c r="T1754" s="42"/>
      <c r="U1754" s="42"/>
      <c r="V1754" s="42"/>
      <c r="W1754" s="42"/>
      <c r="X1754" s="81"/>
    </row>
    <row r="1755" spans="2:24" x14ac:dyDescent="0.25">
      <c r="B1755" s="2">
        <v>1</v>
      </c>
      <c r="C1755" s="1">
        <f t="shared" si="214"/>
        <v>2.8823529411763502</v>
      </c>
      <c r="D1755" s="1">
        <f t="shared" si="212"/>
        <v>1</v>
      </c>
      <c r="E1755" s="1">
        <f t="shared" si="215"/>
        <v>0</v>
      </c>
      <c r="F1755" s="31">
        <f t="shared" si="213"/>
        <v>14.6</v>
      </c>
      <c r="G1755" s="31">
        <f t="shared" ca="1" si="217"/>
        <v>10.5</v>
      </c>
      <c r="H1755" s="30">
        <f t="shared" ca="1" si="218"/>
        <v>0</v>
      </c>
      <c r="I1755" s="31">
        <f t="shared" ca="1" si="219"/>
        <v>10.5</v>
      </c>
      <c r="Q1755" s="80"/>
      <c r="R1755" s="42"/>
      <c r="S1755" s="90">
        <f t="shared" si="216"/>
        <v>169.69999999999465</v>
      </c>
      <c r="T1755" s="42"/>
      <c r="U1755" s="42"/>
      <c r="V1755" s="42"/>
      <c r="W1755" s="42"/>
      <c r="X1755" s="81"/>
    </row>
    <row r="1756" spans="2:24" x14ac:dyDescent="0.25">
      <c r="B1756" s="2">
        <v>1</v>
      </c>
      <c r="C1756" s="1">
        <f t="shared" si="214"/>
        <v>3.8823529411763502</v>
      </c>
      <c r="D1756" s="1">
        <f t="shared" si="212"/>
        <v>1</v>
      </c>
      <c r="E1756" s="1">
        <f t="shared" si="215"/>
        <v>0</v>
      </c>
      <c r="F1756" s="31">
        <f t="shared" si="213"/>
        <v>14.6</v>
      </c>
      <c r="G1756" s="31">
        <f t="shared" ca="1" si="217"/>
        <v>12.55</v>
      </c>
      <c r="H1756" s="30">
        <f t="shared" ca="1" si="218"/>
        <v>0</v>
      </c>
      <c r="I1756" s="31">
        <f t="shared" ca="1" si="219"/>
        <v>12.55</v>
      </c>
      <c r="Q1756" s="80"/>
      <c r="R1756" s="42"/>
      <c r="S1756" s="90">
        <f t="shared" si="216"/>
        <v>169.79999999999464</v>
      </c>
      <c r="T1756" s="42"/>
      <c r="U1756" s="42"/>
      <c r="V1756" s="42"/>
      <c r="W1756" s="42"/>
      <c r="X1756" s="81"/>
    </row>
    <row r="1757" spans="2:24" x14ac:dyDescent="0.25">
      <c r="B1757" s="2">
        <v>1</v>
      </c>
      <c r="C1757" s="1">
        <f t="shared" si="214"/>
        <v>4.8823529411763502</v>
      </c>
      <c r="D1757" s="1">
        <f t="shared" si="212"/>
        <v>1</v>
      </c>
      <c r="E1757" s="1">
        <f t="shared" si="215"/>
        <v>0</v>
      </c>
      <c r="F1757" s="31">
        <f t="shared" si="213"/>
        <v>14.6</v>
      </c>
      <c r="G1757" s="31">
        <f t="shared" ca="1" si="217"/>
        <v>14.6</v>
      </c>
      <c r="H1757" s="30">
        <f t="shared" ca="1" si="218"/>
        <v>0</v>
      </c>
      <c r="I1757" s="31">
        <f t="shared" ca="1" si="219"/>
        <v>14.6</v>
      </c>
      <c r="Q1757" s="80"/>
      <c r="R1757" s="42"/>
      <c r="S1757" s="90">
        <f t="shared" si="216"/>
        <v>169.89999999999463</v>
      </c>
      <c r="T1757" s="42"/>
      <c r="U1757" s="42"/>
      <c r="V1757" s="42"/>
      <c r="W1757" s="42"/>
      <c r="X1757" s="81"/>
    </row>
    <row r="1758" spans="2:24" x14ac:dyDescent="0.25">
      <c r="B1758" s="2">
        <v>1</v>
      </c>
      <c r="C1758" s="1">
        <f t="shared" si="214"/>
        <v>5.8823529411763502</v>
      </c>
      <c r="D1758" s="1">
        <f t="shared" si="212"/>
        <v>1</v>
      </c>
      <c r="E1758" s="1">
        <f t="shared" si="215"/>
        <v>0</v>
      </c>
      <c r="F1758" s="31">
        <f t="shared" si="213"/>
        <v>14.6</v>
      </c>
      <c r="G1758" s="31">
        <f t="shared" ca="1" si="217"/>
        <v>14.6</v>
      </c>
      <c r="H1758" s="30">
        <f t="shared" ca="1" si="218"/>
        <v>0</v>
      </c>
      <c r="I1758" s="31">
        <f t="shared" ca="1" si="219"/>
        <v>14.6</v>
      </c>
      <c r="Q1758" s="80"/>
      <c r="R1758" s="42"/>
      <c r="S1758" s="90">
        <f t="shared" si="216"/>
        <v>169.99999999999463</v>
      </c>
      <c r="T1758" s="42"/>
      <c r="U1758" s="42"/>
      <c r="V1758" s="42"/>
      <c r="W1758" s="42"/>
      <c r="X1758" s="81"/>
    </row>
    <row r="1759" spans="2:24" x14ac:dyDescent="0.25">
      <c r="B1759" s="2">
        <v>1</v>
      </c>
      <c r="C1759" s="1">
        <f t="shared" si="214"/>
        <v>6.8823529411763502</v>
      </c>
      <c r="D1759" s="1">
        <f t="shared" si="212"/>
        <v>1</v>
      </c>
      <c r="E1759" s="1">
        <f t="shared" si="215"/>
        <v>0</v>
      </c>
      <c r="F1759" s="31">
        <f t="shared" si="213"/>
        <v>14.6</v>
      </c>
      <c r="G1759" s="31">
        <f t="shared" ca="1" si="217"/>
        <v>14.6</v>
      </c>
      <c r="H1759" s="30">
        <f t="shared" ca="1" si="218"/>
        <v>0</v>
      </c>
      <c r="I1759" s="31">
        <f t="shared" ca="1" si="219"/>
        <v>14.6</v>
      </c>
      <c r="Q1759" s="80"/>
      <c r="R1759" s="42"/>
      <c r="S1759" s="90">
        <f t="shared" si="216"/>
        <v>170.09999999999462</v>
      </c>
      <c r="T1759" s="42"/>
      <c r="U1759" s="42"/>
      <c r="V1759" s="42"/>
      <c r="W1759" s="42"/>
      <c r="X1759" s="81"/>
    </row>
    <row r="1760" spans="2:24" x14ac:dyDescent="0.25">
      <c r="B1760" s="2">
        <v>1</v>
      </c>
      <c r="C1760" s="1">
        <f t="shared" si="214"/>
        <v>7.8823529411763502</v>
      </c>
      <c r="D1760" s="1">
        <f t="shared" si="212"/>
        <v>1</v>
      </c>
      <c r="E1760" s="1">
        <f t="shared" si="215"/>
        <v>0</v>
      </c>
      <c r="F1760" s="31">
        <f t="shared" si="213"/>
        <v>14.6</v>
      </c>
      <c r="G1760" s="31">
        <f t="shared" ca="1" si="217"/>
        <v>14.6</v>
      </c>
      <c r="H1760" s="30">
        <f t="shared" ca="1" si="218"/>
        <v>0</v>
      </c>
      <c r="I1760" s="31">
        <f t="shared" ca="1" si="219"/>
        <v>14.6</v>
      </c>
      <c r="Q1760" s="80"/>
      <c r="R1760" s="42"/>
      <c r="S1760" s="90">
        <f t="shared" si="216"/>
        <v>170.19999999999462</v>
      </c>
      <c r="T1760" s="42"/>
      <c r="U1760" s="42"/>
      <c r="V1760" s="42"/>
      <c r="W1760" s="42"/>
      <c r="X1760" s="81"/>
    </row>
    <row r="1761" spans="2:24" x14ac:dyDescent="0.25">
      <c r="B1761" s="2">
        <v>1</v>
      </c>
      <c r="C1761" s="1">
        <f t="shared" si="214"/>
        <v>8.8823529411763502</v>
      </c>
      <c r="D1761" s="1">
        <f t="shared" si="212"/>
        <v>1</v>
      </c>
      <c r="E1761" s="1">
        <f t="shared" si="215"/>
        <v>0</v>
      </c>
      <c r="F1761" s="31">
        <f t="shared" si="213"/>
        <v>14.6</v>
      </c>
      <c r="G1761" s="31">
        <f t="shared" ca="1" si="217"/>
        <v>14.6</v>
      </c>
      <c r="H1761" s="30">
        <f t="shared" ca="1" si="218"/>
        <v>0</v>
      </c>
      <c r="I1761" s="31">
        <f t="shared" ca="1" si="219"/>
        <v>14.6</v>
      </c>
      <c r="Q1761" s="80"/>
      <c r="R1761" s="42"/>
      <c r="S1761" s="90">
        <f t="shared" si="216"/>
        <v>170.29999999999461</v>
      </c>
      <c r="T1761" s="42"/>
      <c r="U1761" s="42"/>
      <c r="V1761" s="42"/>
      <c r="W1761" s="42"/>
      <c r="X1761" s="81"/>
    </row>
    <row r="1762" spans="2:24" x14ac:dyDescent="0.25">
      <c r="B1762" s="2">
        <v>1</v>
      </c>
      <c r="C1762" s="1">
        <f t="shared" si="214"/>
        <v>9.8823529411763502</v>
      </c>
      <c r="D1762" s="1">
        <f t="shared" si="212"/>
        <v>1</v>
      </c>
      <c r="E1762" s="1">
        <f t="shared" si="215"/>
        <v>0</v>
      </c>
      <c r="F1762" s="31">
        <f t="shared" si="213"/>
        <v>14.6</v>
      </c>
      <c r="G1762" s="31">
        <f t="shared" ca="1" si="217"/>
        <v>14.6</v>
      </c>
      <c r="H1762" s="30">
        <f t="shared" ca="1" si="218"/>
        <v>0</v>
      </c>
      <c r="I1762" s="31">
        <f t="shared" ca="1" si="219"/>
        <v>14.6</v>
      </c>
      <c r="Q1762" s="80"/>
      <c r="R1762" s="42"/>
      <c r="S1762" s="90">
        <f t="shared" si="216"/>
        <v>170.39999999999461</v>
      </c>
      <c r="T1762" s="42"/>
      <c r="U1762" s="42"/>
      <c r="V1762" s="42"/>
      <c r="W1762" s="42"/>
      <c r="X1762" s="81"/>
    </row>
    <row r="1763" spans="2:24" x14ac:dyDescent="0.25">
      <c r="B1763" s="2">
        <v>1</v>
      </c>
      <c r="C1763" s="1">
        <f t="shared" si="214"/>
        <v>10.88235294117635</v>
      </c>
      <c r="D1763" s="1">
        <f t="shared" si="212"/>
        <v>1</v>
      </c>
      <c r="E1763" s="1">
        <f t="shared" si="215"/>
        <v>0</v>
      </c>
      <c r="F1763" s="31">
        <f t="shared" si="213"/>
        <v>14.6</v>
      </c>
      <c r="G1763" s="31">
        <f t="shared" ca="1" si="217"/>
        <v>14.6</v>
      </c>
      <c r="H1763" s="30">
        <f t="shared" ca="1" si="218"/>
        <v>0</v>
      </c>
      <c r="I1763" s="31">
        <f t="shared" ca="1" si="219"/>
        <v>14.6</v>
      </c>
      <c r="Q1763" s="80"/>
      <c r="R1763" s="42"/>
      <c r="S1763" s="90">
        <f t="shared" si="216"/>
        <v>170.4999999999946</v>
      </c>
      <c r="T1763" s="42"/>
      <c r="U1763" s="42"/>
      <c r="V1763" s="42"/>
      <c r="W1763" s="42"/>
      <c r="X1763" s="81"/>
    </row>
    <row r="1764" spans="2:24" x14ac:dyDescent="0.25">
      <c r="B1764" s="2">
        <v>1</v>
      </c>
      <c r="C1764" s="1">
        <f t="shared" si="214"/>
        <v>11.88235294117635</v>
      </c>
      <c r="D1764" s="1">
        <f t="shared" si="212"/>
        <v>1</v>
      </c>
      <c r="E1764" s="1">
        <f t="shared" si="215"/>
        <v>0</v>
      </c>
      <c r="F1764" s="31">
        <f t="shared" si="213"/>
        <v>14.6</v>
      </c>
      <c r="G1764" s="31">
        <f t="shared" ca="1" si="217"/>
        <v>14.6</v>
      </c>
      <c r="H1764" s="30">
        <f t="shared" ca="1" si="218"/>
        <v>0</v>
      </c>
      <c r="I1764" s="31">
        <f t="shared" ca="1" si="219"/>
        <v>14.6</v>
      </c>
      <c r="Q1764" s="80"/>
      <c r="R1764" s="42"/>
      <c r="S1764" s="90">
        <f t="shared" si="216"/>
        <v>170.59999999999459</v>
      </c>
      <c r="T1764" s="42"/>
      <c r="U1764" s="42"/>
      <c r="V1764" s="42"/>
      <c r="W1764" s="42"/>
      <c r="X1764" s="81"/>
    </row>
    <row r="1765" spans="2:24" x14ac:dyDescent="0.25">
      <c r="B1765" s="2">
        <v>1</v>
      </c>
      <c r="C1765" s="1">
        <f t="shared" si="214"/>
        <v>12.88235294117635</v>
      </c>
      <c r="D1765" s="1">
        <f t="shared" si="212"/>
        <v>1</v>
      </c>
      <c r="E1765" s="1">
        <f t="shared" si="215"/>
        <v>0</v>
      </c>
      <c r="F1765" s="31">
        <f t="shared" si="213"/>
        <v>14.6</v>
      </c>
      <c r="G1765" s="31">
        <f t="shared" ca="1" si="217"/>
        <v>14.6</v>
      </c>
      <c r="H1765" s="30">
        <f t="shared" ca="1" si="218"/>
        <v>0</v>
      </c>
      <c r="I1765" s="31">
        <f t="shared" ca="1" si="219"/>
        <v>14.6</v>
      </c>
      <c r="Q1765" s="80"/>
      <c r="R1765" s="42"/>
      <c r="S1765" s="90">
        <f t="shared" si="216"/>
        <v>170.69999999999459</v>
      </c>
      <c r="T1765" s="42"/>
      <c r="U1765" s="42"/>
      <c r="V1765" s="42"/>
      <c r="W1765" s="42"/>
      <c r="X1765" s="81"/>
    </row>
    <row r="1766" spans="2:24" x14ac:dyDescent="0.25">
      <c r="B1766" s="2">
        <v>1</v>
      </c>
      <c r="C1766" s="1">
        <f t="shared" si="214"/>
        <v>13.88235294117635</v>
      </c>
      <c r="D1766" s="1">
        <f t="shared" si="212"/>
        <v>1</v>
      </c>
      <c r="E1766" s="1">
        <f t="shared" si="215"/>
        <v>0</v>
      </c>
      <c r="F1766" s="31">
        <f t="shared" si="213"/>
        <v>14.6</v>
      </c>
      <c r="G1766" s="31">
        <f t="shared" ca="1" si="217"/>
        <v>14.6</v>
      </c>
      <c r="H1766" s="30">
        <f t="shared" ca="1" si="218"/>
        <v>0</v>
      </c>
      <c r="I1766" s="31">
        <f t="shared" ca="1" si="219"/>
        <v>14.6</v>
      </c>
      <c r="Q1766" s="80"/>
      <c r="R1766" s="42"/>
      <c r="S1766" s="90">
        <f t="shared" si="216"/>
        <v>170.79999999999458</v>
      </c>
      <c r="T1766" s="42"/>
      <c r="U1766" s="42"/>
      <c r="V1766" s="42"/>
      <c r="W1766" s="42"/>
      <c r="X1766" s="81"/>
    </row>
    <row r="1767" spans="2:24" x14ac:dyDescent="0.25">
      <c r="B1767" s="2">
        <v>1</v>
      </c>
      <c r="C1767" s="1">
        <f t="shared" si="214"/>
        <v>14.88235294117635</v>
      </c>
      <c r="D1767" s="1">
        <f t="shared" si="212"/>
        <v>1</v>
      </c>
      <c r="E1767" s="1">
        <f t="shared" si="215"/>
        <v>0</v>
      </c>
      <c r="F1767" s="31">
        <f t="shared" si="213"/>
        <v>14.6</v>
      </c>
      <c r="G1767" s="31">
        <f t="shared" ca="1" si="217"/>
        <v>14.6</v>
      </c>
      <c r="H1767" s="30">
        <f t="shared" ca="1" si="218"/>
        <v>0</v>
      </c>
      <c r="I1767" s="31">
        <f t="shared" ca="1" si="219"/>
        <v>14.6</v>
      </c>
      <c r="Q1767" s="80"/>
      <c r="R1767" s="42"/>
      <c r="S1767" s="90">
        <f t="shared" si="216"/>
        <v>170.89999999999458</v>
      </c>
      <c r="T1767" s="42"/>
      <c r="U1767" s="42"/>
      <c r="V1767" s="42"/>
      <c r="W1767" s="42"/>
      <c r="X1767" s="81"/>
    </row>
    <row r="1768" spans="2:24" x14ac:dyDescent="0.25">
      <c r="B1768" s="2">
        <v>1</v>
      </c>
      <c r="C1768" s="1">
        <f t="shared" si="214"/>
        <v>15.88235294117635</v>
      </c>
      <c r="D1768" s="1">
        <f t="shared" si="212"/>
        <v>1</v>
      </c>
      <c r="E1768" s="1">
        <f t="shared" si="215"/>
        <v>0</v>
      </c>
      <c r="F1768" s="31">
        <f t="shared" si="213"/>
        <v>14.6</v>
      </c>
      <c r="G1768" s="31">
        <f t="shared" ca="1" si="217"/>
        <v>14.6</v>
      </c>
      <c r="H1768" s="30">
        <f t="shared" ca="1" si="218"/>
        <v>0</v>
      </c>
      <c r="I1768" s="31">
        <f t="shared" ca="1" si="219"/>
        <v>14.6</v>
      </c>
      <c r="Q1768" s="80"/>
      <c r="R1768" s="42"/>
      <c r="S1768" s="90">
        <f t="shared" si="216"/>
        <v>170.99999999999457</v>
      </c>
      <c r="T1768" s="42"/>
      <c r="U1768" s="42"/>
      <c r="V1768" s="42"/>
      <c r="W1768" s="42"/>
      <c r="X1768" s="81"/>
    </row>
    <row r="1769" spans="2:24" x14ac:dyDescent="0.25">
      <c r="B1769" s="2">
        <v>1</v>
      </c>
      <c r="C1769" s="1">
        <f t="shared" si="214"/>
        <v>16.88235294117635</v>
      </c>
      <c r="D1769" s="1">
        <f t="shared" si="212"/>
        <v>1</v>
      </c>
      <c r="E1769" s="1">
        <f t="shared" si="215"/>
        <v>0</v>
      </c>
      <c r="F1769" s="31">
        <f t="shared" si="213"/>
        <v>14.6</v>
      </c>
      <c r="G1769" s="31">
        <f t="shared" ca="1" si="217"/>
        <v>14.6</v>
      </c>
      <c r="H1769" s="30">
        <f t="shared" ca="1" si="218"/>
        <v>0</v>
      </c>
      <c r="I1769" s="31">
        <f t="shared" ca="1" si="219"/>
        <v>14.6</v>
      </c>
      <c r="Q1769" s="80"/>
      <c r="R1769" s="42"/>
      <c r="S1769" s="90">
        <f t="shared" si="216"/>
        <v>171.09999999999457</v>
      </c>
      <c r="T1769" s="42"/>
      <c r="U1769" s="42"/>
      <c r="V1769" s="42"/>
      <c r="W1769" s="42"/>
      <c r="X1769" s="81"/>
    </row>
    <row r="1770" spans="2:24" x14ac:dyDescent="0.25">
      <c r="B1770" s="2">
        <v>1</v>
      </c>
      <c r="C1770" s="1">
        <f t="shared" si="214"/>
        <v>17.88235294117635</v>
      </c>
      <c r="D1770" s="1">
        <f t="shared" si="212"/>
        <v>1</v>
      </c>
      <c r="E1770" s="1">
        <f t="shared" si="215"/>
        <v>0</v>
      </c>
      <c r="F1770" s="31">
        <f t="shared" si="213"/>
        <v>14.6</v>
      </c>
      <c r="G1770" s="31">
        <f t="shared" ca="1" si="217"/>
        <v>14.6</v>
      </c>
      <c r="H1770" s="30">
        <f t="shared" ca="1" si="218"/>
        <v>0</v>
      </c>
      <c r="I1770" s="31">
        <f t="shared" ca="1" si="219"/>
        <v>14.6</v>
      </c>
      <c r="Q1770" s="80"/>
      <c r="R1770" s="42"/>
      <c r="S1770" s="90">
        <f t="shared" si="216"/>
        <v>171.19999999999456</v>
      </c>
      <c r="T1770" s="42"/>
      <c r="U1770" s="42"/>
      <c r="V1770" s="42"/>
      <c r="W1770" s="42"/>
      <c r="X1770" s="81"/>
    </row>
    <row r="1771" spans="2:24" x14ac:dyDescent="0.25">
      <c r="B1771" s="2">
        <v>1</v>
      </c>
      <c r="C1771" s="1">
        <f t="shared" si="214"/>
        <v>18.88235294117635</v>
      </c>
      <c r="D1771" s="1">
        <f t="shared" si="212"/>
        <v>1</v>
      </c>
      <c r="E1771" s="1">
        <f t="shared" si="215"/>
        <v>0</v>
      </c>
      <c r="F1771" s="31">
        <f t="shared" si="213"/>
        <v>14.6</v>
      </c>
      <c r="G1771" s="31">
        <f t="shared" ca="1" si="217"/>
        <v>14.6</v>
      </c>
      <c r="H1771" s="30">
        <f t="shared" ca="1" si="218"/>
        <v>0</v>
      </c>
      <c r="I1771" s="31">
        <f t="shared" ca="1" si="219"/>
        <v>14.6</v>
      </c>
      <c r="Q1771" s="80"/>
      <c r="R1771" s="42"/>
      <c r="S1771" s="90">
        <f t="shared" si="216"/>
        <v>171.29999999999455</v>
      </c>
      <c r="T1771" s="42"/>
      <c r="U1771" s="42"/>
      <c r="V1771" s="42"/>
      <c r="W1771" s="42"/>
      <c r="X1771" s="81"/>
    </row>
    <row r="1772" spans="2:24" x14ac:dyDescent="0.25">
      <c r="B1772" s="2">
        <v>1</v>
      </c>
      <c r="C1772" s="1">
        <f t="shared" si="214"/>
        <v>19.88235294117635</v>
      </c>
      <c r="D1772" s="1">
        <f t="shared" si="212"/>
        <v>1</v>
      </c>
      <c r="E1772" s="1">
        <f t="shared" si="215"/>
        <v>0</v>
      </c>
      <c r="F1772" s="31">
        <f t="shared" si="213"/>
        <v>14.6</v>
      </c>
      <c r="G1772" s="31">
        <f t="shared" ca="1" si="217"/>
        <v>14.6</v>
      </c>
      <c r="H1772" s="30">
        <f t="shared" ca="1" si="218"/>
        <v>0</v>
      </c>
      <c r="I1772" s="31">
        <f t="shared" ca="1" si="219"/>
        <v>14.6</v>
      </c>
      <c r="Q1772" s="80"/>
      <c r="R1772" s="42"/>
      <c r="S1772" s="90">
        <f t="shared" si="216"/>
        <v>171.39999999999455</v>
      </c>
      <c r="T1772" s="42"/>
      <c r="U1772" s="42"/>
      <c r="V1772" s="42"/>
      <c r="W1772" s="42"/>
      <c r="X1772" s="81"/>
    </row>
    <row r="1773" spans="2:24" x14ac:dyDescent="0.25">
      <c r="B1773" s="2">
        <v>1</v>
      </c>
      <c r="C1773" s="1">
        <f t="shared" si="214"/>
        <v>20.88235294117635</v>
      </c>
      <c r="D1773" s="1">
        <f t="shared" si="212"/>
        <v>1</v>
      </c>
      <c r="E1773" s="1">
        <f t="shared" si="215"/>
        <v>0</v>
      </c>
      <c r="F1773" s="31">
        <f t="shared" si="213"/>
        <v>14.6</v>
      </c>
      <c r="G1773" s="31">
        <f t="shared" ca="1" si="217"/>
        <v>14.6</v>
      </c>
      <c r="H1773" s="30">
        <f t="shared" ca="1" si="218"/>
        <v>0</v>
      </c>
      <c r="I1773" s="31">
        <f t="shared" ca="1" si="219"/>
        <v>14.6</v>
      </c>
      <c r="Q1773" s="80"/>
      <c r="R1773" s="42"/>
      <c r="S1773" s="90">
        <f t="shared" si="216"/>
        <v>171.49999999999454</v>
      </c>
      <c r="T1773" s="42"/>
      <c r="U1773" s="42"/>
      <c r="V1773" s="42"/>
      <c r="W1773" s="42"/>
      <c r="X1773" s="81"/>
    </row>
    <row r="1774" spans="2:24" x14ac:dyDescent="0.25">
      <c r="B1774" s="2">
        <v>1</v>
      </c>
      <c r="C1774" s="1">
        <f t="shared" si="214"/>
        <v>21.88235294117635</v>
      </c>
      <c r="D1774" s="1">
        <f t="shared" si="212"/>
        <v>1</v>
      </c>
      <c r="E1774" s="1">
        <f t="shared" si="215"/>
        <v>0</v>
      </c>
      <c r="F1774" s="31">
        <f t="shared" si="213"/>
        <v>14.6</v>
      </c>
      <c r="G1774" s="31">
        <f t="shared" ca="1" si="217"/>
        <v>14.6</v>
      </c>
      <c r="H1774" s="30">
        <f t="shared" ca="1" si="218"/>
        <v>0</v>
      </c>
      <c r="I1774" s="31">
        <f t="shared" ca="1" si="219"/>
        <v>14.6</v>
      </c>
      <c r="Q1774" s="80"/>
      <c r="R1774" s="42"/>
      <c r="S1774" s="90">
        <f t="shared" si="216"/>
        <v>171.59999999999454</v>
      </c>
      <c r="T1774" s="42"/>
      <c r="U1774" s="42"/>
      <c r="V1774" s="42"/>
      <c r="W1774" s="42"/>
      <c r="X1774" s="81"/>
    </row>
    <row r="1775" spans="2:24" x14ac:dyDescent="0.25">
      <c r="B1775" s="2">
        <v>1</v>
      </c>
      <c r="C1775" s="1">
        <f t="shared" si="214"/>
        <v>22.88235294117635</v>
      </c>
      <c r="D1775" s="1">
        <f t="shared" si="212"/>
        <v>0</v>
      </c>
      <c r="E1775" s="1">
        <f t="shared" si="215"/>
        <v>1</v>
      </c>
      <c r="F1775" s="31">
        <f t="shared" si="213"/>
        <v>6.4</v>
      </c>
      <c r="G1775" s="31">
        <f t="shared" ca="1" si="217"/>
        <v>0</v>
      </c>
      <c r="H1775" s="30">
        <f t="shared" ca="1" si="218"/>
        <v>14.6</v>
      </c>
      <c r="I1775" s="31">
        <f t="shared" ca="1" si="219"/>
        <v>14.6</v>
      </c>
      <c r="Q1775" s="80"/>
      <c r="R1775" s="42"/>
      <c r="S1775" s="90">
        <f t="shared" si="216"/>
        <v>171.69999999999453</v>
      </c>
      <c r="T1775" s="42"/>
      <c r="U1775" s="42"/>
      <c r="V1775" s="42"/>
      <c r="W1775" s="42"/>
      <c r="X1775" s="81"/>
    </row>
    <row r="1776" spans="2:24" x14ac:dyDescent="0.25">
      <c r="B1776" s="2">
        <v>1</v>
      </c>
      <c r="C1776" s="1">
        <f t="shared" si="214"/>
        <v>23.88235294117635</v>
      </c>
      <c r="D1776" s="1">
        <f t="shared" si="212"/>
        <v>0</v>
      </c>
      <c r="E1776" s="1">
        <f t="shared" si="215"/>
        <v>1</v>
      </c>
      <c r="F1776" s="31">
        <f t="shared" si="213"/>
        <v>6.4</v>
      </c>
      <c r="G1776" s="31">
        <f t="shared" ca="1" si="217"/>
        <v>0</v>
      </c>
      <c r="H1776" s="30">
        <f t="shared" ca="1" si="218"/>
        <v>6.4</v>
      </c>
      <c r="I1776" s="31">
        <f t="shared" ca="1" si="219"/>
        <v>6.4</v>
      </c>
      <c r="Q1776" s="80"/>
      <c r="R1776" s="42"/>
      <c r="S1776" s="90">
        <f t="shared" si="216"/>
        <v>171.79999999999453</v>
      </c>
      <c r="T1776" s="42"/>
      <c r="U1776" s="42"/>
      <c r="V1776" s="42"/>
      <c r="W1776" s="42"/>
      <c r="X1776" s="81"/>
    </row>
    <row r="1777" spans="2:24" x14ac:dyDescent="0.25">
      <c r="B1777" s="2">
        <v>1</v>
      </c>
      <c r="C1777" s="1">
        <f t="shared" si="214"/>
        <v>24.88235294117635</v>
      </c>
      <c r="D1777" s="1">
        <f t="shared" si="212"/>
        <v>0</v>
      </c>
      <c r="E1777" s="1">
        <f t="shared" si="215"/>
        <v>1</v>
      </c>
      <c r="F1777" s="31">
        <f t="shared" si="213"/>
        <v>6.4</v>
      </c>
      <c r="G1777" s="31">
        <f t="shared" ca="1" si="217"/>
        <v>0</v>
      </c>
      <c r="H1777" s="30">
        <f t="shared" ca="1" si="218"/>
        <v>6.4</v>
      </c>
      <c r="I1777" s="31">
        <f t="shared" ca="1" si="219"/>
        <v>6.4</v>
      </c>
      <c r="Q1777" s="80"/>
      <c r="R1777" s="42"/>
      <c r="S1777" s="90">
        <f t="shared" si="216"/>
        <v>171.89999999999452</v>
      </c>
      <c r="T1777" s="42"/>
      <c r="U1777" s="42"/>
      <c r="V1777" s="42"/>
      <c r="W1777" s="42"/>
      <c r="X1777" s="81"/>
    </row>
    <row r="1778" spans="2:24" x14ac:dyDescent="0.25">
      <c r="B1778" s="2">
        <v>1</v>
      </c>
      <c r="C1778" s="1">
        <f t="shared" si="214"/>
        <v>25.88235294117635</v>
      </c>
      <c r="D1778" s="1">
        <f t="shared" si="212"/>
        <v>0</v>
      </c>
      <c r="E1778" s="1">
        <f t="shared" si="215"/>
        <v>1</v>
      </c>
      <c r="F1778" s="31">
        <f t="shared" si="213"/>
        <v>6.4</v>
      </c>
      <c r="G1778" s="31">
        <f t="shared" ca="1" si="217"/>
        <v>0</v>
      </c>
      <c r="H1778" s="30">
        <f t="shared" ca="1" si="218"/>
        <v>6.4</v>
      </c>
      <c r="I1778" s="31">
        <f t="shared" ca="1" si="219"/>
        <v>6.4</v>
      </c>
      <c r="Q1778" s="80"/>
      <c r="R1778" s="42"/>
      <c r="S1778" s="90">
        <f t="shared" si="216"/>
        <v>171.99999999999451</v>
      </c>
      <c r="T1778" s="42"/>
      <c r="U1778" s="42"/>
      <c r="V1778" s="42"/>
      <c r="W1778" s="42"/>
      <c r="X1778" s="81"/>
    </row>
    <row r="1779" spans="2:24" x14ac:dyDescent="0.25">
      <c r="B1779" s="2">
        <v>1</v>
      </c>
      <c r="C1779" s="1">
        <f t="shared" si="214"/>
        <v>26.88235294117635</v>
      </c>
      <c r="D1779" s="1">
        <f t="shared" si="212"/>
        <v>0</v>
      </c>
      <c r="E1779" s="1">
        <f t="shared" si="215"/>
        <v>1</v>
      </c>
      <c r="F1779" s="31">
        <f t="shared" si="213"/>
        <v>6.4</v>
      </c>
      <c r="G1779" s="31">
        <f t="shared" ca="1" si="217"/>
        <v>0</v>
      </c>
      <c r="H1779" s="30">
        <f t="shared" ca="1" si="218"/>
        <v>6.4</v>
      </c>
      <c r="I1779" s="31">
        <f t="shared" ca="1" si="219"/>
        <v>6.4</v>
      </c>
      <c r="Q1779" s="80"/>
      <c r="R1779" s="42"/>
      <c r="S1779" s="90">
        <f t="shared" si="216"/>
        <v>172.09999999999451</v>
      </c>
      <c r="T1779" s="42"/>
      <c r="U1779" s="42"/>
      <c r="V1779" s="42"/>
      <c r="W1779" s="42"/>
      <c r="X1779" s="81"/>
    </row>
    <row r="1780" spans="2:24" x14ac:dyDescent="0.25">
      <c r="B1780" s="2">
        <v>1</v>
      </c>
      <c r="C1780" s="1">
        <f t="shared" si="214"/>
        <v>27.88235294117635</v>
      </c>
      <c r="D1780" s="1">
        <f t="shared" si="212"/>
        <v>0</v>
      </c>
      <c r="E1780" s="1">
        <f t="shared" si="215"/>
        <v>1</v>
      </c>
      <c r="F1780" s="31">
        <f t="shared" si="213"/>
        <v>6.4</v>
      </c>
      <c r="G1780" s="31">
        <f t="shared" ca="1" si="217"/>
        <v>0</v>
      </c>
      <c r="H1780" s="30">
        <f t="shared" ca="1" si="218"/>
        <v>6.4</v>
      </c>
      <c r="I1780" s="31">
        <f t="shared" ca="1" si="219"/>
        <v>6.4</v>
      </c>
      <c r="Q1780" s="80"/>
      <c r="R1780" s="42"/>
      <c r="S1780" s="90">
        <f t="shared" si="216"/>
        <v>172.1999999999945</v>
      </c>
      <c r="T1780" s="42"/>
      <c r="U1780" s="42"/>
      <c r="V1780" s="42"/>
      <c r="W1780" s="42"/>
      <c r="X1780" s="81"/>
    </row>
    <row r="1781" spans="2:24" x14ac:dyDescent="0.25">
      <c r="B1781" s="2">
        <v>1</v>
      </c>
      <c r="C1781" s="1">
        <f t="shared" si="214"/>
        <v>28.88235294117635</v>
      </c>
      <c r="D1781" s="1">
        <f t="shared" si="212"/>
        <v>0</v>
      </c>
      <c r="E1781" s="1">
        <f t="shared" si="215"/>
        <v>1</v>
      </c>
      <c r="F1781" s="31">
        <f t="shared" si="213"/>
        <v>6.4</v>
      </c>
      <c r="G1781" s="31">
        <f t="shared" ca="1" si="217"/>
        <v>0</v>
      </c>
      <c r="H1781" s="30">
        <f t="shared" ca="1" si="218"/>
        <v>6.4</v>
      </c>
      <c r="I1781" s="31">
        <f t="shared" ca="1" si="219"/>
        <v>6.4</v>
      </c>
      <c r="Q1781" s="80"/>
      <c r="R1781" s="42"/>
      <c r="S1781" s="90">
        <f t="shared" si="216"/>
        <v>172.2999999999945</v>
      </c>
      <c r="T1781" s="42"/>
      <c r="U1781" s="42"/>
      <c r="V1781" s="42"/>
      <c r="W1781" s="42"/>
      <c r="X1781" s="81"/>
    </row>
    <row r="1782" spans="2:24" x14ac:dyDescent="0.25">
      <c r="B1782" s="2">
        <v>1</v>
      </c>
      <c r="C1782" s="1">
        <f t="shared" si="214"/>
        <v>29.88235294117635</v>
      </c>
      <c r="D1782" s="1">
        <f t="shared" si="212"/>
        <v>0</v>
      </c>
      <c r="E1782" s="1">
        <f t="shared" si="215"/>
        <v>1</v>
      </c>
      <c r="F1782" s="31">
        <f t="shared" si="213"/>
        <v>6.4</v>
      </c>
      <c r="G1782" s="31">
        <f t="shared" ca="1" si="217"/>
        <v>0</v>
      </c>
      <c r="H1782" s="30">
        <f t="shared" ca="1" si="218"/>
        <v>6.4</v>
      </c>
      <c r="I1782" s="31">
        <f t="shared" ca="1" si="219"/>
        <v>6.4</v>
      </c>
      <c r="Q1782" s="80"/>
      <c r="R1782" s="42"/>
      <c r="S1782" s="90">
        <f t="shared" si="216"/>
        <v>172.39999999999449</v>
      </c>
      <c r="T1782" s="42"/>
      <c r="U1782" s="42"/>
      <c r="V1782" s="42"/>
      <c r="W1782" s="42"/>
      <c r="X1782" s="81"/>
    </row>
    <row r="1783" spans="2:24" x14ac:dyDescent="0.25">
      <c r="B1783" s="2">
        <v>1</v>
      </c>
      <c r="C1783" s="1">
        <f t="shared" si="214"/>
        <v>30.88235294117635</v>
      </c>
      <c r="D1783" s="1">
        <f t="shared" si="212"/>
        <v>0</v>
      </c>
      <c r="E1783" s="1">
        <f t="shared" si="215"/>
        <v>1</v>
      </c>
      <c r="F1783" s="31">
        <f t="shared" si="213"/>
        <v>6.4</v>
      </c>
      <c r="G1783" s="31">
        <f t="shared" ca="1" si="217"/>
        <v>0</v>
      </c>
      <c r="H1783" s="30">
        <f t="shared" ca="1" si="218"/>
        <v>6.4</v>
      </c>
      <c r="I1783" s="31">
        <f t="shared" ca="1" si="219"/>
        <v>6.4</v>
      </c>
      <c r="Q1783" s="80"/>
      <c r="R1783" s="42"/>
      <c r="S1783" s="90">
        <f t="shared" si="216"/>
        <v>172.49999999999449</v>
      </c>
      <c r="T1783" s="42"/>
      <c r="U1783" s="42"/>
      <c r="V1783" s="42"/>
      <c r="W1783" s="42"/>
      <c r="X1783" s="81"/>
    </row>
    <row r="1784" spans="2:24" x14ac:dyDescent="0.25">
      <c r="B1784" s="2">
        <v>1</v>
      </c>
      <c r="C1784" s="1">
        <f t="shared" si="214"/>
        <v>31.88235294117635</v>
      </c>
      <c r="D1784" s="1">
        <f t="shared" si="212"/>
        <v>0</v>
      </c>
      <c r="E1784" s="1">
        <f t="shared" si="215"/>
        <v>1</v>
      </c>
      <c r="F1784" s="31">
        <f t="shared" si="213"/>
        <v>6.4</v>
      </c>
      <c r="G1784" s="31">
        <f t="shared" ca="1" si="217"/>
        <v>0</v>
      </c>
      <c r="H1784" s="30">
        <f t="shared" ca="1" si="218"/>
        <v>6.4</v>
      </c>
      <c r="I1784" s="31">
        <f t="shared" ca="1" si="219"/>
        <v>6.4</v>
      </c>
      <c r="Q1784" s="80"/>
      <c r="R1784" s="42"/>
      <c r="S1784" s="90">
        <f t="shared" si="216"/>
        <v>172.59999999999448</v>
      </c>
      <c r="T1784" s="42"/>
      <c r="U1784" s="42"/>
      <c r="V1784" s="42"/>
      <c r="W1784" s="42"/>
      <c r="X1784" s="81"/>
    </row>
    <row r="1785" spans="2:24" x14ac:dyDescent="0.25">
      <c r="B1785" s="2">
        <v>1</v>
      </c>
      <c r="C1785" s="1">
        <f t="shared" si="214"/>
        <v>32.88235294117635</v>
      </c>
      <c r="D1785" s="1">
        <f t="shared" si="212"/>
        <v>0</v>
      </c>
      <c r="E1785" s="1">
        <f t="shared" si="215"/>
        <v>1</v>
      </c>
      <c r="F1785" s="31">
        <f t="shared" si="213"/>
        <v>6.4</v>
      </c>
      <c r="G1785" s="31">
        <f t="shared" ca="1" si="217"/>
        <v>0</v>
      </c>
      <c r="H1785" s="30">
        <f t="shared" ca="1" si="218"/>
        <v>6.4</v>
      </c>
      <c r="I1785" s="31">
        <f t="shared" ca="1" si="219"/>
        <v>6.4</v>
      </c>
      <c r="Q1785" s="80"/>
      <c r="R1785" s="42"/>
      <c r="S1785" s="90">
        <f t="shared" si="216"/>
        <v>172.69999999999447</v>
      </c>
      <c r="T1785" s="42"/>
      <c r="U1785" s="42"/>
      <c r="V1785" s="42"/>
      <c r="W1785" s="42"/>
      <c r="X1785" s="81"/>
    </row>
    <row r="1786" spans="2:24" x14ac:dyDescent="0.25">
      <c r="B1786" s="2">
        <v>1</v>
      </c>
      <c r="C1786" s="1">
        <f t="shared" si="214"/>
        <v>33.88235294117635</v>
      </c>
      <c r="D1786" s="1">
        <f t="shared" ref="D1786:D1849" si="220">IF(C1786&lt;=Inhelation_Time_RT,1,0)</f>
        <v>0</v>
      </c>
      <c r="E1786" s="1">
        <f t="shared" si="215"/>
        <v>1</v>
      </c>
      <c r="F1786" s="31">
        <f t="shared" ref="F1786:F1849" si="221">(D1786*Inspiratory_pressure_level) + (E1786*PEEP)</f>
        <v>6.4</v>
      </c>
      <c r="G1786" s="31">
        <f t="shared" ca="1" si="217"/>
        <v>0</v>
      </c>
      <c r="H1786" s="30">
        <f t="shared" ca="1" si="218"/>
        <v>6.4</v>
      </c>
      <c r="I1786" s="31">
        <f t="shared" ca="1" si="219"/>
        <v>6.4</v>
      </c>
      <c r="Q1786" s="80"/>
      <c r="R1786" s="42"/>
      <c r="S1786" s="90">
        <f t="shared" si="216"/>
        <v>172.79999999999447</v>
      </c>
      <c r="T1786" s="42"/>
      <c r="U1786" s="42"/>
      <c r="V1786" s="42"/>
      <c r="W1786" s="42"/>
      <c r="X1786" s="81"/>
    </row>
    <row r="1787" spans="2:24" x14ac:dyDescent="0.25">
      <c r="B1787" s="2">
        <v>1</v>
      </c>
      <c r="C1787" s="1">
        <f t="shared" ref="C1787:C1850" si="222">MOD(C1786+B1787,time_for_breath_RT)</f>
        <v>34.88235294117635</v>
      </c>
      <c r="D1787" s="1">
        <f t="shared" si="220"/>
        <v>0</v>
      </c>
      <c r="E1787" s="1">
        <f t="shared" ref="E1787:E1850" si="223">IF(D1787=1,0,1)</f>
        <v>1</v>
      </c>
      <c r="F1787" s="31">
        <f t="shared" si="221"/>
        <v>6.4</v>
      </c>
      <c r="G1787" s="31">
        <f t="shared" ca="1" si="217"/>
        <v>0</v>
      </c>
      <c r="H1787" s="30">
        <f t="shared" ca="1" si="218"/>
        <v>6.4</v>
      </c>
      <c r="I1787" s="31">
        <f t="shared" ca="1" si="219"/>
        <v>6.4</v>
      </c>
      <c r="Q1787" s="80"/>
      <c r="R1787" s="42"/>
      <c r="S1787" s="90">
        <f t="shared" ref="S1787:S1850" si="224">S1786+(B1786 / RTC_to_seconds)</f>
        <v>172.89999999999446</v>
      </c>
      <c r="T1787" s="42"/>
      <c r="U1787" s="42"/>
      <c r="V1787" s="42"/>
      <c r="W1787" s="42"/>
      <c r="X1787" s="81"/>
    </row>
    <row r="1788" spans="2:24" x14ac:dyDescent="0.25">
      <c r="B1788" s="2">
        <v>1</v>
      </c>
      <c r="C1788" s="1">
        <f t="shared" si="222"/>
        <v>0.58823529411752418</v>
      </c>
      <c r="D1788" s="1">
        <f t="shared" si="220"/>
        <v>1</v>
      </c>
      <c r="E1788" s="1">
        <f t="shared" si="223"/>
        <v>0</v>
      </c>
      <c r="F1788" s="31">
        <f t="shared" si="221"/>
        <v>14.6</v>
      </c>
      <c r="G1788" s="31">
        <f t="shared" ca="1" si="217"/>
        <v>6.4</v>
      </c>
      <c r="H1788" s="30">
        <f t="shared" ca="1" si="218"/>
        <v>0</v>
      </c>
      <c r="I1788" s="31">
        <f t="shared" ca="1" si="219"/>
        <v>6.4</v>
      </c>
      <c r="Q1788" s="80"/>
      <c r="R1788" s="42"/>
      <c r="S1788" s="90">
        <f t="shared" si="224"/>
        <v>172.99999999999446</v>
      </c>
      <c r="T1788" s="42"/>
      <c r="U1788" s="42"/>
      <c r="V1788" s="42"/>
      <c r="W1788" s="42"/>
      <c r="X1788" s="81"/>
    </row>
    <row r="1789" spans="2:24" x14ac:dyDescent="0.25">
      <c r="B1789" s="2">
        <v>1</v>
      </c>
      <c r="C1789" s="1">
        <f t="shared" si="222"/>
        <v>1.5882352941175242</v>
      </c>
      <c r="D1789" s="1">
        <f t="shared" si="220"/>
        <v>1</v>
      </c>
      <c r="E1789" s="1">
        <f t="shared" si="223"/>
        <v>0</v>
      </c>
      <c r="F1789" s="31">
        <f t="shared" si="221"/>
        <v>14.6</v>
      </c>
      <c r="G1789" s="31">
        <f t="shared" ca="1" si="217"/>
        <v>8.4500000000000011</v>
      </c>
      <c r="H1789" s="30">
        <f t="shared" ca="1" si="218"/>
        <v>0</v>
      </c>
      <c r="I1789" s="31">
        <f t="shared" ca="1" si="219"/>
        <v>8.4500000000000011</v>
      </c>
      <c r="Q1789" s="80"/>
      <c r="R1789" s="42"/>
      <c r="S1789" s="90">
        <f t="shared" si="224"/>
        <v>173.09999999999445</v>
      </c>
      <c r="T1789" s="42"/>
      <c r="U1789" s="42"/>
      <c r="V1789" s="42"/>
      <c r="W1789" s="42"/>
      <c r="X1789" s="81"/>
    </row>
    <row r="1790" spans="2:24" x14ac:dyDescent="0.25">
      <c r="B1790" s="2">
        <v>1</v>
      </c>
      <c r="C1790" s="1">
        <f t="shared" si="222"/>
        <v>2.5882352941175242</v>
      </c>
      <c r="D1790" s="1">
        <f t="shared" si="220"/>
        <v>1</v>
      </c>
      <c r="E1790" s="1">
        <f t="shared" si="223"/>
        <v>0</v>
      </c>
      <c r="F1790" s="31">
        <f t="shared" si="221"/>
        <v>14.6</v>
      </c>
      <c r="G1790" s="31">
        <f t="shared" ca="1" si="217"/>
        <v>10.5</v>
      </c>
      <c r="H1790" s="30">
        <f t="shared" ca="1" si="218"/>
        <v>0</v>
      </c>
      <c r="I1790" s="31">
        <f t="shared" ca="1" si="219"/>
        <v>10.5</v>
      </c>
      <c r="Q1790" s="80"/>
      <c r="R1790" s="42"/>
      <c r="S1790" s="90">
        <f t="shared" si="224"/>
        <v>173.19999999999445</v>
      </c>
      <c r="T1790" s="42"/>
      <c r="U1790" s="42"/>
      <c r="V1790" s="42"/>
      <c r="W1790" s="42"/>
      <c r="X1790" s="81"/>
    </row>
    <row r="1791" spans="2:24" x14ac:dyDescent="0.25">
      <c r="B1791" s="2">
        <v>1</v>
      </c>
      <c r="C1791" s="1">
        <f t="shared" si="222"/>
        <v>3.5882352941175242</v>
      </c>
      <c r="D1791" s="1">
        <f t="shared" si="220"/>
        <v>1</v>
      </c>
      <c r="E1791" s="1">
        <f t="shared" si="223"/>
        <v>0</v>
      </c>
      <c r="F1791" s="31">
        <f t="shared" si="221"/>
        <v>14.6</v>
      </c>
      <c r="G1791" s="31">
        <f t="shared" ca="1" si="217"/>
        <v>12.55</v>
      </c>
      <c r="H1791" s="30">
        <f t="shared" ca="1" si="218"/>
        <v>0</v>
      </c>
      <c r="I1791" s="31">
        <f t="shared" ca="1" si="219"/>
        <v>12.55</v>
      </c>
      <c r="Q1791" s="80"/>
      <c r="R1791" s="42"/>
      <c r="S1791" s="90">
        <f t="shared" si="224"/>
        <v>173.29999999999444</v>
      </c>
      <c r="T1791" s="42"/>
      <c r="U1791" s="42"/>
      <c r="V1791" s="42"/>
      <c r="W1791" s="42"/>
      <c r="X1791" s="81"/>
    </row>
    <row r="1792" spans="2:24" x14ac:dyDescent="0.25">
      <c r="B1792" s="2">
        <v>1</v>
      </c>
      <c r="C1792" s="1">
        <f t="shared" si="222"/>
        <v>4.5882352941175242</v>
      </c>
      <c r="D1792" s="1">
        <f t="shared" si="220"/>
        <v>1</v>
      </c>
      <c r="E1792" s="1">
        <f t="shared" si="223"/>
        <v>0</v>
      </c>
      <c r="F1792" s="31">
        <f t="shared" si="221"/>
        <v>14.6</v>
      </c>
      <c r="G1792" s="31">
        <f t="shared" ca="1" si="217"/>
        <v>14.6</v>
      </c>
      <c r="H1792" s="30">
        <f t="shared" ca="1" si="218"/>
        <v>0</v>
      </c>
      <c r="I1792" s="31">
        <f t="shared" ca="1" si="219"/>
        <v>14.6</v>
      </c>
      <c r="Q1792" s="80"/>
      <c r="R1792" s="42"/>
      <c r="S1792" s="90">
        <f t="shared" si="224"/>
        <v>173.39999999999444</v>
      </c>
      <c r="T1792" s="42"/>
      <c r="U1792" s="42"/>
      <c r="V1792" s="42"/>
      <c r="W1792" s="42"/>
      <c r="X1792" s="81"/>
    </row>
    <row r="1793" spans="2:24" x14ac:dyDescent="0.25">
      <c r="B1793" s="2">
        <v>1</v>
      </c>
      <c r="C1793" s="1">
        <f t="shared" si="222"/>
        <v>5.5882352941175242</v>
      </c>
      <c r="D1793" s="1">
        <f t="shared" si="220"/>
        <v>1</v>
      </c>
      <c r="E1793" s="1">
        <f t="shared" si="223"/>
        <v>0</v>
      </c>
      <c r="F1793" s="31">
        <f t="shared" si="221"/>
        <v>14.6</v>
      </c>
      <c r="G1793" s="31">
        <f t="shared" ca="1" si="217"/>
        <v>14.6</v>
      </c>
      <c r="H1793" s="30">
        <f t="shared" ca="1" si="218"/>
        <v>0</v>
      </c>
      <c r="I1793" s="31">
        <f t="shared" ca="1" si="219"/>
        <v>14.6</v>
      </c>
      <c r="Q1793" s="80"/>
      <c r="R1793" s="42"/>
      <c r="S1793" s="90">
        <f t="shared" si="224"/>
        <v>173.49999999999443</v>
      </c>
      <c r="T1793" s="42"/>
      <c r="U1793" s="42"/>
      <c r="V1793" s="42"/>
      <c r="W1793" s="42"/>
      <c r="X1793" s="81"/>
    </row>
    <row r="1794" spans="2:24" x14ac:dyDescent="0.25">
      <c r="B1794" s="2">
        <v>1</v>
      </c>
      <c r="C1794" s="1">
        <f t="shared" si="222"/>
        <v>6.5882352941175242</v>
      </c>
      <c r="D1794" s="1">
        <f t="shared" si="220"/>
        <v>1</v>
      </c>
      <c r="E1794" s="1">
        <f t="shared" si="223"/>
        <v>0</v>
      </c>
      <c r="F1794" s="31">
        <f t="shared" si="221"/>
        <v>14.6</v>
      </c>
      <c r="G1794" s="31">
        <f t="shared" ca="1" si="217"/>
        <v>14.6</v>
      </c>
      <c r="H1794" s="30">
        <f t="shared" ca="1" si="218"/>
        <v>0</v>
      </c>
      <c r="I1794" s="31">
        <f t="shared" ca="1" si="219"/>
        <v>14.6</v>
      </c>
      <c r="Q1794" s="80"/>
      <c r="R1794" s="42"/>
      <c r="S1794" s="90">
        <f t="shared" si="224"/>
        <v>173.59999999999442</v>
      </c>
      <c r="T1794" s="42"/>
      <c r="U1794" s="42"/>
      <c r="V1794" s="42"/>
      <c r="W1794" s="42"/>
      <c r="X1794" s="81"/>
    </row>
    <row r="1795" spans="2:24" x14ac:dyDescent="0.25">
      <c r="B1795" s="2">
        <v>1</v>
      </c>
      <c r="C1795" s="1">
        <f t="shared" si="222"/>
        <v>7.5882352941175242</v>
      </c>
      <c r="D1795" s="1">
        <f t="shared" si="220"/>
        <v>1</v>
      </c>
      <c r="E1795" s="1">
        <f t="shared" si="223"/>
        <v>0</v>
      </c>
      <c r="F1795" s="31">
        <f t="shared" si="221"/>
        <v>14.6</v>
      </c>
      <c r="G1795" s="31">
        <f t="shared" ca="1" si="217"/>
        <v>14.6</v>
      </c>
      <c r="H1795" s="30">
        <f t="shared" ca="1" si="218"/>
        <v>0</v>
      </c>
      <c r="I1795" s="31">
        <f t="shared" ca="1" si="219"/>
        <v>14.6</v>
      </c>
      <c r="Q1795" s="80"/>
      <c r="R1795" s="42"/>
      <c r="S1795" s="90">
        <f t="shared" si="224"/>
        <v>173.69999999999442</v>
      </c>
      <c r="T1795" s="42"/>
      <c r="U1795" s="42"/>
      <c r="V1795" s="42"/>
      <c r="W1795" s="42"/>
      <c r="X1795" s="81"/>
    </row>
    <row r="1796" spans="2:24" x14ac:dyDescent="0.25">
      <c r="B1796" s="2">
        <v>1</v>
      </c>
      <c r="C1796" s="1">
        <f t="shared" si="222"/>
        <v>8.5882352941175242</v>
      </c>
      <c r="D1796" s="1">
        <f t="shared" si="220"/>
        <v>1</v>
      </c>
      <c r="E1796" s="1">
        <f t="shared" si="223"/>
        <v>0</v>
      </c>
      <c r="F1796" s="31">
        <f t="shared" si="221"/>
        <v>14.6</v>
      </c>
      <c r="G1796" s="31">
        <f t="shared" ca="1" si="217"/>
        <v>14.6</v>
      </c>
      <c r="H1796" s="30">
        <f t="shared" ca="1" si="218"/>
        <v>0</v>
      </c>
      <c r="I1796" s="31">
        <f t="shared" ca="1" si="219"/>
        <v>14.6</v>
      </c>
      <c r="Q1796" s="80"/>
      <c r="R1796" s="42"/>
      <c r="S1796" s="90">
        <f t="shared" si="224"/>
        <v>173.79999999999441</v>
      </c>
      <c r="T1796" s="42"/>
      <c r="U1796" s="42"/>
      <c r="V1796" s="42"/>
      <c r="W1796" s="42"/>
      <c r="X1796" s="81"/>
    </row>
    <row r="1797" spans="2:24" x14ac:dyDescent="0.25">
      <c r="B1797" s="2">
        <v>1</v>
      </c>
      <c r="C1797" s="1">
        <f t="shared" si="222"/>
        <v>9.5882352941175242</v>
      </c>
      <c r="D1797" s="1">
        <f t="shared" si="220"/>
        <v>1</v>
      </c>
      <c r="E1797" s="1">
        <f t="shared" si="223"/>
        <v>0</v>
      </c>
      <c r="F1797" s="31">
        <f t="shared" si="221"/>
        <v>14.6</v>
      </c>
      <c r="G1797" s="31">
        <f t="shared" ca="1" si="217"/>
        <v>14.6</v>
      </c>
      <c r="H1797" s="30">
        <f t="shared" ca="1" si="218"/>
        <v>0</v>
      </c>
      <c r="I1797" s="31">
        <f t="shared" ca="1" si="219"/>
        <v>14.6</v>
      </c>
      <c r="Q1797" s="80"/>
      <c r="R1797" s="42"/>
      <c r="S1797" s="90">
        <f t="shared" si="224"/>
        <v>173.89999999999441</v>
      </c>
      <c r="T1797" s="42"/>
      <c r="U1797" s="42"/>
      <c r="V1797" s="42"/>
      <c r="W1797" s="42"/>
      <c r="X1797" s="81"/>
    </row>
    <row r="1798" spans="2:24" x14ac:dyDescent="0.25">
      <c r="B1798" s="2">
        <v>1</v>
      </c>
      <c r="C1798" s="1">
        <f t="shared" si="222"/>
        <v>10.588235294117524</v>
      </c>
      <c r="D1798" s="1">
        <f t="shared" si="220"/>
        <v>1</v>
      </c>
      <c r="E1798" s="1">
        <f t="shared" si="223"/>
        <v>0</v>
      </c>
      <c r="F1798" s="31">
        <f t="shared" si="221"/>
        <v>14.6</v>
      </c>
      <c r="G1798" s="31">
        <f t="shared" ca="1" si="217"/>
        <v>14.6</v>
      </c>
      <c r="H1798" s="30">
        <f t="shared" ca="1" si="218"/>
        <v>0</v>
      </c>
      <c r="I1798" s="31">
        <f t="shared" ca="1" si="219"/>
        <v>14.6</v>
      </c>
      <c r="Q1798" s="80"/>
      <c r="R1798" s="42"/>
      <c r="S1798" s="90">
        <f t="shared" si="224"/>
        <v>173.9999999999944</v>
      </c>
      <c r="T1798" s="42"/>
      <c r="U1798" s="42"/>
      <c r="V1798" s="42"/>
      <c r="W1798" s="42"/>
      <c r="X1798" s="81"/>
    </row>
    <row r="1799" spans="2:24" x14ac:dyDescent="0.25">
      <c r="B1799" s="2">
        <v>1</v>
      </c>
      <c r="C1799" s="1">
        <f t="shared" si="222"/>
        <v>11.588235294117524</v>
      </c>
      <c r="D1799" s="1">
        <f t="shared" si="220"/>
        <v>1</v>
      </c>
      <c r="E1799" s="1">
        <f t="shared" si="223"/>
        <v>0</v>
      </c>
      <c r="F1799" s="31">
        <f t="shared" si="221"/>
        <v>14.6</v>
      </c>
      <c r="G1799" s="31">
        <f t="shared" ca="1" si="217"/>
        <v>14.6</v>
      </c>
      <c r="H1799" s="30">
        <f t="shared" ca="1" si="218"/>
        <v>0</v>
      </c>
      <c r="I1799" s="31">
        <f t="shared" ca="1" si="219"/>
        <v>14.6</v>
      </c>
      <c r="Q1799" s="80"/>
      <c r="R1799" s="42"/>
      <c r="S1799" s="90">
        <f t="shared" si="224"/>
        <v>174.0999999999944</v>
      </c>
      <c r="T1799" s="42"/>
      <c r="U1799" s="42"/>
      <c r="V1799" s="42"/>
      <c r="W1799" s="42"/>
      <c r="X1799" s="81"/>
    </row>
    <row r="1800" spans="2:24" x14ac:dyDescent="0.25">
      <c r="B1800" s="2">
        <v>1</v>
      </c>
      <c r="C1800" s="1">
        <f t="shared" si="222"/>
        <v>12.588235294117524</v>
      </c>
      <c r="D1800" s="1">
        <f t="shared" si="220"/>
        <v>1</v>
      </c>
      <c r="E1800" s="1">
        <f t="shared" si="223"/>
        <v>0</v>
      </c>
      <c r="F1800" s="31">
        <f t="shared" si="221"/>
        <v>14.6</v>
      </c>
      <c r="G1800" s="31">
        <f t="shared" ca="1" si="217"/>
        <v>14.6</v>
      </c>
      <c r="H1800" s="30">
        <f t="shared" ca="1" si="218"/>
        <v>0</v>
      </c>
      <c r="I1800" s="31">
        <f t="shared" ca="1" si="219"/>
        <v>14.6</v>
      </c>
      <c r="Q1800" s="80"/>
      <c r="R1800" s="42"/>
      <c r="S1800" s="90">
        <f t="shared" si="224"/>
        <v>174.19999999999439</v>
      </c>
      <c r="T1800" s="42"/>
      <c r="U1800" s="42"/>
      <c r="V1800" s="42"/>
      <c r="W1800" s="42"/>
      <c r="X1800" s="81"/>
    </row>
    <row r="1801" spans="2:24" x14ac:dyDescent="0.25">
      <c r="B1801" s="2">
        <v>1</v>
      </c>
      <c r="C1801" s="1">
        <f t="shared" si="222"/>
        <v>13.588235294117524</v>
      </c>
      <c r="D1801" s="1">
        <f t="shared" si="220"/>
        <v>1</v>
      </c>
      <c r="E1801" s="1">
        <f t="shared" si="223"/>
        <v>0</v>
      </c>
      <c r="F1801" s="31">
        <f t="shared" si="221"/>
        <v>14.6</v>
      </c>
      <c r="G1801" s="31">
        <f t="shared" ca="1" si="217"/>
        <v>14.6</v>
      </c>
      <c r="H1801" s="30">
        <f t="shared" ca="1" si="218"/>
        <v>0</v>
      </c>
      <c r="I1801" s="31">
        <f t="shared" ca="1" si="219"/>
        <v>14.6</v>
      </c>
      <c r="Q1801" s="80"/>
      <c r="R1801" s="42"/>
      <c r="S1801" s="90">
        <f t="shared" si="224"/>
        <v>174.29999999999438</v>
      </c>
      <c r="T1801" s="42"/>
      <c r="U1801" s="42"/>
      <c r="V1801" s="42"/>
      <c r="W1801" s="42"/>
      <c r="X1801" s="81"/>
    </row>
    <row r="1802" spans="2:24" x14ac:dyDescent="0.25">
      <c r="B1802" s="2">
        <v>1</v>
      </c>
      <c r="C1802" s="1">
        <f t="shared" si="222"/>
        <v>14.588235294117524</v>
      </c>
      <c r="D1802" s="1">
        <f t="shared" si="220"/>
        <v>1</v>
      </c>
      <c r="E1802" s="1">
        <f t="shared" si="223"/>
        <v>0</v>
      </c>
      <c r="F1802" s="31">
        <f t="shared" si="221"/>
        <v>14.6</v>
      </c>
      <c r="G1802" s="31">
        <f t="shared" ca="1" si="217"/>
        <v>14.6</v>
      </c>
      <c r="H1802" s="30">
        <f t="shared" ca="1" si="218"/>
        <v>0</v>
      </c>
      <c r="I1802" s="31">
        <f t="shared" ca="1" si="219"/>
        <v>14.6</v>
      </c>
      <c r="Q1802" s="80"/>
      <c r="R1802" s="42"/>
      <c r="S1802" s="90">
        <f t="shared" si="224"/>
        <v>174.39999999999438</v>
      </c>
      <c r="T1802" s="42"/>
      <c r="U1802" s="42"/>
      <c r="V1802" s="42"/>
      <c r="W1802" s="42"/>
      <c r="X1802" s="81"/>
    </row>
    <row r="1803" spans="2:24" x14ac:dyDescent="0.25">
      <c r="B1803" s="2">
        <v>1</v>
      </c>
      <c r="C1803" s="1">
        <f t="shared" si="222"/>
        <v>15.588235294117524</v>
      </c>
      <c r="D1803" s="1">
        <f t="shared" si="220"/>
        <v>1</v>
      </c>
      <c r="E1803" s="1">
        <f t="shared" si="223"/>
        <v>0</v>
      </c>
      <c r="F1803" s="31">
        <f t="shared" si="221"/>
        <v>14.6</v>
      </c>
      <c r="G1803" s="31">
        <f t="shared" ref="G1803:G1866" ca="1" si="225">IF(D1803=1, AVERAGE(OFFSET(F1803,-$L$27,0,$L$27,1)),0)</f>
        <v>14.6</v>
      </c>
      <c r="H1803" s="30">
        <f t="shared" ref="H1803:H1866" ca="1" si="226">IF(D1803=0, AVERAGE(OFFSET(F1803,-$L$28,0,$L$28,1)),0)</f>
        <v>0</v>
      </c>
      <c r="I1803" s="31">
        <f t="shared" ref="I1803:I1866" ca="1" si="227">G1803+H1803</f>
        <v>14.6</v>
      </c>
      <c r="Q1803" s="80"/>
      <c r="R1803" s="42"/>
      <c r="S1803" s="90">
        <f t="shared" si="224"/>
        <v>174.49999999999437</v>
      </c>
      <c r="T1803" s="42"/>
      <c r="U1803" s="42"/>
      <c r="V1803" s="42"/>
      <c r="W1803" s="42"/>
      <c r="X1803" s="81"/>
    </row>
    <row r="1804" spans="2:24" x14ac:dyDescent="0.25">
      <c r="B1804" s="2">
        <v>1</v>
      </c>
      <c r="C1804" s="1">
        <f t="shared" si="222"/>
        <v>16.588235294117524</v>
      </c>
      <c r="D1804" s="1">
        <f t="shared" si="220"/>
        <v>1</v>
      </c>
      <c r="E1804" s="1">
        <f t="shared" si="223"/>
        <v>0</v>
      </c>
      <c r="F1804" s="31">
        <f t="shared" si="221"/>
        <v>14.6</v>
      </c>
      <c r="G1804" s="31">
        <f t="shared" ca="1" si="225"/>
        <v>14.6</v>
      </c>
      <c r="H1804" s="30">
        <f t="shared" ca="1" si="226"/>
        <v>0</v>
      </c>
      <c r="I1804" s="31">
        <f t="shared" ca="1" si="227"/>
        <v>14.6</v>
      </c>
      <c r="Q1804" s="80"/>
      <c r="R1804" s="42"/>
      <c r="S1804" s="90">
        <f t="shared" si="224"/>
        <v>174.59999999999437</v>
      </c>
      <c r="T1804" s="42"/>
      <c r="U1804" s="42"/>
      <c r="V1804" s="42"/>
      <c r="W1804" s="42"/>
      <c r="X1804" s="81"/>
    </row>
    <row r="1805" spans="2:24" x14ac:dyDescent="0.25">
      <c r="B1805" s="2">
        <v>1</v>
      </c>
      <c r="C1805" s="1">
        <f t="shared" si="222"/>
        <v>17.588235294117524</v>
      </c>
      <c r="D1805" s="1">
        <f t="shared" si="220"/>
        <v>1</v>
      </c>
      <c r="E1805" s="1">
        <f t="shared" si="223"/>
        <v>0</v>
      </c>
      <c r="F1805" s="31">
        <f t="shared" si="221"/>
        <v>14.6</v>
      </c>
      <c r="G1805" s="31">
        <f t="shared" ca="1" si="225"/>
        <v>14.6</v>
      </c>
      <c r="H1805" s="30">
        <f t="shared" ca="1" si="226"/>
        <v>0</v>
      </c>
      <c r="I1805" s="31">
        <f t="shared" ca="1" si="227"/>
        <v>14.6</v>
      </c>
      <c r="Q1805" s="80"/>
      <c r="R1805" s="42"/>
      <c r="S1805" s="90">
        <f t="shared" si="224"/>
        <v>174.69999999999436</v>
      </c>
      <c r="T1805" s="42"/>
      <c r="U1805" s="42"/>
      <c r="V1805" s="42"/>
      <c r="W1805" s="42"/>
      <c r="X1805" s="81"/>
    </row>
    <row r="1806" spans="2:24" x14ac:dyDescent="0.25">
      <c r="B1806" s="2">
        <v>1</v>
      </c>
      <c r="C1806" s="1">
        <f t="shared" si="222"/>
        <v>18.588235294117524</v>
      </c>
      <c r="D1806" s="1">
        <f t="shared" si="220"/>
        <v>1</v>
      </c>
      <c r="E1806" s="1">
        <f t="shared" si="223"/>
        <v>0</v>
      </c>
      <c r="F1806" s="31">
        <f t="shared" si="221"/>
        <v>14.6</v>
      </c>
      <c r="G1806" s="31">
        <f t="shared" ca="1" si="225"/>
        <v>14.6</v>
      </c>
      <c r="H1806" s="30">
        <f t="shared" ca="1" si="226"/>
        <v>0</v>
      </c>
      <c r="I1806" s="31">
        <f t="shared" ca="1" si="227"/>
        <v>14.6</v>
      </c>
      <c r="Q1806" s="80"/>
      <c r="R1806" s="42"/>
      <c r="S1806" s="90">
        <f t="shared" si="224"/>
        <v>174.79999999999436</v>
      </c>
      <c r="T1806" s="42"/>
      <c r="U1806" s="42"/>
      <c r="V1806" s="42"/>
      <c r="W1806" s="42"/>
      <c r="X1806" s="81"/>
    </row>
    <row r="1807" spans="2:24" x14ac:dyDescent="0.25">
      <c r="B1807" s="2">
        <v>1</v>
      </c>
      <c r="C1807" s="1">
        <f t="shared" si="222"/>
        <v>19.588235294117524</v>
      </c>
      <c r="D1807" s="1">
        <f t="shared" si="220"/>
        <v>1</v>
      </c>
      <c r="E1807" s="1">
        <f t="shared" si="223"/>
        <v>0</v>
      </c>
      <c r="F1807" s="31">
        <f t="shared" si="221"/>
        <v>14.6</v>
      </c>
      <c r="G1807" s="31">
        <f t="shared" ca="1" si="225"/>
        <v>14.6</v>
      </c>
      <c r="H1807" s="30">
        <f t="shared" ca="1" si="226"/>
        <v>0</v>
      </c>
      <c r="I1807" s="31">
        <f t="shared" ca="1" si="227"/>
        <v>14.6</v>
      </c>
      <c r="Q1807" s="80"/>
      <c r="R1807" s="42"/>
      <c r="S1807" s="90">
        <f t="shared" si="224"/>
        <v>174.89999999999435</v>
      </c>
      <c r="T1807" s="42"/>
      <c r="U1807" s="42"/>
      <c r="V1807" s="42"/>
      <c r="W1807" s="42"/>
      <c r="X1807" s="81"/>
    </row>
    <row r="1808" spans="2:24" x14ac:dyDescent="0.25">
      <c r="B1808" s="2">
        <v>1</v>
      </c>
      <c r="C1808" s="1">
        <f t="shared" si="222"/>
        <v>20.588235294117524</v>
      </c>
      <c r="D1808" s="1">
        <f t="shared" si="220"/>
        <v>1</v>
      </c>
      <c r="E1808" s="1">
        <f t="shared" si="223"/>
        <v>0</v>
      </c>
      <c r="F1808" s="31">
        <f t="shared" si="221"/>
        <v>14.6</v>
      </c>
      <c r="G1808" s="31">
        <f t="shared" ca="1" si="225"/>
        <v>14.6</v>
      </c>
      <c r="H1808" s="30">
        <f t="shared" ca="1" si="226"/>
        <v>0</v>
      </c>
      <c r="I1808" s="31">
        <f t="shared" ca="1" si="227"/>
        <v>14.6</v>
      </c>
      <c r="Q1808" s="80"/>
      <c r="R1808" s="42"/>
      <c r="S1808" s="90">
        <f t="shared" si="224"/>
        <v>174.99999999999434</v>
      </c>
      <c r="T1808" s="42"/>
      <c r="U1808" s="42"/>
      <c r="V1808" s="42"/>
      <c r="W1808" s="42"/>
      <c r="X1808" s="81"/>
    </row>
    <row r="1809" spans="2:24" x14ac:dyDescent="0.25">
      <c r="B1809" s="2">
        <v>1</v>
      </c>
      <c r="C1809" s="1">
        <f t="shared" si="222"/>
        <v>21.588235294117524</v>
      </c>
      <c r="D1809" s="1">
        <f t="shared" si="220"/>
        <v>1</v>
      </c>
      <c r="E1809" s="1">
        <f t="shared" si="223"/>
        <v>0</v>
      </c>
      <c r="F1809" s="31">
        <f t="shared" si="221"/>
        <v>14.6</v>
      </c>
      <c r="G1809" s="31">
        <f t="shared" ca="1" si="225"/>
        <v>14.6</v>
      </c>
      <c r="H1809" s="30">
        <f t="shared" ca="1" si="226"/>
        <v>0</v>
      </c>
      <c r="I1809" s="31">
        <f t="shared" ca="1" si="227"/>
        <v>14.6</v>
      </c>
      <c r="Q1809" s="80"/>
      <c r="R1809" s="42"/>
      <c r="S1809" s="90">
        <f t="shared" si="224"/>
        <v>175.09999999999434</v>
      </c>
      <c r="T1809" s="42"/>
      <c r="U1809" s="42"/>
      <c r="V1809" s="42"/>
      <c r="W1809" s="42"/>
      <c r="X1809" s="81"/>
    </row>
    <row r="1810" spans="2:24" x14ac:dyDescent="0.25">
      <c r="B1810" s="2">
        <v>1</v>
      </c>
      <c r="C1810" s="1">
        <f t="shared" si="222"/>
        <v>22.588235294117524</v>
      </c>
      <c r="D1810" s="1">
        <f t="shared" si="220"/>
        <v>1</v>
      </c>
      <c r="E1810" s="1">
        <f t="shared" si="223"/>
        <v>0</v>
      </c>
      <c r="F1810" s="31">
        <f t="shared" si="221"/>
        <v>14.6</v>
      </c>
      <c r="G1810" s="31">
        <f t="shared" ca="1" si="225"/>
        <v>14.6</v>
      </c>
      <c r="H1810" s="30">
        <f t="shared" ca="1" si="226"/>
        <v>0</v>
      </c>
      <c r="I1810" s="31">
        <f t="shared" ca="1" si="227"/>
        <v>14.6</v>
      </c>
      <c r="Q1810" s="80"/>
      <c r="R1810" s="42"/>
      <c r="S1810" s="90">
        <f t="shared" si="224"/>
        <v>175.19999999999433</v>
      </c>
      <c r="T1810" s="42"/>
      <c r="U1810" s="42"/>
      <c r="V1810" s="42"/>
      <c r="W1810" s="42"/>
      <c r="X1810" s="81"/>
    </row>
    <row r="1811" spans="2:24" x14ac:dyDescent="0.25">
      <c r="B1811" s="2">
        <v>1</v>
      </c>
      <c r="C1811" s="1">
        <f t="shared" si="222"/>
        <v>23.588235294117524</v>
      </c>
      <c r="D1811" s="1">
        <f t="shared" si="220"/>
        <v>0</v>
      </c>
      <c r="E1811" s="1">
        <f t="shared" si="223"/>
        <v>1</v>
      </c>
      <c r="F1811" s="31">
        <f t="shared" si="221"/>
        <v>6.4</v>
      </c>
      <c r="G1811" s="31">
        <f t="shared" ca="1" si="225"/>
        <v>0</v>
      </c>
      <c r="H1811" s="30">
        <f t="shared" ca="1" si="226"/>
        <v>14.6</v>
      </c>
      <c r="I1811" s="31">
        <f t="shared" ca="1" si="227"/>
        <v>14.6</v>
      </c>
      <c r="Q1811" s="80"/>
      <c r="R1811" s="42"/>
      <c r="S1811" s="90">
        <f t="shared" si="224"/>
        <v>175.29999999999433</v>
      </c>
      <c r="T1811" s="42"/>
      <c r="U1811" s="42"/>
      <c r="V1811" s="42"/>
      <c r="W1811" s="42"/>
      <c r="X1811" s="81"/>
    </row>
    <row r="1812" spans="2:24" x14ac:dyDescent="0.25">
      <c r="B1812" s="2">
        <v>1</v>
      </c>
      <c r="C1812" s="1">
        <f t="shared" si="222"/>
        <v>24.588235294117524</v>
      </c>
      <c r="D1812" s="1">
        <f t="shared" si="220"/>
        <v>0</v>
      </c>
      <c r="E1812" s="1">
        <f t="shared" si="223"/>
        <v>1</v>
      </c>
      <c r="F1812" s="31">
        <f t="shared" si="221"/>
        <v>6.4</v>
      </c>
      <c r="G1812" s="31">
        <f t="shared" ca="1" si="225"/>
        <v>0</v>
      </c>
      <c r="H1812" s="30">
        <f t="shared" ca="1" si="226"/>
        <v>6.4</v>
      </c>
      <c r="I1812" s="31">
        <f t="shared" ca="1" si="227"/>
        <v>6.4</v>
      </c>
      <c r="Q1812" s="80"/>
      <c r="R1812" s="42"/>
      <c r="S1812" s="90">
        <f t="shared" si="224"/>
        <v>175.39999999999432</v>
      </c>
      <c r="T1812" s="42"/>
      <c r="U1812" s="42"/>
      <c r="V1812" s="42"/>
      <c r="W1812" s="42"/>
      <c r="X1812" s="81"/>
    </row>
    <row r="1813" spans="2:24" x14ac:dyDescent="0.25">
      <c r="B1813" s="2">
        <v>1</v>
      </c>
      <c r="C1813" s="1">
        <f t="shared" si="222"/>
        <v>25.588235294117524</v>
      </c>
      <c r="D1813" s="1">
        <f t="shared" si="220"/>
        <v>0</v>
      </c>
      <c r="E1813" s="1">
        <f t="shared" si="223"/>
        <v>1</v>
      </c>
      <c r="F1813" s="31">
        <f t="shared" si="221"/>
        <v>6.4</v>
      </c>
      <c r="G1813" s="31">
        <f t="shared" ca="1" si="225"/>
        <v>0</v>
      </c>
      <c r="H1813" s="30">
        <f t="shared" ca="1" si="226"/>
        <v>6.4</v>
      </c>
      <c r="I1813" s="31">
        <f t="shared" ca="1" si="227"/>
        <v>6.4</v>
      </c>
      <c r="Q1813" s="80"/>
      <c r="R1813" s="42"/>
      <c r="S1813" s="90">
        <f t="shared" si="224"/>
        <v>175.49999999999432</v>
      </c>
      <c r="T1813" s="42"/>
      <c r="U1813" s="42"/>
      <c r="V1813" s="42"/>
      <c r="W1813" s="42"/>
      <c r="X1813" s="81"/>
    </row>
    <row r="1814" spans="2:24" x14ac:dyDescent="0.25">
      <c r="B1814" s="2">
        <v>1</v>
      </c>
      <c r="C1814" s="1">
        <f t="shared" si="222"/>
        <v>26.588235294117524</v>
      </c>
      <c r="D1814" s="1">
        <f t="shared" si="220"/>
        <v>0</v>
      </c>
      <c r="E1814" s="1">
        <f t="shared" si="223"/>
        <v>1</v>
      </c>
      <c r="F1814" s="31">
        <f t="shared" si="221"/>
        <v>6.4</v>
      </c>
      <c r="G1814" s="31">
        <f t="shared" ca="1" si="225"/>
        <v>0</v>
      </c>
      <c r="H1814" s="30">
        <f t="shared" ca="1" si="226"/>
        <v>6.4</v>
      </c>
      <c r="I1814" s="31">
        <f t="shared" ca="1" si="227"/>
        <v>6.4</v>
      </c>
      <c r="Q1814" s="80"/>
      <c r="R1814" s="42"/>
      <c r="S1814" s="90">
        <f t="shared" si="224"/>
        <v>175.59999999999431</v>
      </c>
      <c r="T1814" s="42"/>
      <c r="U1814" s="42"/>
      <c r="V1814" s="42"/>
      <c r="W1814" s="42"/>
      <c r="X1814" s="81"/>
    </row>
    <row r="1815" spans="2:24" x14ac:dyDescent="0.25">
      <c r="B1815" s="2">
        <v>1</v>
      </c>
      <c r="C1815" s="1">
        <f t="shared" si="222"/>
        <v>27.588235294117524</v>
      </c>
      <c r="D1815" s="1">
        <f t="shared" si="220"/>
        <v>0</v>
      </c>
      <c r="E1815" s="1">
        <f t="shared" si="223"/>
        <v>1</v>
      </c>
      <c r="F1815" s="31">
        <f t="shared" si="221"/>
        <v>6.4</v>
      </c>
      <c r="G1815" s="31">
        <f t="shared" ca="1" si="225"/>
        <v>0</v>
      </c>
      <c r="H1815" s="30">
        <f t="shared" ca="1" si="226"/>
        <v>6.4</v>
      </c>
      <c r="I1815" s="31">
        <f t="shared" ca="1" si="227"/>
        <v>6.4</v>
      </c>
      <c r="Q1815" s="80"/>
      <c r="R1815" s="42"/>
      <c r="S1815" s="90">
        <f t="shared" si="224"/>
        <v>175.6999999999943</v>
      </c>
      <c r="T1815" s="42"/>
      <c r="U1815" s="42"/>
      <c r="V1815" s="42"/>
      <c r="W1815" s="42"/>
      <c r="X1815" s="81"/>
    </row>
    <row r="1816" spans="2:24" x14ac:dyDescent="0.25">
      <c r="B1816" s="2">
        <v>1</v>
      </c>
      <c r="C1816" s="1">
        <f t="shared" si="222"/>
        <v>28.588235294117524</v>
      </c>
      <c r="D1816" s="1">
        <f t="shared" si="220"/>
        <v>0</v>
      </c>
      <c r="E1816" s="1">
        <f t="shared" si="223"/>
        <v>1</v>
      </c>
      <c r="F1816" s="31">
        <f t="shared" si="221"/>
        <v>6.4</v>
      </c>
      <c r="G1816" s="31">
        <f t="shared" ca="1" si="225"/>
        <v>0</v>
      </c>
      <c r="H1816" s="30">
        <f t="shared" ca="1" si="226"/>
        <v>6.4</v>
      </c>
      <c r="I1816" s="31">
        <f t="shared" ca="1" si="227"/>
        <v>6.4</v>
      </c>
      <c r="Q1816" s="80"/>
      <c r="R1816" s="42"/>
      <c r="S1816" s="90">
        <f t="shared" si="224"/>
        <v>175.7999999999943</v>
      </c>
      <c r="T1816" s="42"/>
      <c r="U1816" s="42"/>
      <c r="V1816" s="42"/>
      <c r="W1816" s="42"/>
      <c r="X1816" s="81"/>
    </row>
    <row r="1817" spans="2:24" x14ac:dyDescent="0.25">
      <c r="B1817" s="2">
        <v>1</v>
      </c>
      <c r="C1817" s="1">
        <f t="shared" si="222"/>
        <v>29.588235294117524</v>
      </c>
      <c r="D1817" s="1">
        <f t="shared" si="220"/>
        <v>0</v>
      </c>
      <c r="E1817" s="1">
        <f t="shared" si="223"/>
        <v>1</v>
      </c>
      <c r="F1817" s="31">
        <f t="shared" si="221"/>
        <v>6.4</v>
      </c>
      <c r="G1817" s="31">
        <f t="shared" ca="1" si="225"/>
        <v>0</v>
      </c>
      <c r="H1817" s="30">
        <f t="shared" ca="1" si="226"/>
        <v>6.4</v>
      </c>
      <c r="I1817" s="31">
        <f t="shared" ca="1" si="227"/>
        <v>6.4</v>
      </c>
      <c r="Q1817" s="80"/>
      <c r="R1817" s="42"/>
      <c r="S1817" s="90">
        <f t="shared" si="224"/>
        <v>175.89999999999429</v>
      </c>
      <c r="T1817" s="42"/>
      <c r="U1817" s="42"/>
      <c r="V1817" s="42"/>
      <c r="W1817" s="42"/>
      <c r="X1817" s="81"/>
    </row>
    <row r="1818" spans="2:24" x14ac:dyDescent="0.25">
      <c r="B1818" s="2">
        <v>1</v>
      </c>
      <c r="C1818" s="1">
        <f t="shared" si="222"/>
        <v>30.588235294117524</v>
      </c>
      <c r="D1818" s="1">
        <f t="shared" si="220"/>
        <v>0</v>
      </c>
      <c r="E1818" s="1">
        <f t="shared" si="223"/>
        <v>1</v>
      </c>
      <c r="F1818" s="31">
        <f t="shared" si="221"/>
        <v>6.4</v>
      </c>
      <c r="G1818" s="31">
        <f t="shared" ca="1" si="225"/>
        <v>0</v>
      </c>
      <c r="H1818" s="30">
        <f t="shared" ca="1" si="226"/>
        <v>6.4</v>
      </c>
      <c r="I1818" s="31">
        <f t="shared" ca="1" si="227"/>
        <v>6.4</v>
      </c>
      <c r="Q1818" s="80"/>
      <c r="R1818" s="42"/>
      <c r="S1818" s="90">
        <f t="shared" si="224"/>
        <v>175.99999999999429</v>
      </c>
      <c r="T1818" s="42"/>
      <c r="U1818" s="42"/>
      <c r="V1818" s="42"/>
      <c r="W1818" s="42"/>
      <c r="X1818" s="81"/>
    </row>
    <row r="1819" spans="2:24" x14ac:dyDescent="0.25">
      <c r="B1819" s="2">
        <v>1</v>
      </c>
      <c r="C1819" s="1">
        <f t="shared" si="222"/>
        <v>31.588235294117524</v>
      </c>
      <c r="D1819" s="1">
        <f t="shared" si="220"/>
        <v>0</v>
      </c>
      <c r="E1819" s="1">
        <f t="shared" si="223"/>
        <v>1</v>
      </c>
      <c r="F1819" s="31">
        <f t="shared" si="221"/>
        <v>6.4</v>
      </c>
      <c r="G1819" s="31">
        <f t="shared" ca="1" si="225"/>
        <v>0</v>
      </c>
      <c r="H1819" s="30">
        <f t="shared" ca="1" si="226"/>
        <v>6.4</v>
      </c>
      <c r="I1819" s="31">
        <f t="shared" ca="1" si="227"/>
        <v>6.4</v>
      </c>
      <c r="Q1819" s="80"/>
      <c r="R1819" s="42"/>
      <c r="S1819" s="90">
        <f t="shared" si="224"/>
        <v>176.09999999999428</v>
      </c>
      <c r="T1819" s="42"/>
      <c r="U1819" s="42"/>
      <c r="V1819" s="42"/>
      <c r="W1819" s="42"/>
      <c r="X1819" s="81"/>
    </row>
    <row r="1820" spans="2:24" x14ac:dyDescent="0.25">
      <c r="B1820" s="2">
        <v>1</v>
      </c>
      <c r="C1820" s="1">
        <f t="shared" si="222"/>
        <v>32.588235294117524</v>
      </c>
      <c r="D1820" s="1">
        <f t="shared" si="220"/>
        <v>0</v>
      </c>
      <c r="E1820" s="1">
        <f t="shared" si="223"/>
        <v>1</v>
      </c>
      <c r="F1820" s="31">
        <f t="shared" si="221"/>
        <v>6.4</v>
      </c>
      <c r="G1820" s="31">
        <f t="shared" ca="1" si="225"/>
        <v>0</v>
      </c>
      <c r="H1820" s="30">
        <f t="shared" ca="1" si="226"/>
        <v>6.4</v>
      </c>
      <c r="I1820" s="31">
        <f t="shared" ca="1" si="227"/>
        <v>6.4</v>
      </c>
      <c r="Q1820" s="80"/>
      <c r="R1820" s="42"/>
      <c r="S1820" s="90">
        <f t="shared" si="224"/>
        <v>176.19999999999428</v>
      </c>
      <c r="T1820" s="42"/>
      <c r="U1820" s="42"/>
      <c r="V1820" s="42"/>
      <c r="W1820" s="42"/>
      <c r="X1820" s="81"/>
    </row>
    <row r="1821" spans="2:24" x14ac:dyDescent="0.25">
      <c r="B1821" s="2">
        <v>1</v>
      </c>
      <c r="C1821" s="1">
        <f t="shared" si="222"/>
        <v>33.588235294117524</v>
      </c>
      <c r="D1821" s="1">
        <f t="shared" si="220"/>
        <v>0</v>
      </c>
      <c r="E1821" s="1">
        <f t="shared" si="223"/>
        <v>1</v>
      </c>
      <c r="F1821" s="31">
        <f t="shared" si="221"/>
        <v>6.4</v>
      </c>
      <c r="G1821" s="31">
        <f t="shared" ca="1" si="225"/>
        <v>0</v>
      </c>
      <c r="H1821" s="30">
        <f t="shared" ca="1" si="226"/>
        <v>6.4</v>
      </c>
      <c r="I1821" s="31">
        <f t="shared" ca="1" si="227"/>
        <v>6.4</v>
      </c>
      <c r="Q1821" s="80"/>
      <c r="R1821" s="42"/>
      <c r="S1821" s="90">
        <f t="shared" si="224"/>
        <v>176.29999999999427</v>
      </c>
      <c r="T1821" s="42"/>
      <c r="U1821" s="42"/>
      <c r="V1821" s="42"/>
      <c r="W1821" s="42"/>
      <c r="X1821" s="81"/>
    </row>
    <row r="1822" spans="2:24" x14ac:dyDescent="0.25">
      <c r="B1822" s="2">
        <v>1</v>
      </c>
      <c r="C1822" s="1">
        <f t="shared" si="222"/>
        <v>34.588235294117524</v>
      </c>
      <c r="D1822" s="1">
        <f t="shared" si="220"/>
        <v>0</v>
      </c>
      <c r="E1822" s="1">
        <f t="shared" si="223"/>
        <v>1</v>
      </c>
      <c r="F1822" s="31">
        <f t="shared" si="221"/>
        <v>6.4</v>
      </c>
      <c r="G1822" s="31">
        <f t="shared" ca="1" si="225"/>
        <v>0</v>
      </c>
      <c r="H1822" s="30">
        <f t="shared" ca="1" si="226"/>
        <v>6.4</v>
      </c>
      <c r="I1822" s="31">
        <f t="shared" ca="1" si="227"/>
        <v>6.4</v>
      </c>
      <c r="Q1822" s="80"/>
      <c r="R1822" s="42"/>
      <c r="S1822" s="90">
        <f t="shared" si="224"/>
        <v>176.39999999999426</v>
      </c>
      <c r="T1822" s="42"/>
      <c r="U1822" s="42"/>
      <c r="V1822" s="42"/>
      <c r="W1822" s="42"/>
      <c r="X1822" s="81"/>
    </row>
    <row r="1823" spans="2:24" x14ac:dyDescent="0.25">
      <c r="B1823" s="2">
        <v>1</v>
      </c>
      <c r="C1823" s="1">
        <f t="shared" si="222"/>
        <v>0.29411764705869814</v>
      </c>
      <c r="D1823" s="1">
        <f t="shared" si="220"/>
        <v>1</v>
      </c>
      <c r="E1823" s="1">
        <f t="shared" si="223"/>
        <v>0</v>
      </c>
      <c r="F1823" s="31">
        <f t="shared" si="221"/>
        <v>14.6</v>
      </c>
      <c r="G1823" s="31">
        <f t="shared" ca="1" si="225"/>
        <v>6.4</v>
      </c>
      <c r="H1823" s="30">
        <f t="shared" ca="1" si="226"/>
        <v>0</v>
      </c>
      <c r="I1823" s="31">
        <f t="shared" ca="1" si="227"/>
        <v>6.4</v>
      </c>
      <c r="Q1823" s="80"/>
      <c r="R1823" s="42"/>
      <c r="S1823" s="90">
        <f t="shared" si="224"/>
        <v>176.49999999999426</v>
      </c>
      <c r="T1823" s="42"/>
      <c r="U1823" s="42"/>
      <c r="V1823" s="42"/>
      <c r="W1823" s="42"/>
      <c r="X1823" s="81"/>
    </row>
    <row r="1824" spans="2:24" x14ac:dyDescent="0.25">
      <c r="B1824" s="2">
        <v>1</v>
      </c>
      <c r="C1824" s="1">
        <f t="shared" si="222"/>
        <v>1.2941176470586981</v>
      </c>
      <c r="D1824" s="1">
        <f t="shared" si="220"/>
        <v>1</v>
      </c>
      <c r="E1824" s="1">
        <f t="shared" si="223"/>
        <v>0</v>
      </c>
      <c r="F1824" s="31">
        <f t="shared" si="221"/>
        <v>14.6</v>
      </c>
      <c r="G1824" s="31">
        <f t="shared" ca="1" si="225"/>
        <v>8.4500000000000011</v>
      </c>
      <c r="H1824" s="30">
        <f t="shared" ca="1" si="226"/>
        <v>0</v>
      </c>
      <c r="I1824" s="31">
        <f t="shared" ca="1" si="227"/>
        <v>8.4500000000000011</v>
      </c>
      <c r="Q1824" s="80"/>
      <c r="R1824" s="42"/>
      <c r="S1824" s="90">
        <f t="shared" si="224"/>
        <v>176.59999999999425</v>
      </c>
      <c r="T1824" s="42"/>
      <c r="U1824" s="42"/>
      <c r="V1824" s="42"/>
      <c r="W1824" s="42"/>
      <c r="X1824" s="81"/>
    </row>
    <row r="1825" spans="2:24" x14ac:dyDescent="0.25">
      <c r="B1825" s="2">
        <v>1</v>
      </c>
      <c r="C1825" s="1">
        <f t="shared" si="222"/>
        <v>2.2941176470586981</v>
      </c>
      <c r="D1825" s="1">
        <f t="shared" si="220"/>
        <v>1</v>
      </c>
      <c r="E1825" s="1">
        <f t="shared" si="223"/>
        <v>0</v>
      </c>
      <c r="F1825" s="31">
        <f t="shared" si="221"/>
        <v>14.6</v>
      </c>
      <c r="G1825" s="31">
        <f t="shared" ca="1" si="225"/>
        <v>10.5</v>
      </c>
      <c r="H1825" s="30">
        <f t="shared" ca="1" si="226"/>
        <v>0</v>
      </c>
      <c r="I1825" s="31">
        <f t="shared" ca="1" si="227"/>
        <v>10.5</v>
      </c>
      <c r="Q1825" s="80"/>
      <c r="R1825" s="42"/>
      <c r="S1825" s="90">
        <f t="shared" si="224"/>
        <v>176.69999999999425</v>
      </c>
      <c r="T1825" s="42"/>
      <c r="U1825" s="42"/>
      <c r="V1825" s="42"/>
      <c r="W1825" s="42"/>
      <c r="X1825" s="81"/>
    </row>
    <row r="1826" spans="2:24" x14ac:dyDescent="0.25">
      <c r="B1826" s="2">
        <v>1</v>
      </c>
      <c r="C1826" s="1">
        <f t="shared" si="222"/>
        <v>3.2941176470586981</v>
      </c>
      <c r="D1826" s="1">
        <f t="shared" si="220"/>
        <v>1</v>
      </c>
      <c r="E1826" s="1">
        <f t="shared" si="223"/>
        <v>0</v>
      </c>
      <c r="F1826" s="31">
        <f t="shared" si="221"/>
        <v>14.6</v>
      </c>
      <c r="G1826" s="31">
        <f t="shared" ca="1" si="225"/>
        <v>12.55</v>
      </c>
      <c r="H1826" s="30">
        <f t="shared" ca="1" si="226"/>
        <v>0</v>
      </c>
      <c r="I1826" s="31">
        <f t="shared" ca="1" si="227"/>
        <v>12.55</v>
      </c>
      <c r="Q1826" s="80"/>
      <c r="R1826" s="42"/>
      <c r="S1826" s="90">
        <f t="shared" si="224"/>
        <v>176.79999999999424</v>
      </c>
      <c r="T1826" s="42"/>
      <c r="U1826" s="42"/>
      <c r="V1826" s="42"/>
      <c r="W1826" s="42"/>
      <c r="X1826" s="81"/>
    </row>
    <row r="1827" spans="2:24" x14ac:dyDescent="0.25">
      <c r="B1827" s="2">
        <v>1</v>
      </c>
      <c r="C1827" s="1">
        <f t="shared" si="222"/>
        <v>4.2941176470586981</v>
      </c>
      <c r="D1827" s="1">
        <f t="shared" si="220"/>
        <v>1</v>
      </c>
      <c r="E1827" s="1">
        <f t="shared" si="223"/>
        <v>0</v>
      </c>
      <c r="F1827" s="31">
        <f t="shared" si="221"/>
        <v>14.6</v>
      </c>
      <c r="G1827" s="31">
        <f t="shared" ca="1" si="225"/>
        <v>14.6</v>
      </c>
      <c r="H1827" s="30">
        <f t="shared" ca="1" si="226"/>
        <v>0</v>
      </c>
      <c r="I1827" s="31">
        <f t="shared" ca="1" si="227"/>
        <v>14.6</v>
      </c>
      <c r="Q1827" s="80"/>
      <c r="R1827" s="42"/>
      <c r="S1827" s="90">
        <f t="shared" si="224"/>
        <v>176.89999999999424</v>
      </c>
      <c r="T1827" s="42"/>
      <c r="U1827" s="42"/>
      <c r="V1827" s="42"/>
      <c r="W1827" s="42"/>
      <c r="X1827" s="81"/>
    </row>
    <row r="1828" spans="2:24" x14ac:dyDescent="0.25">
      <c r="B1828" s="2">
        <v>1</v>
      </c>
      <c r="C1828" s="1">
        <f t="shared" si="222"/>
        <v>5.2941176470586981</v>
      </c>
      <c r="D1828" s="1">
        <f t="shared" si="220"/>
        <v>1</v>
      </c>
      <c r="E1828" s="1">
        <f t="shared" si="223"/>
        <v>0</v>
      </c>
      <c r="F1828" s="31">
        <f t="shared" si="221"/>
        <v>14.6</v>
      </c>
      <c r="G1828" s="31">
        <f t="shared" ca="1" si="225"/>
        <v>14.6</v>
      </c>
      <c r="H1828" s="30">
        <f t="shared" ca="1" si="226"/>
        <v>0</v>
      </c>
      <c r="I1828" s="31">
        <f t="shared" ca="1" si="227"/>
        <v>14.6</v>
      </c>
      <c r="Q1828" s="80"/>
      <c r="R1828" s="42"/>
      <c r="S1828" s="90">
        <f t="shared" si="224"/>
        <v>176.99999999999423</v>
      </c>
      <c r="T1828" s="42"/>
      <c r="U1828" s="42"/>
      <c r="V1828" s="42"/>
      <c r="W1828" s="42"/>
      <c r="X1828" s="81"/>
    </row>
    <row r="1829" spans="2:24" x14ac:dyDescent="0.25">
      <c r="B1829" s="2">
        <v>1</v>
      </c>
      <c r="C1829" s="1">
        <f t="shared" si="222"/>
        <v>6.2941176470586981</v>
      </c>
      <c r="D1829" s="1">
        <f t="shared" si="220"/>
        <v>1</v>
      </c>
      <c r="E1829" s="1">
        <f t="shared" si="223"/>
        <v>0</v>
      </c>
      <c r="F1829" s="31">
        <f t="shared" si="221"/>
        <v>14.6</v>
      </c>
      <c r="G1829" s="31">
        <f t="shared" ca="1" si="225"/>
        <v>14.6</v>
      </c>
      <c r="H1829" s="30">
        <f t="shared" ca="1" si="226"/>
        <v>0</v>
      </c>
      <c r="I1829" s="31">
        <f t="shared" ca="1" si="227"/>
        <v>14.6</v>
      </c>
      <c r="Q1829" s="80"/>
      <c r="R1829" s="42"/>
      <c r="S1829" s="90">
        <f t="shared" si="224"/>
        <v>177.09999999999422</v>
      </c>
      <c r="T1829" s="42"/>
      <c r="U1829" s="42"/>
      <c r="V1829" s="42"/>
      <c r="W1829" s="42"/>
      <c r="X1829" s="81"/>
    </row>
    <row r="1830" spans="2:24" x14ac:dyDescent="0.25">
      <c r="B1830" s="2">
        <v>1</v>
      </c>
      <c r="C1830" s="1">
        <f t="shared" si="222"/>
        <v>7.2941176470586981</v>
      </c>
      <c r="D1830" s="1">
        <f t="shared" si="220"/>
        <v>1</v>
      </c>
      <c r="E1830" s="1">
        <f t="shared" si="223"/>
        <v>0</v>
      </c>
      <c r="F1830" s="31">
        <f t="shared" si="221"/>
        <v>14.6</v>
      </c>
      <c r="G1830" s="31">
        <f t="shared" ca="1" si="225"/>
        <v>14.6</v>
      </c>
      <c r="H1830" s="30">
        <f t="shared" ca="1" si="226"/>
        <v>0</v>
      </c>
      <c r="I1830" s="31">
        <f t="shared" ca="1" si="227"/>
        <v>14.6</v>
      </c>
      <c r="Q1830" s="80"/>
      <c r="R1830" s="42"/>
      <c r="S1830" s="90">
        <f t="shared" si="224"/>
        <v>177.19999999999422</v>
      </c>
      <c r="T1830" s="42"/>
      <c r="U1830" s="42"/>
      <c r="V1830" s="42"/>
      <c r="W1830" s="42"/>
      <c r="X1830" s="81"/>
    </row>
    <row r="1831" spans="2:24" x14ac:dyDescent="0.25">
      <c r="B1831" s="2">
        <v>1</v>
      </c>
      <c r="C1831" s="1">
        <f t="shared" si="222"/>
        <v>8.2941176470586981</v>
      </c>
      <c r="D1831" s="1">
        <f t="shared" si="220"/>
        <v>1</v>
      </c>
      <c r="E1831" s="1">
        <f t="shared" si="223"/>
        <v>0</v>
      </c>
      <c r="F1831" s="31">
        <f t="shared" si="221"/>
        <v>14.6</v>
      </c>
      <c r="G1831" s="31">
        <f t="shared" ca="1" si="225"/>
        <v>14.6</v>
      </c>
      <c r="H1831" s="30">
        <f t="shared" ca="1" si="226"/>
        <v>0</v>
      </c>
      <c r="I1831" s="31">
        <f t="shared" ca="1" si="227"/>
        <v>14.6</v>
      </c>
      <c r="Q1831" s="80"/>
      <c r="R1831" s="42"/>
      <c r="S1831" s="90">
        <f t="shared" si="224"/>
        <v>177.29999999999421</v>
      </c>
      <c r="T1831" s="42"/>
      <c r="U1831" s="42"/>
      <c r="V1831" s="42"/>
      <c r="W1831" s="42"/>
      <c r="X1831" s="81"/>
    </row>
    <row r="1832" spans="2:24" x14ac:dyDescent="0.25">
      <c r="B1832" s="2">
        <v>1</v>
      </c>
      <c r="C1832" s="1">
        <f t="shared" si="222"/>
        <v>9.2941176470586981</v>
      </c>
      <c r="D1832" s="1">
        <f t="shared" si="220"/>
        <v>1</v>
      </c>
      <c r="E1832" s="1">
        <f t="shared" si="223"/>
        <v>0</v>
      </c>
      <c r="F1832" s="31">
        <f t="shared" si="221"/>
        <v>14.6</v>
      </c>
      <c r="G1832" s="31">
        <f t="shared" ca="1" si="225"/>
        <v>14.6</v>
      </c>
      <c r="H1832" s="30">
        <f t="shared" ca="1" si="226"/>
        <v>0</v>
      </c>
      <c r="I1832" s="31">
        <f t="shared" ca="1" si="227"/>
        <v>14.6</v>
      </c>
      <c r="Q1832" s="80"/>
      <c r="R1832" s="42"/>
      <c r="S1832" s="90">
        <f t="shared" si="224"/>
        <v>177.39999999999421</v>
      </c>
      <c r="T1832" s="42"/>
      <c r="U1832" s="42"/>
      <c r="V1832" s="42"/>
      <c r="W1832" s="42"/>
      <c r="X1832" s="81"/>
    </row>
    <row r="1833" spans="2:24" x14ac:dyDescent="0.25">
      <c r="B1833" s="2">
        <v>1</v>
      </c>
      <c r="C1833" s="1">
        <f t="shared" si="222"/>
        <v>10.294117647058698</v>
      </c>
      <c r="D1833" s="1">
        <f t="shared" si="220"/>
        <v>1</v>
      </c>
      <c r="E1833" s="1">
        <f t="shared" si="223"/>
        <v>0</v>
      </c>
      <c r="F1833" s="31">
        <f t="shared" si="221"/>
        <v>14.6</v>
      </c>
      <c r="G1833" s="31">
        <f t="shared" ca="1" si="225"/>
        <v>14.6</v>
      </c>
      <c r="H1833" s="30">
        <f t="shared" ca="1" si="226"/>
        <v>0</v>
      </c>
      <c r="I1833" s="31">
        <f t="shared" ca="1" si="227"/>
        <v>14.6</v>
      </c>
      <c r="Q1833" s="80"/>
      <c r="R1833" s="42"/>
      <c r="S1833" s="90">
        <f t="shared" si="224"/>
        <v>177.4999999999942</v>
      </c>
      <c r="T1833" s="42"/>
      <c r="U1833" s="42"/>
      <c r="V1833" s="42"/>
      <c r="W1833" s="42"/>
      <c r="X1833" s="81"/>
    </row>
    <row r="1834" spans="2:24" x14ac:dyDescent="0.25">
      <c r="B1834" s="2">
        <v>1</v>
      </c>
      <c r="C1834" s="1">
        <f t="shared" si="222"/>
        <v>11.294117647058698</v>
      </c>
      <c r="D1834" s="1">
        <f t="shared" si="220"/>
        <v>1</v>
      </c>
      <c r="E1834" s="1">
        <f t="shared" si="223"/>
        <v>0</v>
      </c>
      <c r="F1834" s="31">
        <f t="shared" si="221"/>
        <v>14.6</v>
      </c>
      <c r="G1834" s="31">
        <f t="shared" ca="1" si="225"/>
        <v>14.6</v>
      </c>
      <c r="H1834" s="30">
        <f t="shared" ca="1" si="226"/>
        <v>0</v>
      </c>
      <c r="I1834" s="31">
        <f t="shared" ca="1" si="227"/>
        <v>14.6</v>
      </c>
      <c r="Q1834" s="80"/>
      <c r="R1834" s="42"/>
      <c r="S1834" s="90">
        <f t="shared" si="224"/>
        <v>177.5999999999942</v>
      </c>
      <c r="T1834" s="42"/>
      <c r="U1834" s="42"/>
      <c r="V1834" s="42"/>
      <c r="W1834" s="42"/>
      <c r="X1834" s="81"/>
    </row>
    <row r="1835" spans="2:24" x14ac:dyDescent="0.25">
      <c r="B1835" s="2">
        <v>1</v>
      </c>
      <c r="C1835" s="1">
        <f t="shared" si="222"/>
        <v>12.294117647058698</v>
      </c>
      <c r="D1835" s="1">
        <f t="shared" si="220"/>
        <v>1</v>
      </c>
      <c r="E1835" s="1">
        <f t="shared" si="223"/>
        <v>0</v>
      </c>
      <c r="F1835" s="31">
        <f t="shared" si="221"/>
        <v>14.6</v>
      </c>
      <c r="G1835" s="31">
        <f t="shared" ca="1" si="225"/>
        <v>14.6</v>
      </c>
      <c r="H1835" s="30">
        <f t="shared" ca="1" si="226"/>
        <v>0</v>
      </c>
      <c r="I1835" s="31">
        <f t="shared" ca="1" si="227"/>
        <v>14.6</v>
      </c>
      <c r="Q1835" s="80"/>
      <c r="R1835" s="42"/>
      <c r="S1835" s="90">
        <f t="shared" si="224"/>
        <v>177.69999999999419</v>
      </c>
      <c r="T1835" s="42"/>
      <c r="U1835" s="42"/>
      <c r="V1835" s="42"/>
      <c r="W1835" s="42"/>
      <c r="X1835" s="81"/>
    </row>
    <row r="1836" spans="2:24" x14ac:dyDescent="0.25">
      <c r="B1836" s="2">
        <v>1</v>
      </c>
      <c r="C1836" s="1">
        <f t="shared" si="222"/>
        <v>13.294117647058698</v>
      </c>
      <c r="D1836" s="1">
        <f t="shared" si="220"/>
        <v>1</v>
      </c>
      <c r="E1836" s="1">
        <f t="shared" si="223"/>
        <v>0</v>
      </c>
      <c r="F1836" s="31">
        <f t="shared" si="221"/>
        <v>14.6</v>
      </c>
      <c r="G1836" s="31">
        <f t="shared" ca="1" si="225"/>
        <v>14.6</v>
      </c>
      <c r="H1836" s="30">
        <f t="shared" ca="1" si="226"/>
        <v>0</v>
      </c>
      <c r="I1836" s="31">
        <f t="shared" ca="1" si="227"/>
        <v>14.6</v>
      </c>
      <c r="Q1836" s="80"/>
      <c r="R1836" s="42"/>
      <c r="S1836" s="90">
        <f t="shared" si="224"/>
        <v>177.79999999999418</v>
      </c>
      <c r="T1836" s="42"/>
      <c r="U1836" s="42"/>
      <c r="V1836" s="42"/>
      <c r="W1836" s="42"/>
      <c r="X1836" s="81"/>
    </row>
    <row r="1837" spans="2:24" x14ac:dyDescent="0.25">
      <c r="B1837" s="2">
        <v>1</v>
      </c>
      <c r="C1837" s="1">
        <f t="shared" si="222"/>
        <v>14.294117647058698</v>
      </c>
      <c r="D1837" s="1">
        <f t="shared" si="220"/>
        <v>1</v>
      </c>
      <c r="E1837" s="1">
        <f t="shared" si="223"/>
        <v>0</v>
      </c>
      <c r="F1837" s="31">
        <f t="shared" si="221"/>
        <v>14.6</v>
      </c>
      <c r="G1837" s="31">
        <f t="shared" ca="1" si="225"/>
        <v>14.6</v>
      </c>
      <c r="H1837" s="30">
        <f t="shared" ca="1" si="226"/>
        <v>0</v>
      </c>
      <c r="I1837" s="31">
        <f t="shared" ca="1" si="227"/>
        <v>14.6</v>
      </c>
      <c r="Q1837" s="80"/>
      <c r="R1837" s="42"/>
      <c r="S1837" s="90">
        <f t="shared" si="224"/>
        <v>177.89999999999418</v>
      </c>
      <c r="T1837" s="42"/>
      <c r="U1837" s="42"/>
      <c r="V1837" s="42"/>
      <c r="W1837" s="42"/>
      <c r="X1837" s="81"/>
    </row>
    <row r="1838" spans="2:24" x14ac:dyDescent="0.25">
      <c r="B1838" s="2">
        <v>1</v>
      </c>
      <c r="C1838" s="1">
        <f t="shared" si="222"/>
        <v>15.294117647058698</v>
      </c>
      <c r="D1838" s="1">
        <f t="shared" si="220"/>
        <v>1</v>
      </c>
      <c r="E1838" s="1">
        <f t="shared" si="223"/>
        <v>0</v>
      </c>
      <c r="F1838" s="31">
        <f t="shared" si="221"/>
        <v>14.6</v>
      </c>
      <c r="G1838" s="31">
        <f t="shared" ca="1" si="225"/>
        <v>14.6</v>
      </c>
      <c r="H1838" s="30">
        <f t="shared" ca="1" si="226"/>
        <v>0</v>
      </c>
      <c r="I1838" s="31">
        <f t="shared" ca="1" si="227"/>
        <v>14.6</v>
      </c>
      <c r="Q1838" s="80"/>
      <c r="R1838" s="42"/>
      <c r="S1838" s="90">
        <f t="shared" si="224"/>
        <v>177.99999999999417</v>
      </c>
      <c r="T1838" s="42"/>
      <c r="U1838" s="42"/>
      <c r="V1838" s="42"/>
      <c r="W1838" s="42"/>
      <c r="X1838" s="81"/>
    </row>
    <row r="1839" spans="2:24" x14ac:dyDescent="0.25">
      <c r="B1839" s="2">
        <v>1</v>
      </c>
      <c r="C1839" s="1">
        <f t="shared" si="222"/>
        <v>16.294117647058698</v>
      </c>
      <c r="D1839" s="1">
        <f t="shared" si="220"/>
        <v>1</v>
      </c>
      <c r="E1839" s="1">
        <f t="shared" si="223"/>
        <v>0</v>
      </c>
      <c r="F1839" s="31">
        <f t="shared" si="221"/>
        <v>14.6</v>
      </c>
      <c r="G1839" s="31">
        <f t="shared" ca="1" si="225"/>
        <v>14.6</v>
      </c>
      <c r="H1839" s="30">
        <f t="shared" ca="1" si="226"/>
        <v>0</v>
      </c>
      <c r="I1839" s="31">
        <f t="shared" ca="1" si="227"/>
        <v>14.6</v>
      </c>
      <c r="Q1839" s="80"/>
      <c r="R1839" s="42"/>
      <c r="S1839" s="90">
        <f t="shared" si="224"/>
        <v>178.09999999999417</v>
      </c>
      <c r="T1839" s="42"/>
      <c r="U1839" s="42"/>
      <c r="V1839" s="42"/>
      <c r="W1839" s="42"/>
      <c r="X1839" s="81"/>
    </row>
    <row r="1840" spans="2:24" x14ac:dyDescent="0.25">
      <c r="B1840" s="2">
        <v>1</v>
      </c>
      <c r="C1840" s="1">
        <f t="shared" si="222"/>
        <v>17.294117647058698</v>
      </c>
      <c r="D1840" s="1">
        <f t="shared" si="220"/>
        <v>1</v>
      </c>
      <c r="E1840" s="1">
        <f t="shared" si="223"/>
        <v>0</v>
      </c>
      <c r="F1840" s="31">
        <f t="shared" si="221"/>
        <v>14.6</v>
      </c>
      <c r="G1840" s="31">
        <f t="shared" ca="1" si="225"/>
        <v>14.6</v>
      </c>
      <c r="H1840" s="30">
        <f t="shared" ca="1" si="226"/>
        <v>0</v>
      </c>
      <c r="I1840" s="31">
        <f t="shared" ca="1" si="227"/>
        <v>14.6</v>
      </c>
      <c r="Q1840" s="80"/>
      <c r="R1840" s="42"/>
      <c r="S1840" s="90">
        <f t="shared" si="224"/>
        <v>178.19999999999416</v>
      </c>
      <c r="T1840" s="42"/>
      <c r="U1840" s="42"/>
      <c r="V1840" s="42"/>
      <c r="W1840" s="42"/>
      <c r="X1840" s="81"/>
    </row>
    <row r="1841" spans="2:24" x14ac:dyDescent="0.25">
      <c r="B1841" s="2">
        <v>1</v>
      </c>
      <c r="C1841" s="1">
        <f t="shared" si="222"/>
        <v>18.294117647058698</v>
      </c>
      <c r="D1841" s="1">
        <f t="shared" si="220"/>
        <v>1</v>
      </c>
      <c r="E1841" s="1">
        <f t="shared" si="223"/>
        <v>0</v>
      </c>
      <c r="F1841" s="31">
        <f t="shared" si="221"/>
        <v>14.6</v>
      </c>
      <c r="G1841" s="31">
        <f t="shared" ca="1" si="225"/>
        <v>14.6</v>
      </c>
      <c r="H1841" s="30">
        <f t="shared" ca="1" si="226"/>
        <v>0</v>
      </c>
      <c r="I1841" s="31">
        <f t="shared" ca="1" si="227"/>
        <v>14.6</v>
      </c>
      <c r="Q1841" s="80"/>
      <c r="R1841" s="42"/>
      <c r="S1841" s="90">
        <f t="shared" si="224"/>
        <v>178.29999999999416</v>
      </c>
      <c r="T1841" s="42"/>
      <c r="U1841" s="42"/>
      <c r="V1841" s="42"/>
      <c r="W1841" s="42"/>
      <c r="X1841" s="81"/>
    </row>
    <row r="1842" spans="2:24" x14ac:dyDescent="0.25">
      <c r="B1842" s="2">
        <v>1</v>
      </c>
      <c r="C1842" s="1">
        <f t="shared" si="222"/>
        <v>19.294117647058698</v>
      </c>
      <c r="D1842" s="1">
        <f t="shared" si="220"/>
        <v>1</v>
      </c>
      <c r="E1842" s="1">
        <f t="shared" si="223"/>
        <v>0</v>
      </c>
      <c r="F1842" s="31">
        <f t="shared" si="221"/>
        <v>14.6</v>
      </c>
      <c r="G1842" s="31">
        <f t="shared" ca="1" si="225"/>
        <v>14.6</v>
      </c>
      <c r="H1842" s="30">
        <f t="shared" ca="1" si="226"/>
        <v>0</v>
      </c>
      <c r="I1842" s="31">
        <f t="shared" ca="1" si="227"/>
        <v>14.6</v>
      </c>
      <c r="Q1842" s="80"/>
      <c r="R1842" s="42"/>
      <c r="S1842" s="90">
        <f t="shared" si="224"/>
        <v>178.39999999999415</v>
      </c>
      <c r="T1842" s="42"/>
      <c r="U1842" s="42"/>
      <c r="V1842" s="42"/>
      <c r="W1842" s="42"/>
      <c r="X1842" s="81"/>
    </row>
    <row r="1843" spans="2:24" x14ac:dyDescent="0.25">
      <c r="B1843" s="2">
        <v>1</v>
      </c>
      <c r="C1843" s="1">
        <f t="shared" si="222"/>
        <v>20.294117647058698</v>
      </c>
      <c r="D1843" s="1">
        <f t="shared" si="220"/>
        <v>1</v>
      </c>
      <c r="E1843" s="1">
        <f t="shared" si="223"/>
        <v>0</v>
      </c>
      <c r="F1843" s="31">
        <f t="shared" si="221"/>
        <v>14.6</v>
      </c>
      <c r="G1843" s="31">
        <f t="shared" ca="1" si="225"/>
        <v>14.6</v>
      </c>
      <c r="H1843" s="30">
        <f t="shared" ca="1" si="226"/>
        <v>0</v>
      </c>
      <c r="I1843" s="31">
        <f t="shared" ca="1" si="227"/>
        <v>14.6</v>
      </c>
      <c r="Q1843" s="80"/>
      <c r="R1843" s="42"/>
      <c r="S1843" s="90">
        <f t="shared" si="224"/>
        <v>178.49999999999415</v>
      </c>
      <c r="T1843" s="42"/>
      <c r="U1843" s="42"/>
      <c r="V1843" s="42"/>
      <c r="W1843" s="42"/>
      <c r="X1843" s="81"/>
    </row>
    <row r="1844" spans="2:24" x14ac:dyDescent="0.25">
      <c r="B1844" s="2">
        <v>1</v>
      </c>
      <c r="C1844" s="1">
        <f t="shared" si="222"/>
        <v>21.294117647058698</v>
      </c>
      <c r="D1844" s="1">
        <f t="shared" si="220"/>
        <v>1</v>
      </c>
      <c r="E1844" s="1">
        <f t="shared" si="223"/>
        <v>0</v>
      </c>
      <c r="F1844" s="31">
        <f t="shared" si="221"/>
        <v>14.6</v>
      </c>
      <c r="G1844" s="31">
        <f t="shared" ca="1" si="225"/>
        <v>14.6</v>
      </c>
      <c r="H1844" s="30">
        <f t="shared" ca="1" si="226"/>
        <v>0</v>
      </c>
      <c r="I1844" s="31">
        <f t="shared" ca="1" si="227"/>
        <v>14.6</v>
      </c>
      <c r="Q1844" s="80"/>
      <c r="R1844" s="42"/>
      <c r="S1844" s="90">
        <f t="shared" si="224"/>
        <v>178.59999999999414</v>
      </c>
      <c r="T1844" s="42"/>
      <c r="U1844" s="42"/>
      <c r="V1844" s="42"/>
      <c r="W1844" s="42"/>
      <c r="X1844" s="81"/>
    </row>
    <row r="1845" spans="2:24" x14ac:dyDescent="0.25">
      <c r="B1845" s="2">
        <v>1</v>
      </c>
      <c r="C1845" s="1">
        <f t="shared" si="222"/>
        <v>22.294117647058698</v>
      </c>
      <c r="D1845" s="1">
        <f t="shared" si="220"/>
        <v>1</v>
      </c>
      <c r="E1845" s="1">
        <f t="shared" si="223"/>
        <v>0</v>
      </c>
      <c r="F1845" s="31">
        <f t="shared" si="221"/>
        <v>14.6</v>
      </c>
      <c r="G1845" s="31">
        <f t="shared" ca="1" si="225"/>
        <v>14.6</v>
      </c>
      <c r="H1845" s="30">
        <f t="shared" ca="1" si="226"/>
        <v>0</v>
      </c>
      <c r="I1845" s="31">
        <f t="shared" ca="1" si="227"/>
        <v>14.6</v>
      </c>
      <c r="Q1845" s="80"/>
      <c r="R1845" s="42"/>
      <c r="S1845" s="90">
        <f t="shared" si="224"/>
        <v>178.69999999999413</v>
      </c>
      <c r="T1845" s="42"/>
      <c r="U1845" s="42"/>
      <c r="V1845" s="42"/>
      <c r="W1845" s="42"/>
      <c r="X1845" s="81"/>
    </row>
    <row r="1846" spans="2:24" x14ac:dyDescent="0.25">
      <c r="B1846" s="2">
        <v>1</v>
      </c>
      <c r="C1846" s="1">
        <f t="shared" si="222"/>
        <v>23.294117647058698</v>
      </c>
      <c r="D1846" s="1">
        <f t="shared" si="220"/>
        <v>0</v>
      </c>
      <c r="E1846" s="1">
        <f t="shared" si="223"/>
        <v>1</v>
      </c>
      <c r="F1846" s="31">
        <f t="shared" si="221"/>
        <v>6.4</v>
      </c>
      <c r="G1846" s="31">
        <f t="shared" ca="1" si="225"/>
        <v>0</v>
      </c>
      <c r="H1846" s="30">
        <f t="shared" ca="1" si="226"/>
        <v>14.6</v>
      </c>
      <c r="I1846" s="31">
        <f t="shared" ca="1" si="227"/>
        <v>14.6</v>
      </c>
      <c r="Q1846" s="80"/>
      <c r="R1846" s="42"/>
      <c r="S1846" s="90">
        <f t="shared" si="224"/>
        <v>178.79999999999413</v>
      </c>
      <c r="T1846" s="42"/>
      <c r="U1846" s="42"/>
      <c r="V1846" s="42"/>
      <c r="W1846" s="42"/>
      <c r="X1846" s="81"/>
    </row>
    <row r="1847" spans="2:24" x14ac:dyDescent="0.25">
      <c r="B1847" s="2">
        <v>1</v>
      </c>
      <c r="C1847" s="1">
        <f t="shared" si="222"/>
        <v>24.294117647058698</v>
      </c>
      <c r="D1847" s="1">
        <f t="shared" si="220"/>
        <v>0</v>
      </c>
      <c r="E1847" s="1">
        <f t="shared" si="223"/>
        <v>1</v>
      </c>
      <c r="F1847" s="31">
        <f t="shared" si="221"/>
        <v>6.4</v>
      </c>
      <c r="G1847" s="31">
        <f t="shared" ca="1" si="225"/>
        <v>0</v>
      </c>
      <c r="H1847" s="30">
        <f t="shared" ca="1" si="226"/>
        <v>6.4</v>
      </c>
      <c r="I1847" s="31">
        <f t="shared" ca="1" si="227"/>
        <v>6.4</v>
      </c>
      <c r="Q1847" s="80"/>
      <c r="R1847" s="42"/>
      <c r="S1847" s="90">
        <f t="shared" si="224"/>
        <v>178.89999999999412</v>
      </c>
      <c r="T1847" s="42"/>
      <c r="U1847" s="42"/>
      <c r="V1847" s="42"/>
      <c r="W1847" s="42"/>
      <c r="X1847" s="81"/>
    </row>
    <row r="1848" spans="2:24" x14ac:dyDescent="0.25">
      <c r="B1848" s="2">
        <v>1</v>
      </c>
      <c r="C1848" s="1">
        <f t="shared" si="222"/>
        <v>25.294117647058698</v>
      </c>
      <c r="D1848" s="1">
        <f t="shared" si="220"/>
        <v>0</v>
      </c>
      <c r="E1848" s="1">
        <f t="shared" si="223"/>
        <v>1</v>
      </c>
      <c r="F1848" s="31">
        <f t="shared" si="221"/>
        <v>6.4</v>
      </c>
      <c r="G1848" s="31">
        <f t="shared" ca="1" si="225"/>
        <v>0</v>
      </c>
      <c r="H1848" s="30">
        <f t="shared" ca="1" si="226"/>
        <v>6.4</v>
      </c>
      <c r="I1848" s="31">
        <f t="shared" ca="1" si="227"/>
        <v>6.4</v>
      </c>
      <c r="Q1848" s="80"/>
      <c r="R1848" s="42"/>
      <c r="S1848" s="90">
        <f t="shared" si="224"/>
        <v>178.99999999999412</v>
      </c>
      <c r="T1848" s="42"/>
      <c r="U1848" s="42"/>
      <c r="V1848" s="42"/>
      <c r="W1848" s="42"/>
      <c r="X1848" s="81"/>
    </row>
    <row r="1849" spans="2:24" x14ac:dyDescent="0.25">
      <c r="B1849" s="2">
        <v>1</v>
      </c>
      <c r="C1849" s="1">
        <f t="shared" si="222"/>
        <v>26.294117647058698</v>
      </c>
      <c r="D1849" s="1">
        <f t="shared" si="220"/>
        <v>0</v>
      </c>
      <c r="E1849" s="1">
        <f t="shared" si="223"/>
        <v>1</v>
      </c>
      <c r="F1849" s="31">
        <f t="shared" si="221"/>
        <v>6.4</v>
      </c>
      <c r="G1849" s="31">
        <f t="shared" ca="1" si="225"/>
        <v>0</v>
      </c>
      <c r="H1849" s="30">
        <f t="shared" ca="1" si="226"/>
        <v>6.4</v>
      </c>
      <c r="I1849" s="31">
        <f t="shared" ca="1" si="227"/>
        <v>6.4</v>
      </c>
      <c r="Q1849" s="80"/>
      <c r="R1849" s="42"/>
      <c r="S1849" s="90">
        <f t="shared" si="224"/>
        <v>179.09999999999411</v>
      </c>
      <c r="T1849" s="42"/>
      <c r="U1849" s="42"/>
      <c r="V1849" s="42"/>
      <c r="W1849" s="42"/>
      <c r="X1849" s="81"/>
    </row>
    <row r="1850" spans="2:24" x14ac:dyDescent="0.25">
      <c r="B1850" s="2">
        <v>1</v>
      </c>
      <c r="C1850" s="1">
        <f t="shared" si="222"/>
        <v>27.294117647058698</v>
      </c>
      <c r="D1850" s="1">
        <f t="shared" ref="D1850:D1913" si="228">IF(C1850&lt;=Inhelation_Time_RT,1,0)</f>
        <v>0</v>
      </c>
      <c r="E1850" s="1">
        <f t="shared" si="223"/>
        <v>1</v>
      </c>
      <c r="F1850" s="31">
        <f t="shared" ref="F1850:F1913" si="229">(D1850*Inspiratory_pressure_level) + (E1850*PEEP)</f>
        <v>6.4</v>
      </c>
      <c r="G1850" s="31">
        <f t="shared" ca="1" si="225"/>
        <v>0</v>
      </c>
      <c r="H1850" s="30">
        <f t="shared" ca="1" si="226"/>
        <v>6.4</v>
      </c>
      <c r="I1850" s="31">
        <f t="shared" ca="1" si="227"/>
        <v>6.4</v>
      </c>
      <c r="Q1850" s="80"/>
      <c r="R1850" s="42"/>
      <c r="S1850" s="90">
        <f t="shared" si="224"/>
        <v>179.19999999999411</v>
      </c>
      <c r="T1850" s="42"/>
      <c r="U1850" s="42"/>
      <c r="V1850" s="42"/>
      <c r="W1850" s="42"/>
      <c r="X1850" s="81"/>
    </row>
    <row r="1851" spans="2:24" x14ac:dyDescent="0.25">
      <c r="B1851" s="2">
        <v>1</v>
      </c>
      <c r="C1851" s="1">
        <f t="shared" ref="C1851:C1914" si="230">MOD(C1850+B1851,time_for_breath_RT)</f>
        <v>28.294117647058698</v>
      </c>
      <c r="D1851" s="1">
        <f t="shared" si="228"/>
        <v>0</v>
      </c>
      <c r="E1851" s="1">
        <f t="shared" ref="E1851:E1914" si="231">IF(D1851=1,0,1)</f>
        <v>1</v>
      </c>
      <c r="F1851" s="31">
        <f t="shared" si="229"/>
        <v>6.4</v>
      </c>
      <c r="G1851" s="31">
        <f t="shared" ca="1" si="225"/>
        <v>0</v>
      </c>
      <c r="H1851" s="30">
        <f t="shared" ca="1" si="226"/>
        <v>6.4</v>
      </c>
      <c r="I1851" s="31">
        <f t="shared" ca="1" si="227"/>
        <v>6.4</v>
      </c>
      <c r="Q1851" s="80"/>
      <c r="R1851" s="42"/>
      <c r="S1851" s="90">
        <f t="shared" ref="S1851:S1914" si="232">S1850+(B1850 / RTC_to_seconds)</f>
        <v>179.2999999999941</v>
      </c>
      <c r="T1851" s="42"/>
      <c r="U1851" s="42"/>
      <c r="V1851" s="42"/>
      <c r="W1851" s="42"/>
      <c r="X1851" s="81"/>
    </row>
    <row r="1852" spans="2:24" x14ac:dyDescent="0.25">
      <c r="B1852" s="2">
        <v>1</v>
      </c>
      <c r="C1852" s="1">
        <f t="shared" si="230"/>
        <v>29.294117647058698</v>
      </c>
      <c r="D1852" s="1">
        <f t="shared" si="228"/>
        <v>0</v>
      </c>
      <c r="E1852" s="1">
        <f t="shared" si="231"/>
        <v>1</v>
      </c>
      <c r="F1852" s="31">
        <f t="shared" si="229"/>
        <v>6.4</v>
      </c>
      <c r="G1852" s="31">
        <f t="shared" ca="1" si="225"/>
        <v>0</v>
      </c>
      <c r="H1852" s="30">
        <f t="shared" ca="1" si="226"/>
        <v>6.4</v>
      </c>
      <c r="I1852" s="31">
        <f t="shared" ca="1" si="227"/>
        <v>6.4</v>
      </c>
      <c r="Q1852" s="80"/>
      <c r="R1852" s="42"/>
      <c r="S1852" s="90">
        <f t="shared" si="232"/>
        <v>179.39999999999409</v>
      </c>
      <c r="T1852" s="42"/>
      <c r="U1852" s="42"/>
      <c r="V1852" s="42"/>
      <c r="W1852" s="42"/>
      <c r="X1852" s="81"/>
    </row>
    <row r="1853" spans="2:24" x14ac:dyDescent="0.25">
      <c r="B1853" s="2">
        <v>1</v>
      </c>
      <c r="C1853" s="1">
        <f t="shared" si="230"/>
        <v>30.294117647058698</v>
      </c>
      <c r="D1853" s="1">
        <f t="shared" si="228"/>
        <v>0</v>
      </c>
      <c r="E1853" s="1">
        <f t="shared" si="231"/>
        <v>1</v>
      </c>
      <c r="F1853" s="31">
        <f t="shared" si="229"/>
        <v>6.4</v>
      </c>
      <c r="G1853" s="31">
        <f t="shared" ca="1" si="225"/>
        <v>0</v>
      </c>
      <c r="H1853" s="30">
        <f t="shared" ca="1" si="226"/>
        <v>6.4</v>
      </c>
      <c r="I1853" s="31">
        <f t="shared" ca="1" si="227"/>
        <v>6.4</v>
      </c>
      <c r="Q1853" s="80"/>
      <c r="R1853" s="42"/>
      <c r="S1853" s="90">
        <f t="shared" si="232"/>
        <v>179.49999999999409</v>
      </c>
      <c r="T1853" s="42"/>
      <c r="U1853" s="42"/>
      <c r="V1853" s="42"/>
      <c r="W1853" s="42"/>
      <c r="X1853" s="81"/>
    </row>
    <row r="1854" spans="2:24" x14ac:dyDescent="0.25">
      <c r="B1854" s="2">
        <v>1</v>
      </c>
      <c r="C1854" s="1">
        <f t="shared" si="230"/>
        <v>31.294117647058698</v>
      </c>
      <c r="D1854" s="1">
        <f t="shared" si="228"/>
        <v>0</v>
      </c>
      <c r="E1854" s="1">
        <f t="shared" si="231"/>
        <v>1</v>
      </c>
      <c r="F1854" s="31">
        <f t="shared" si="229"/>
        <v>6.4</v>
      </c>
      <c r="G1854" s="31">
        <f t="shared" ca="1" si="225"/>
        <v>0</v>
      </c>
      <c r="H1854" s="30">
        <f t="shared" ca="1" si="226"/>
        <v>6.4</v>
      </c>
      <c r="I1854" s="31">
        <f t="shared" ca="1" si="227"/>
        <v>6.4</v>
      </c>
      <c r="Q1854" s="80"/>
      <c r="R1854" s="42"/>
      <c r="S1854" s="90">
        <f t="shared" si="232"/>
        <v>179.59999999999408</v>
      </c>
      <c r="T1854" s="42"/>
      <c r="U1854" s="42"/>
      <c r="V1854" s="42"/>
      <c r="W1854" s="42"/>
      <c r="X1854" s="81"/>
    </row>
    <row r="1855" spans="2:24" x14ac:dyDescent="0.25">
      <c r="B1855" s="2">
        <v>1</v>
      </c>
      <c r="C1855" s="1">
        <f t="shared" si="230"/>
        <v>32.294117647058698</v>
      </c>
      <c r="D1855" s="1">
        <f t="shared" si="228"/>
        <v>0</v>
      </c>
      <c r="E1855" s="1">
        <f t="shared" si="231"/>
        <v>1</v>
      </c>
      <c r="F1855" s="31">
        <f t="shared" si="229"/>
        <v>6.4</v>
      </c>
      <c r="G1855" s="31">
        <f t="shared" ca="1" si="225"/>
        <v>0</v>
      </c>
      <c r="H1855" s="30">
        <f t="shared" ca="1" si="226"/>
        <v>6.4</v>
      </c>
      <c r="I1855" s="31">
        <f t="shared" ca="1" si="227"/>
        <v>6.4</v>
      </c>
      <c r="Q1855" s="80"/>
      <c r="R1855" s="42"/>
      <c r="S1855" s="90">
        <f t="shared" si="232"/>
        <v>179.69999999999408</v>
      </c>
      <c r="T1855" s="42"/>
      <c r="U1855" s="42"/>
      <c r="V1855" s="42"/>
      <c r="W1855" s="42"/>
      <c r="X1855" s="81"/>
    </row>
    <row r="1856" spans="2:24" x14ac:dyDescent="0.25">
      <c r="B1856" s="2">
        <v>1</v>
      </c>
      <c r="C1856" s="1">
        <f t="shared" si="230"/>
        <v>33.294117647058698</v>
      </c>
      <c r="D1856" s="1">
        <f t="shared" si="228"/>
        <v>0</v>
      </c>
      <c r="E1856" s="1">
        <f t="shared" si="231"/>
        <v>1</v>
      </c>
      <c r="F1856" s="31">
        <f t="shared" si="229"/>
        <v>6.4</v>
      </c>
      <c r="G1856" s="31">
        <f t="shared" ca="1" si="225"/>
        <v>0</v>
      </c>
      <c r="H1856" s="30">
        <f t="shared" ca="1" si="226"/>
        <v>6.4</v>
      </c>
      <c r="I1856" s="31">
        <f t="shared" ca="1" si="227"/>
        <v>6.4</v>
      </c>
      <c r="Q1856" s="80"/>
      <c r="R1856" s="42"/>
      <c r="S1856" s="90">
        <f t="shared" si="232"/>
        <v>179.79999999999407</v>
      </c>
      <c r="T1856" s="42"/>
      <c r="U1856" s="42"/>
      <c r="V1856" s="42"/>
      <c r="W1856" s="42"/>
      <c r="X1856" s="81"/>
    </row>
    <row r="1857" spans="2:24" x14ac:dyDescent="0.25">
      <c r="B1857" s="2">
        <v>1</v>
      </c>
      <c r="C1857" s="1">
        <f t="shared" si="230"/>
        <v>34.294117647058698</v>
      </c>
      <c r="D1857" s="1">
        <f t="shared" si="228"/>
        <v>0</v>
      </c>
      <c r="E1857" s="1">
        <f t="shared" si="231"/>
        <v>1</v>
      </c>
      <c r="F1857" s="31">
        <f t="shared" si="229"/>
        <v>6.4</v>
      </c>
      <c r="G1857" s="31">
        <f t="shared" ca="1" si="225"/>
        <v>0</v>
      </c>
      <c r="H1857" s="30">
        <f t="shared" ca="1" si="226"/>
        <v>6.4</v>
      </c>
      <c r="I1857" s="31">
        <f t="shared" ca="1" si="227"/>
        <v>6.4</v>
      </c>
      <c r="Q1857" s="80"/>
      <c r="R1857" s="42"/>
      <c r="S1857" s="90">
        <f t="shared" si="232"/>
        <v>179.89999999999407</v>
      </c>
      <c r="T1857" s="42"/>
      <c r="U1857" s="42"/>
      <c r="V1857" s="42"/>
      <c r="W1857" s="42"/>
      <c r="X1857" s="81"/>
    </row>
    <row r="1858" spans="2:24" x14ac:dyDescent="0.25">
      <c r="B1858" s="2">
        <v>1</v>
      </c>
      <c r="C1858" s="1">
        <f t="shared" si="230"/>
        <v>35.294117647058698</v>
      </c>
      <c r="D1858" s="1">
        <f t="shared" si="228"/>
        <v>0</v>
      </c>
      <c r="E1858" s="1">
        <f t="shared" si="231"/>
        <v>1</v>
      </c>
      <c r="F1858" s="31">
        <f t="shared" si="229"/>
        <v>6.4</v>
      </c>
      <c r="G1858" s="31">
        <f t="shared" ca="1" si="225"/>
        <v>0</v>
      </c>
      <c r="H1858" s="30">
        <f t="shared" ca="1" si="226"/>
        <v>6.4</v>
      </c>
      <c r="I1858" s="31">
        <f t="shared" ca="1" si="227"/>
        <v>6.4</v>
      </c>
      <c r="Q1858" s="80"/>
      <c r="R1858" s="42"/>
      <c r="S1858" s="90">
        <f t="shared" si="232"/>
        <v>179.99999999999406</v>
      </c>
      <c r="T1858" s="42"/>
      <c r="U1858" s="42"/>
      <c r="V1858" s="42"/>
      <c r="W1858" s="42"/>
      <c r="X1858" s="81"/>
    </row>
    <row r="1859" spans="2:24" x14ac:dyDescent="0.25">
      <c r="B1859" s="2">
        <v>1</v>
      </c>
      <c r="C1859" s="1">
        <f t="shared" si="230"/>
        <v>0.9999999999998721</v>
      </c>
      <c r="D1859" s="1">
        <f t="shared" si="228"/>
        <v>1</v>
      </c>
      <c r="E1859" s="1">
        <f t="shared" si="231"/>
        <v>0</v>
      </c>
      <c r="F1859" s="31">
        <f t="shared" si="229"/>
        <v>14.6</v>
      </c>
      <c r="G1859" s="31">
        <f t="shared" ca="1" si="225"/>
        <v>6.4</v>
      </c>
      <c r="H1859" s="30">
        <f t="shared" ca="1" si="226"/>
        <v>0</v>
      </c>
      <c r="I1859" s="31">
        <f t="shared" ca="1" si="227"/>
        <v>6.4</v>
      </c>
      <c r="Q1859" s="80"/>
      <c r="R1859" s="42"/>
      <c r="S1859" s="90">
        <f t="shared" si="232"/>
        <v>180.09999999999405</v>
      </c>
      <c r="T1859" s="42"/>
      <c r="U1859" s="42"/>
      <c r="V1859" s="42"/>
      <c r="W1859" s="42"/>
      <c r="X1859" s="81"/>
    </row>
    <row r="1860" spans="2:24" x14ac:dyDescent="0.25">
      <c r="B1860" s="2">
        <v>1</v>
      </c>
      <c r="C1860" s="1">
        <f t="shared" si="230"/>
        <v>1.9999999999998721</v>
      </c>
      <c r="D1860" s="1">
        <f t="shared" si="228"/>
        <v>1</v>
      </c>
      <c r="E1860" s="1">
        <f t="shared" si="231"/>
        <v>0</v>
      </c>
      <c r="F1860" s="31">
        <f t="shared" si="229"/>
        <v>14.6</v>
      </c>
      <c r="G1860" s="31">
        <f t="shared" ca="1" si="225"/>
        <v>8.4500000000000011</v>
      </c>
      <c r="H1860" s="30">
        <f t="shared" ca="1" si="226"/>
        <v>0</v>
      </c>
      <c r="I1860" s="31">
        <f t="shared" ca="1" si="227"/>
        <v>8.4500000000000011</v>
      </c>
      <c r="Q1860" s="80"/>
      <c r="R1860" s="42"/>
      <c r="S1860" s="90">
        <f t="shared" si="232"/>
        <v>180.19999999999405</v>
      </c>
      <c r="T1860" s="42"/>
      <c r="U1860" s="42"/>
      <c r="V1860" s="42"/>
      <c r="W1860" s="42"/>
      <c r="X1860" s="81"/>
    </row>
    <row r="1861" spans="2:24" x14ac:dyDescent="0.25">
      <c r="B1861" s="2">
        <v>1</v>
      </c>
      <c r="C1861" s="1">
        <f t="shared" si="230"/>
        <v>2.9999999999998721</v>
      </c>
      <c r="D1861" s="1">
        <f t="shared" si="228"/>
        <v>1</v>
      </c>
      <c r="E1861" s="1">
        <f t="shared" si="231"/>
        <v>0</v>
      </c>
      <c r="F1861" s="31">
        <f t="shared" si="229"/>
        <v>14.6</v>
      </c>
      <c r="G1861" s="31">
        <f t="shared" ca="1" si="225"/>
        <v>10.5</v>
      </c>
      <c r="H1861" s="30">
        <f t="shared" ca="1" si="226"/>
        <v>0</v>
      </c>
      <c r="I1861" s="31">
        <f t="shared" ca="1" si="227"/>
        <v>10.5</v>
      </c>
      <c r="Q1861" s="80"/>
      <c r="R1861" s="42"/>
      <c r="S1861" s="90">
        <f t="shared" si="232"/>
        <v>180.29999999999404</v>
      </c>
      <c r="T1861" s="42"/>
      <c r="U1861" s="42"/>
      <c r="V1861" s="42"/>
      <c r="W1861" s="42"/>
      <c r="X1861" s="81"/>
    </row>
    <row r="1862" spans="2:24" x14ac:dyDescent="0.25">
      <c r="B1862" s="2">
        <v>1</v>
      </c>
      <c r="C1862" s="1">
        <f t="shared" si="230"/>
        <v>3.9999999999998721</v>
      </c>
      <c r="D1862" s="1">
        <f t="shared" si="228"/>
        <v>1</v>
      </c>
      <c r="E1862" s="1">
        <f t="shared" si="231"/>
        <v>0</v>
      </c>
      <c r="F1862" s="31">
        <f t="shared" si="229"/>
        <v>14.6</v>
      </c>
      <c r="G1862" s="31">
        <f t="shared" ca="1" si="225"/>
        <v>12.55</v>
      </c>
      <c r="H1862" s="30">
        <f t="shared" ca="1" si="226"/>
        <v>0</v>
      </c>
      <c r="I1862" s="31">
        <f t="shared" ca="1" si="227"/>
        <v>12.55</v>
      </c>
      <c r="Q1862" s="80"/>
      <c r="R1862" s="42"/>
      <c r="S1862" s="90">
        <f t="shared" si="232"/>
        <v>180.39999999999404</v>
      </c>
      <c r="T1862" s="42"/>
      <c r="U1862" s="42"/>
      <c r="V1862" s="42"/>
      <c r="W1862" s="42"/>
      <c r="X1862" s="81"/>
    </row>
    <row r="1863" spans="2:24" x14ac:dyDescent="0.25">
      <c r="B1863" s="2">
        <v>1</v>
      </c>
      <c r="C1863" s="1">
        <f t="shared" si="230"/>
        <v>4.9999999999998721</v>
      </c>
      <c r="D1863" s="1">
        <f t="shared" si="228"/>
        <v>1</v>
      </c>
      <c r="E1863" s="1">
        <f t="shared" si="231"/>
        <v>0</v>
      </c>
      <c r="F1863" s="31">
        <f t="shared" si="229"/>
        <v>14.6</v>
      </c>
      <c r="G1863" s="31">
        <f t="shared" ca="1" si="225"/>
        <v>14.6</v>
      </c>
      <c r="H1863" s="30">
        <f t="shared" ca="1" si="226"/>
        <v>0</v>
      </c>
      <c r="I1863" s="31">
        <f t="shared" ca="1" si="227"/>
        <v>14.6</v>
      </c>
      <c r="Q1863" s="80"/>
      <c r="R1863" s="42"/>
      <c r="S1863" s="90">
        <f t="shared" si="232"/>
        <v>180.49999999999403</v>
      </c>
      <c r="T1863" s="42"/>
      <c r="U1863" s="42"/>
      <c r="V1863" s="42"/>
      <c r="W1863" s="42"/>
      <c r="X1863" s="81"/>
    </row>
    <row r="1864" spans="2:24" x14ac:dyDescent="0.25">
      <c r="B1864" s="2">
        <v>1</v>
      </c>
      <c r="C1864" s="1">
        <f t="shared" si="230"/>
        <v>5.9999999999998721</v>
      </c>
      <c r="D1864" s="1">
        <f t="shared" si="228"/>
        <v>1</v>
      </c>
      <c r="E1864" s="1">
        <f t="shared" si="231"/>
        <v>0</v>
      </c>
      <c r="F1864" s="31">
        <f t="shared" si="229"/>
        <v>14.6</v>
      </c>
      <c r="G1864" s="31">
        <f t="shared" ca="1" si="225"/>
        <v>14.6</v>
      </c>
      <c r="H1864" s="30">
        <f t="shared" ca="1" si="226"/>
        <v>0</v>
      </c>
      <c r="I1864" s="31">
        <f t="shared" ca="1" si="227"/>
        <v>14.6</v>
      </c>
      <c r="Q1864" s="80"/>
      <c r="R1864" s="42"/>
      <c r="S1864" s="90">
        <f t="shared" si="232"/>
        <v>180.59999999999403</v>
      </c>
      <c r="T1864" s="42"/>
      <c r="U1864" s="42"/>
      <c r="V1864" s="42"/>
      <c r="W1864" s="42"/>
      <c r="X1864" s="81"/>
    </row>
    <row r="1865" spans="2:24" x14ac:dyDescent="0.25">
      <c r="B1865" s="2">
        <v>1</v>
      </c>
      <c r="C1865" s="1">
        <f t="shared" si="230"/>
        <v>6.9999999999998721</v>
      </c>
      <c r="D1865" s="1">
        <f t="shared" si="228"/>
        <v>1</v>
      </c>
      <c r="E1865" s="1">
        <f t="shared" si="231"/>
        <v>0</v>
      </c>
      <c r="F1865" s="31">
        <f t="shared" si="229"/>
        <v>14.6</v>
      </c>
      <c r="G1865" s="31">
        <f t="shared" ca="1" si="225"/>
        <v>14.6</v>
      </c>
      <c r="H1865" s="30">
        <f t="shared" ca="1" si="226"/>
        <v>0</v>
      </c>
      <c r="I1865" s="31">
        <f t="shared" ca="1" si="227"/>
        <v>14.6</v>
      </c>
      <c r="Q1865" s="80"/>
      <c r="R1865" s="42"/>
      <c r="S1865" s="90">
        <f t="shared" si="232"/>
        <v>180.69999999999402</v>
      </c>
      <c r="T1865" s="42"/>
      <c r="U1865" s="42"/>
      <c r="V1865" s="42"/>
      <c r="W1865" s="42"/>
      <c r="X1865" s="81"/>
    </row>
    <row r="1866" spans="2:24" x14ac:dyDescent="0.25">
      <c r="B1866" s="2">
        <v>1</v>
      </c>
      <c r="C1866" s="1">
        <f t="shared" si="230"/>
        <v>7.9999999999998721</v>
      </c>
      <c r="D1866" s="1">
        <f t="shared" si="228"/>
        <v>1</v>
      </c>
      <c r="E1866" s="1">
        <f t="shared" si="231"/>
        <v>0</v>
      </c>
      <c r="F1866" s="31">
        <f t="shared" si="229"/>
        <v>14.6</v>
      </c>
      <c r="G1866" s="31">
        <f t="shared" ca="1" si="225"/>
        <v>14.6</v>
      </c>
      <c r="H1866" s="30">
        <f t="shared" ca="1" si="226"/>
        <v>0</v>
      </c>
      <c r="I1866" s="31">
        <f t="shared" ca="1" si="227"/>
        <v>14.6</v>
      </c>
      <c r="Q1866" s="80"/>
      <c r="R1866" s="42"/>
      <c r="S1866" s="90">
        <f t="shared" si="232"/>
        <v>180.79999999999401</v>
      </c>
      <c r="T1866" s="42"/>
      <c r="U1866" s="42"/>
      <c r="V1866" s="42"/>
      <c r="W1866" s="42"/>
      <c r="X1866" s="81"/>
    </row>
    <row r="1867" spans="2:24" x14ac:dyDescent="0.25">
      <c r="B1867" s="2">
        <v>1</v>
      </c>
      <c r="C1867" s="1">
        <f t="shared" si="230"/>
        <v>8.9999999999998721</v>
      </c>
      <c r="D1867" s="1">
        <f t="shared" si="228"/>
        <v>1</v>
      </c>
      <c r="E1867" s="1">
        <f t="shared" si="231"/>
        <v>0</v>
      </c>
      <c r="F1867" s="31">
        <f t="shared" si="229"/>
        <v>14.6</v>
      </c>
      <c r="G1867" s="31">
        <f t="shared" ref="G1867:G1930" ca="1" si="233">IF(D1867=1, AVERAGE(OFFSET(F1867,-$L$27,0,$L$27,1)),0)</f>
        <v>14.6</v>
      </c>
      <c r="H1867" s="30">
        <f t="shared" ref="H1867:H1930" ca="1" si="234">IF(D1867=0, AVERAGE(OFFSET(F1867,-$L$28,0,$L$28,1)),0)</f>
        <v>0</v>
      </c>
      <c r="I1867" s="31">
        <f t="shared" ref="I1867:I1930" ca="1" si="235">G1867+H1867</f>
        <v>14.6</v>
      </c>
      <c r="Q1867" s="80"/>
      <c r="R1867" s="42"/>
      <c r="S1867" s="90">
        <f t="shared" si="232"/>
        <v>180.89999999999401</v>
      </c>
      <c r="T1867" s="42"/>
      <c r="U1867" s="42"/>
      <c r="V1867" s="42"/>
      <c r="W1867" s="42"/>
      <c r="X1867" s="81"/>
    </row>
    <row r="1868" spans="2:24" x14ac:dyDescent="0.25">
      <c r="B1868" s="2">
        <v>1</v>
      </c>
      <c r="C1868" s="1">
        <f t="shared" si="230"/>
        <v>9.9999999999998721</v>
      </c>
      <c r="D1868" s="1">
        <f t="shared" si="228"/>
        <v>1</v>
      </c>
      <c r="E1868" s="1">
        <f t="shared" si="231"/>
        <v>0</v>
      </c>
      <c r="F1868" s="31">
        <f t="shared" si="229"/>
        <v>14.6</v>
      </c>
      <c r="G1868" s="31">
        <f t="shared" ca="1" si="233"/>
        <v>14.6</v>
      </c>
      <c r="H1868" s="30">
        <f t="shared" ca="1" si="234"/>
        <v>0</v>
      </c>
      <c r="I1868" s="31">
        <f t="shared" ca="1" si="235"/>
        <v>14.6</v>
      </c>
      <c r="Q1868" s="80"/>
      <c r="R1868" s="42"/>
      <c r="S1868" s="90">
        <f t="shared" si="232"/>
        <v>180.999999999994</v>
      </c>
      <c r="T1868" s="42"/>
      <c r="U1868" s="42"/>
      <c r="V1868" s="42"/>
      <c r="W1868" s="42"/>
      <c r="X1868" s="81"/>
    </row>
    <row r="1869" spans="2:24" x14ac:dyDescent="0.25">
      <c r="B1869" s="2">
        <v>1</v>
      </c>
      <c r="C1869" s="1">
        <f t="shared" si="230"/>
        <v>10.999999999999872</v>
      </c>
      <c r="D1869" s="1">
        <f t="shared" si="228"/>
        <v>1</v>
      </c>
      <c r="E1869" s="1">
        <f t="shared" si="231"/>
        <v>0</v>
      </c>
      <c r="F1869" s="31">
        <f t="shared" si="229"/>
        <v>14.6</v>
      </c>
      <c r="G1869" s="31">
        <f t="shared" ca="1" si="233"/>
        <v>14.6</v>
      </c>
      <c r="H1869" s="30">
        <f t="shared" ca="1" si="234"/>
        <v>0</v>
      </c>
      <c r="I1869" s="31">
        <f t="shared" ca="1" si="235"/>
        <v>14.6</v>
      </c>
      <c r="Q1869" s="80"/>
      <c r="R1869" s="42"/>
      <c r="S1869" s="90">
        <f t="shared" si="232"/>
        <v>181.099999999994</v>
      </c>
      <c r="T1869" s="42"/>
      <c r="U1869" s="42"/>
      <c r="V1869" s="42"/>
      <c r="W1869" s="42"/>
      <c r="X1869" s="81"/>
    </row>
    <row r="1870" spans="2:24" x14ac:dyDescent="0.25">
      <c r="B1870" s="2">
        <v>1</v>
      </c>
      <c r="C1870" s="1">
        <f t="shared" si="230"/>
        <v>11.999999999999872</v>
      </c>
      <c r="D1870" s="1">
        <f t="shared" si="228"/>
        <v>1</v>
      </c>
      <c r="E1870" s="1">
        <f t="shared" si="231"/>
        <v>0</v>
      </c>
      <c r="F1870" s="31">
        <f t="shared" si="229"/>
        <v>14.6</v>
      </c>
      <c r="G1870" s="31">
        <f t="shared" ca="1" si="233"/>
        <v>14.6</v>
      </c>
      <c r="H1870" s="30">
        <f t="shared" ca="1" si="234"/>
        <v>0</v>
      </c>
      <c r="I1870" s="31">
        <f t="shared" ca="1" si="235"/>
        <v>14.6</v>
      </c>
      <c r="Q1870" s="80"/>
      <c r="R1870" s="42"/>
      <c r="S1870" s="90">
        <f t="shared" si="232"/>
        <v>181.19999999999399</v>
      </c>
      <c r="T1870" s="42"/>
      <c r="U1870" s="42"/>
      <c r="V1870" s="42"/>
      <c r="W1870" s="42"/>
      <c r="X1870" s="81"/>
    </row>
    <row r="1871" spans="2:24" x14ac:dyDescent="0.25">
      <c r="B1871" s="2">
        <v>1</v>
      </c>
      <c r="C1871" s="1">
        <f t="shared" si="230"/>
        <v>12.999999999999872</v>
      </c>
      <c r="D1871" s="1">
        <f t="shared" si="228"/>
        <v>1</v>
      </c>
      <c r="E1871" s="1">
        <f t="shared" si="231"/>
        <v>0</v>
      </c>
      <c r="F1871" s="31">
        <f t="shared" si="229"/>
        <v>14.6</v>
      </c>
      <c r="G1871" s="31">
        <f t="shared" ca="1" si="233"/>
        <v>14.6</v>
      </c>
      <c r="H1871" s="30">
        <f t="shared" ca="1" si="234"/>
        <v>0</v>
      </c>
      <c r="I1871" s="31">
        <f t="shared" ca="1" si="235"/>
        <v>14.6</v>
      </c>
      <c r="Q1871" s="80"/>
      <c r="R1871" s="42"/>
      <c r="S1871" s="90">
        <f t="shared" si="232"/>
        <v>181.29999999999399</v>
      </c>
      <c r="T1871" s="42"/>
      <c r="U1871" s="42"/>
      <c r="V1871" s="42"/>
      <c r="W1871" s="42"/>
      <c r="X1871" s="81"/>
    </row>
    <row r="1872" spans="2:24" x14ac:dyDescent="0.25">
      <c r="B1872" s="2">
        <v>1</v>
      </c>
      <c r="C1872" s="1">
        <f t="shared" si="230"/>
        <v>13.999999999999872</v>
      </c>
      <c r="D1872" s="1">
        <f t="shared" si="228"/>
        <v>1</v>
      </c>
      <c r="E1872" s="1">
        <f t="shared" si="231"/>
        <v>0</v>
      </c>
      <c r="F1872" s="31">
        <f t="shared" si="229"/>
        <v>14.6</v>
      </c>
      <c r="G1872" s="31">
        <f t="shared" ca="1" si="233"/>
        <v>14.6</v>
      </c>
      <c r="H1872" s="30">
        <f t="shared" ca="1" si="234"/>
        <v>0</v>
      </c>
      <c r="I1872" s="31">
        <f t="shared" ca="1" si="235"/>
        <v>14.6</v>
      </c>
      <c r="Q1872" s="80"/>
      <c r="R1872" s="42"/>
      <c r="S1872" s="90">
        <f t="shared" si="232"/>
        <v>181.39999999999398</v>
      </c>
      <c r="T1872" s="42"/>
      <c r="U1872" s="42"/>
      <c r="V1872" s="42"/>
      <c r="W1872" s="42"/>
      <c r="X1872" s="81"/>
    </row>
    <row r="1873" spans="2:24" x14ac:dyDescent="0.25">
      <c r="B1873" s="2">
        <v>1</v>
      </c>
      <c r="C1873" s="1">
        <f t="shared" si="230"/>
        <v>14.999999999999872</v>
      </c>
      <c r="D1873" s="1">
        <f t="shared" si="228"/>
        <v>1</v>
      </c>
      <c r="E1873" s="1">
        <f t="shared" si="231"/>
        <v>0</v>
      </c>
      <c r="F1873" s="31">
        <f t="shared" si="229"/>
        <v>14.6</v>
      </c>
      <c r="G1873" s="31">
        <f t="shared" ca="1" si="233"/>
        <v>14.6</v>
      </c>
      <c r="H1873" s="30">
        <f t="shared" ca="1" si="234"/>
        <v>0</v>
      </c>
      <c r="I1873" s="31">
        <f t="shared" ca="1" si="235"/>
        <v>14.6</v>
      </c>
      <c r="Q1873" s="80"/>
      <c r="R1873" s="42"/>
      <c r="S1873" s="90">
        <f t="shared" si="232"/>
        <v>181.49999999999397</v>
      </c>
      <c r="T1873" s="42"/>
      <c r="U1873" s="42"/>
      <c r="V1873" s="42"/>
      <c r="W1873" s="42"/>
      <c r="X1873" s="81"/>
    </row>
    <row r="1874" spans="2:24" x14ac:dyDescent="0.25">
      <c r="B1874" s="2">
        <v>1</v>
      </c>
      <c r="C1874" s="1">
        <f t="shared" si="230"/>
        <v>15.999999999999872</v>
      </c>
      <c r="D1874" s="1">
        <f t="shared" si="228"/>
        <v>1</v>
      </c>
      <c r="E1874" s="1">
        <f t="shared" si="231"/>
        <v>0</v>
      </c>
      <c r="F1874" s="31">
        <f t="shared" si="229"/>
        <v>14.6</v>
      </c>
      <c r="G1874" s="31">
        <f t="shared" ca="1" si="233"/>
        <v>14.6</v>
      </c>
      <c r="H1874" s="30">
        <f t="shared" ca="1" si="234"/>
        <v>0</v>
      </c>
      <c r="I1874" s="31">
        <f t="shared" ca="1" si="235"/>
        <v>14.6</v>
      </c>
      <c r="Q1874" s="80"/>
      <c r="R1874" s="42"/>
      <c r="S1874" s="90">
        <f t="shared" si="232"/>
        <v>181.59999999999397</v>
      </c>
      <c r="T1874" s="42"/>
      <c r="U1874" s="42"/>
      <c r="V1874" s="42"/>
      <c r="W1874" s="42"/>
      <c r="X1874" s="81"/>
    </row>
    <row r="1875" spans="2:24" x14ac:dyDescent="0.25">
      <c r="B1875" s="2">
        <v>1</v>
      </c>
      <c r="C1875" s="1">
        <f t="shared" si="230"/>
        <v>16.999999999999872</v>
      </c>
      <c r="D1875" s="1">
        <f t="shared" si="228"/>
        <v>1</v>
      </c>
      <c r="E1875" s="1">
        <f t="shared" si="231"/>
        <v>0</v>
      </c>
      <c r="F1875" s="31">
        <f t="shared" si="229"/>
        <v>14.6</v>
      </c>
      <c r="G1875" s="31">
        <f t="shared" ca="1" si="233"/>
        <v>14.6</v>
      </c>
      <c r="H1875" s="30">
        <f t="shared" ca="1" si="234"/>
        <v>0</v>
      </c>
      <c r="I1875" s="31">
        <f t="shared" ca="1" si="235"/>
        <v>14.6</v>
      </c>
      <c r="Q1875" s="80"/>
      <c r="R1875" s="42"/>
      <c r="S1875" s="90">
        <f t="shared" si="232"/>
        <v>181.69999999999396</v>
      </c>
      <c r="T1875" s="42"/>
      <c r="U1875" s="42"/>
      <c r="V1875" s="42"/>
      <c r="W1875" s="42"/>
      <c r="X1875" s="81"/>
    </row>
    <row r="1876" spans="2:24" x14ac:dyDescent="0.25">
      <c r="B1876" s="2">
        <v>1</v>
      </c>
      <c r="C1876" s="1">
        <f t="shared" si="230"/>
        <v>17.999999999999872</v>
      </c>
      <c r="D1876" s="1">
        <f t="shared" si="228"/>
        <v>1</v>
      </c>
      <c r="E1876" s="1">
        <f t="shared" si="231"/>
        <v>0</v>
      </c>
      <c r="F1876" s="31">
        <f t="shared" si="229"/>
        <v>14.6</v>
      </c>
      <c r="G1876" s="31">
        <f t="shared" ca="1" si="233"/>
        <v>14.6</v>
      </c>
      <c r="H1876" s="30">
        <f t="shared" ca="1" si="234"/>
        <v>0</v>
      </c>
      <c r="I1876" s="31">
        <f t="shared" ca="1" si="235"/>
        <v>14.6</v>
      </c>
      <c r="Q1876" s="80"/>
      <c r="R1876" s="42"/>
      <c r="S1876" s="90">
        <f t="shared" si="232"/>
        <v>181.79999999999396</v>
      </c>
      <c r="T1876" s="42"/>
      <c r="U1876" s="42"/>
      <c r="V1876" s="42"/>
      <c r="W1876" s="42"/>
      <c r="X1876" s="81"/>
    </row>
    <row r="1877" spans="2:24" x14ac:dyDescent="0.25">
      <c r="B1877" s="2">
        <v>1</v>
      </c>
      <c r="C1877" s="1">
        <f t="shared" si="230"/>
        <v>18.999999999999872</v>
      </c>
      <c r="D1877" s="1">
        <f t="shared" si="228"/>
        <v>1</v>
      </c>
      <c r="E1877" s="1">
        <f t="shared" si="231"/>
        <v>0</v>
      </c>
      <c r="F1877" s="31">
        <f t="shared" si="229"/>
        <v>14.6</v>
      </c>
      <c r="G1877" s="31">
        <f t="shared" ca="1" si="233"/>
        <v>14.6</v>
      </c>
      <c r="H1877" s="30">
        <f t="shared" ca="1" si="234"/>
        <v>0</v>
      </c>
      <c r="I1877" s="31">
        <f t="shared" ca="1" si="235"/>
        <v>14.6</v>
      </c>
      <c r="Q1877" s="80"/>
      <c r="R1877" s="42"/>
      <c r="S1877" s="90">
        <f t="shared" si="232"/>
        <v>181.89999999999395</v>
      </c>
      <c r="T1877" s="42"/>
      <c r="U1877" s="42"/>
      <c r="V1877" s="42"/>
      <c r="W1877" s="42"/>
      <c r="X1877" s="81"/>
    </row>
    <row r="1878" spans="2:24" x14ac:dyDescent="0.25">
      <c r="B1878" s="2">
        <v>1</v>
      </c>
      <c r="C1878" s="1">
        <f t="shared" si="230"/>
        <v>19.999999999999872</v>
      </c>
      <c r="D1878" s="1">
        <f t="shared" si="228"/>
        <v>1</v>
      </c>
      <c r="E1878" s="1">
        <f t="shared" si="231"/>
        <v>0</v>
      </c>
      <c r="F1878" s="31">
        <f t="shared" si="229"/>
        <v>14.6</v>
      </c>
      <c r="G1878" s="31">
        <f t="shared" ca="1" si="233"/>
        <v>14.6</v>
      </c>
      <c r="H1878" s="30">
        <f t="shared" ca="1" si="234"/>
        <v>0</v>
      </c>
      <c r="I1878" s="31">
        <f t="shared" ca="1" si="235"/>
        <v>14.6</v>
      </c>
      <c r="Q1878" s="80"/>
      <c r="R1878" s="42"/>
      <c r="S1878" s="90">
        <f t="shared" si="232"/>
        <v>181.99999999999395</v>
      </c>
      <c r="T1878" s="42"/>
      <c r="U1878" s="42"/>
      <c r="V1878" s="42"/>
      <c r="W1878" s="42"/>
      <c r="X1878" s="81"/>
    </row>
    <row r="1879" spans="2:24" x14ac:dyDescent="0.25">
      <c r="B1879" s="2">
        <v>1</v>
      </c>
      <c r="C1879" s="1">
        <f t="shared" si="230"/>
        <v>20.999999999999872</v>
      </c>
      <c r="D1879" s="1">
        <f t="shared" si="228"/>
        <v>1</v>
      </c>
      <c r="E1879" s="1">
        <f t="shared" si="231"/>
        <v>0</v>
      </c>
      <c r="F1879" s="31">
        <f t="shared" si="229"/>
        <v>14.6</v>
      </c>
      <c r="G1879" s="31">
        <f t="shared" ca="1" si="233"/>
        <v>14.6</v>
      </c>
      <c r="H1879" s="30">
        <f t="shared" ca="1" si="234"/>
        <v>0</v>
      </c>
      <c r="I1879" s="31">
        <f t="shared" ca="1" si="235"/>
        <v>14.6</v>
      </c>
      <c r="Q1879" s="80"/>
      <c r="R1879" s="42"/>
      <c r="S1879" s="90">
        <f t="shared" si="232"/>
        <v>182.09999999999394</v>
      </c>
      <c r="T1879" s="42"/>
      <c r="U1879" s="42"/>
      <c r="V1879" s="42"/>
      <c r="W1879" s="42"/>
      <c r="X1879" s="81"/>
    </row>
    <row r="1880" spans="2:24" x14ac:dyDescent="0.25">
      <c r="B1880" s="2">
        <v>1</v>
      </c>
      <c r="C1880" s="1">
        <f t="shared" si="230"/>
        <v>21.999999999999872</v>
      </c>
      <c r="D1880" s="1">
        <f t="shared" si="228"/>
        <v>1</v>
      </c>
      <c r="E1880" s="1">
        <f t="shared" si="231"/>
        <v>0</v>
      </c>
      <c r="F1880" s="31">
        <f t="shared" si="229"/>
        <v>14.6</v>
      </c>
      <c r="G1880" s="31">
        <f t="shared" ca="1" si="233"/>
        <v>14.6</v>
      </c>
      <c r="H1880" s="30">
        <f t="shared" ca="1" si="234"/>
        <v>0</v>
      </c>
      <c r="I1880" s="31">
        <f t="shared" ca="1" si="235"/>
        <v>14.6</v>
      </c>
      <c r="Q1880" s="80"/>
      <c r="R1880" s="42"/>
      <c r="S1880" s="90">
        <f t="shared" si="232"/>
        <v>182.19999999999393</v>
      </c>
      <c r="T1880" s="42"/>
      <c r="U1880" s="42"/>
      <c r="V1880" s="42"/>
      <c r="W1880" s="42"/>
      <c r="X1880" s="81"/>
    </row>
    <row r="1881" spans="2:24" x14ac:dyDescent="0.25">
      <c r="B1881" s="2">
        <v>1</v>
      </c>
      <c r="C1881" s="1">
        <f t="shared" si="230"/>
        <v>22.999999999999872</v>
      </c>
      <c r="D1881" s="1">
        <f t="shared" si="228"/>
        <v>0</v>
      </c>
      <c r="E1881" s="1">
        <f t="shared" si="231"/>
        <v>1</v>
      </c>
      <c r="F1881" s="31">
        <f t="shared" si="229"/>
        <v>6.4</v>
      </c>
      <c r="G1881" s="31">
        <f t="shared" ca="1" si="233"/>
        <v>0</v>
      </c>
      <c r="H1881" s="30">
        <f t="shared" ca="1" si="234"/>
        <v>14.6</v>
      </c>
      <c r="I1881" s="31">
        <f t="shared" ca="1" si="235"/>
        <v>14.6</v>
      </c>
      <c r="Q1881" s="80"/>
      <c r="R1881" s="42"/>
      <c r="S1881" s="90">
        <f t="shared" si="232"/>
        <v>182.29999999999393</v>
      </c>
      <c r="T1881" s="42"/>
      <c r="U1881" s="42"/>
      <c r="V1881" s="42"/>
      <c r="W1881" s="42"/>
      <c r="X1881" s="81"/>
    </row>
    <row r="1882" spans="2:24" x14ac:dyDescent="0.25">
      <c r="B1882" s="2">
        <v>1</v>
      </c>
      <c r="C1882" s="1">
        <f t="shared" si="230"/>
        <v>23.999999999999872</v>
      </c>
      <c r="D1882" s="1">
        <f t="shared" si="228"/>
        <v>0</v>
      </c>
      <c r="E1882" s="1">
        <f t="shared" si="231"/>
        <v>1</v>
      </c>
      <c r="F1882" s="31">
        <f t="shared" si="229"/>
        <v>6.4</v>
      </c>
      <c r="G1882" s="31">
        <f t="shared" ca="1" si="233"/>
        <v>0</v>
      </c>
      <c r="H1882" s="30">
        <f t="shared" ca="1" si="234"/>
        <v>6.4</v>
      </c>
      <c r="I1882" s="31">
        <f t="shared" ca="1" si="235"/>
        <v>6.4</v>
      </c>
      <c r="Q1882" s="80"/>
      <c r="R1882" s="42"/>
      <c r="S1882" s="90">
        <f t="shared" si="232"/>
        <v>182.39999999999392</v>
      </c>
      <c r="T1882" s="42"/>
      <c r="U1882" s="42"/>
      <c r="V1882" s="42"/>
      <c r="W1882" s="42"/>
      <c r="X1882" s="81"/>
    </row>
    <row r="1883" spans="2:24" x14ac:dyDescent="0.25">
      <c r="B1883" s="2">
        <v>1</v>
      </c>
      <c r="C1883" s="1">
        <f t="shared" si="230"/>
        <v>24.999999999999872</v>
      </c>
      <c r="D1883" s="1">
        <f t="shared" si="228"/>
        <v>0</v>
      </c>
      <c r="E1883" s="1">
        <f t="shared" si="231"/>
        <v>1</v>
      </c>
      <c r="F1883" s="31">
        <f t="shared" si="229"/>
        <v>6.4</v>
      </c>
      <c r="G1883" s="31">
        <f t="shared" ca="1" si="233"/>
        <v>0</v>
      </c>
      <c r="H1883" s="30">
        <f t="shared" ca="1" si="234"/>
        <v>6.4</v>
      </c>
      <c r="I1883" s="31">
        <f t="shared" ca="1" si="235"/>
        <v>6.4</v>
      </c>
      <c r="Q1883" s="80"/>
      <c r="R1883" s="42"/>
      <c r="S1883" s="90">
        <f t="shared" si="232"/>
        <v>182.49999999999392</v>
      </c>
      <c r="T1883" s="42"/>
      <c r="U1883" s="42"/>
      <c r="V1883" s="42"/>
      <c r="W1883" s="42"/>
      <c r="X1883" s="81"/>
    </row>
    <row r="1884" spans="2:24" x14ac:dyDescent="0.25">
      <c r="B1884" s="2">
        <v>1</v>
      </c>
      <c r="C1884" s="1">
        <f t="shared" si="230"/>
        <v>25.999999999999872</v>
      </c>
      <c r="D1884" s="1">
        <f t="shared" si="228"/>
        <v>0</v>
      </c>
      <c r="E1884" s="1">
        <f t="shared" si="231"/>
        <v>1</v>
      </c>
      <c r="F1884" s="31">
        <f t="shared" si="229"/>
        <v>6.4</v>
      </c>
      <c r="G1884" s="31">
        <f t="shared" ca="1" si="233"/>
        <v>0</v>
      </c>
      <c r="H1884" s="30">
        <f t="shared" ca="1" si="234"/>
        <v>6.4</v>
      </c>
      <c r="I1884" s="31">
        <f t="shared" ca="1" si="235"/>
        <v>6.4</v>
      </c>
      <c r="Q1884" s="80"/>
      <c r="R1884" s="42"/>
      <c r="S1884" s="90">
        <f t="shared" si="232"/>
        <v>182.59999999999391</v>
      </c>
      <c r="T1884" s="42"/>
      <c r="U1884" s="42"/>
      <c r="V1884" s="42"/>
      <c r="W1884" s="42"/>
      <c r="X1884" s="81"/>
    </row>
    <row r="1885" spans="2:24" x14ac:dyDescent="0.25">
      <c r="B1885" s="2">
        <v>1</v>
      </c>
      <c r="C1885" s="1">
        <f t="shared" si="230"/>
        <v>26.999999999999872</v>
      </c>
      <c r="D1885" s="1">
        <f t="shared" si="228"/>
        <v>0</v>
      </c>
      <c r="E1885" s="1">
        <f t="shared" si="231"/>
        <v>1</v>
      </c>
      <c r="F1885" s="31">
        <f t="shared" si="229"/>
        <v>6.4</v>
      </c>
      <c r="G1885" s="31">
        <f t="shared" ca="1" si="233"/>
        <v>0</v>
      </c>
      <c r="H1885" s="30">
        <f t="shared" ca="1" si="234"/>
        <v>6.4</v>
      </c>
      <c r="I1885" s="31">
        <f t="shared" ca="1" si="235"/>
        <v>6.4</v>
      </c>
      <c r="Q1885" s="80"/>
      <c r="R1885" s="42"/>
      <c r="S1885" s="90">
        <f t="shared" si="232"/>
        <v>182.69999999999391</v>
      </c>
      <c r="T1885" s="42"/>
      <c r="U1885" s="42"/>
      <c r="V1885" s="42"/>
      <c r="W1885" s="42"/>
      <c r="X1885" s="81"/>
    </row>
    <row r="1886" spans="2:24" x14ac:dyDescent="0.25">
      <c r="B1886" s="2">
        <v>1</v>
      </c>
      <c r="C1886" s="1">
        <f t="shared" si="230"/>
        <v>27.999999999999872</v>
      </c>
      <c r="D1886" s="1">
        <f t="shared" si="228"/>
        <v>0</v>
      </c>
      <c r="E1886" s="1">
        <f t="shared" si="231"/>
        <v>1</v>
      </c>
      <c r="F1886" s="31">
        <f t="shared" si="229"/>
        <v>6.4</v>
      </c>
      <c r="G1886" s="31">
        <f t="shared" ca="1" si="233"/>
        <v>0</v>
      </c>
      <c r="H1886" s="30">
        <f t="shared" ca="1" si="234"/>
        <v>6.4</v>
      </c>
      <c r="I1886" s="31">
        <f t="shared" ca="1" si="235"/>
        <v>6.4</v>
      </c>
      <c r="Q1886" s="80"/>
      <c r="R1886" s="42"/>
      <c r="S1886" s="90">
        <f t="shared" si="232"/>
        <v>182.7999999999939</v>
      </c>
      <c r="T1886" s="42"/>
      <c r="U1886" s="42"/>
      <c r="V1886" s="42"/>
      <c r="W1886" s="42"/>
      <c r="X1886" s="81"/>
    </row>
    <row r="1887" spans="2:24" x14ac:dyDescent="0.25">
      <c r="B1887" s="2">
        <v>1</v>
      </c>
      <c r="C1887" s="1">
        <f t="shared" si="230"/>
        <v>28.999999999999872</v>
      </c>
      <c r="D1887" s="1">
        <f t="shared" si="228"/>
        <v>0</v>
      </c>
      <c r="E1887" s="1">
        <f t="shared" si="231"/>
        <v>1</v>
      </c>
      <c r="F1887" s="31">
        <f t="shared" si="229"/>
        <v>6.4</v>
      </c>
      <c r="G1887" s="31">
        <f t="shared" ca="1" si="233"/>
        <v>0</v>
      </c>
      <c r="H1887" s="30">
        <f t="shared" ca="1" si="234"/>
        <v>6.4</v>
      </c>
      <c r="I1887" s="31">
        <f t="shared" ca="1" si="235"/>
        <v>6.4</v>
      </c>
      <c r="Q1887" s="80"/>
      <c r="R1887" s="42"/>
      <c r="S1887" s="90">
        <f t="shared" si="232"/>
        <v>182.8999999999939</v>
      </c>
      <c r="T1887" s="42"/>
      <c r="U1887" s="42"/>
      <c r="V1887" s="42"/>
      <c r="W1887" s="42"/>
      <c r="X1887" s="81"/>
    </row>
    <row r="1888" spans="2:24" x14ac:dyDescent="0.25">
      <c r="B1888" s="2">
        <v>1</v>
      </c>
      <c r="C1888" s="1">
        <f t="shared" si="230"/>
        <v>29.999999999999872</v>
      </c>
      <c r="D1888" s="1">
        <f t="shared" si="228"/>
        <v>0</v>
      </c>
      <c r="E1888" s="1">
        <f t="shared" si="231"/>
        <v>1</v>
      </c>
      <c r="F1888" s="31">
        <f t="shared" si="229"/>
        <v>6.4</v>
      </c>
      <c r="G1888" s="31">
        <f t="shared" ca="1" si="233"/>
        <v>0</v>
      </c>
      <c r="H1888" s="30">
        <f t="shared" ca="1" si="234"/>
        <v>6.4</v>
      </c>
      <c r="I1888" s="31">
        <f t="shared" ca="1" si="235"/>
        <v>6.4</v>
      </c>
      <c r="Q1888" s="80"/>
      <c r="R1888" s="42"/>
      <c r="S1888" s="90">
        <f t="shared" si="232"/>
        <v>182.99999999999389</v>
      </c>
      <c r="T1888" s="42"/>
      <c r="U1888" s="42"/>
      <c r="V1888" s="42"/>
      <c r="W1888" s="42"/>
      <c r="X1888" s="81"/>
    </row>
    <row r="1889" spans="2:24" x14ac:dyDescent="0.25">
      <c r="B1889" s="2">
        <v>1</v>
      </c>
      <c r="C1889" s="1">
        <f t="shared" si="230"/>
        <v>30.999999999999872</v>
      </c>
      <c r="D1889" s="1">
        <f t="shared" si="228"/>
        <v>0</v>
      </c>
      <c r="E1889" s="1">
        <f t="shared" si="231"/>
        <v>1</v>
      </c>
      <c r="F1889" s="31">
        <f t="shared" si="229"/>
        <v>6.4</v>
      </c>
      <c r="G1889" s="31">
        <f t="shared" ca="1" si="233"/>
        <v>0</v>
      </c>
      <c r="H1889" s="30">
        <f t="shared" ca="1" si="234"/>
        <v>6.4</v>
      </c>
      <c r="I1889" s="31">
        <f t="shared" ca="1" si="235"/>
        <v>6.4</v>
      </c>
      <c r="Q1889" s="80"/>
      <c r="R1889" s="42"/>
      <c r="S1889" s="90">
        <f t="shared" si="232"/>
        <v>183.09999999999388</v>
      </c>
      <c r="T1889" s="42"/>
      <c r="U1889" s="42"/>
      <c r="V1889" s="42"/>
      <c r="W1889" s="42"/>
      <c r="X1889" s="81"/>
    </row>
    <row r="1890" spans="2:24" x14ac:dyDescent="0.25">
      <c r="B1890" s="2">
        <v>1</v>
      </c>
      <c r="C1890" s="1">
        <f t="shared" si="230"/>
        <v>31.999999999999872</v>
      </c>
      <c r="D1890" s="1">
        <f t="shared" si="228"/>
        <v>0</v>
      </c>
      <c r="E1890" s="1">
        <f t="shared" si="231"/>
        <v>1</v>
      </c>
      <c r="F1890" s="31">
        <f t="shared" si="229"/>
        <v>6.4</v>
      </c>
      <c r="G1890" s="31">
        <f t="shared" ca="1" si="233"/>
        <v>0</v>
      </c>
      <c r="H1890" s="30">
        <f t="shared" ca="1" si="234"/>
        <v>6.4</v>
      </c>
      <c r="I1890" s="31">
        <f t="shared" ca="1" si="235"/>
        <v>6.4</v>
      </c>
      <c r="Q1890" s="80"/>
      <c r="R1890" s="42"/>
      <c r="S1890" s="90">
        <f t="shared" si="232"/>
        <v>183.19999999999388</v>
      </c>
      <c r="T1890" s="42"/>
      <c r="U1890" s="42"/>
      <c r="V1890" s="42"/>
      <c r="W1890" s="42"/>
      <c r="X1890" s="81"/>
    </row>
    <row r="1891" spans="2:24" x14ac:dyDescent="0.25">
      <c r="B1891" s="2">
        <v>1</v>
      </c>
      <c r="C1891" s="1">
        <f t="shared" si="230"/>
        <v>32.999999999999872</v>
      </c>
      <c r="D1891" s="1">
        <f t="shared" si="228"/>
        <v>0</v>
      </c>
      <c r="E1891" s="1">
        <f t="shared" si="231"/>
        <v>1</v>
      </c>
      <c r="F1891" s="31">
        <f t="shared" si="229"/>
        <v>6.4</v>
      </c>
      <c r="G1891" s="31">
        <f t="shared" ca="1" si="233"/>
        <v>0</v>
      </c>
      <c r="H1891" s="30">
        <f t="shared" ca="1" si="234"/>
        <v>6.4</v>
      </c>
      <c r="I1891" s="31">
        <f t="shared" ca="1" si="235"/>
        <v>6.4</v>
      </c>
      <c r="Q1891" s="80"/>
      <c r="R1891" s="42"/>
      <c r="S1891" s="90">
        <f t="shared" si="232"/>
        <v>183.29999999999387</v>
      </c>
      <c r="T1891" s="42"/>
      <c r="U1891" s="42"/>
      <c r="V1891" s="42"/>
      <c r="W1891" s="42"/>
      <c r="X1891" s="81"/>
    </row>
    <row r="1892" spans="2:24" x14ac:dyDescent="0.25">
      <c r="B1892" s="2">
        <v>1</v>
      </c>
      <c r="C1892" s="1">
        <f t="shared" si="230"/>
        <v>33.999999999999872</v>
      </c>
      <c r="D1892" s="1">
        <f t="shared" si="228"/>
        <v>0</v>
      </c>
      <c r="E1892" s="1">
        <f t="shared" si="231"/>
        <v>1</v>
      </c>
      <c r="F1892" s="31">
        <f t="shared" si="229"/>
        <v>6.4</v>
      </c>
      <c r="G1892" s="31">
        <f t="shared" ca="1" si="233"/>
        <v>0</v>
      </c>
      <c r="H1892" s="30">
        <f t="shared" ca="1" si="234"/>
        <v>6.4</v>
      </c>
      <c r="I1892" s="31">
        <f t="shared" ca="1" si="235"/>
        <v>6.4</v>
      </c>
      <c r="Q1892" s="80"/>
      <c r="R1892" s="42"/>
      <c r="S1892" s="90">
        <f t="shared" si="232"/>
        <v>183.39999999999387</v>
      </c>
      <c r="T1892" s="42"/>
      <c r="U1892" s="42"/>
      <c r="V1892" s="42"/>
      <c r="W1892" s="42"/>
      <c r="X1892" s="81"/>
    </row>
    <row r="1893" spans="2:24" x14ac:dyDescent="0.25">
      <c r="B1893" s="2">
        <v>1</v>
      </c>
      <c r="C1893" s="1">
        <f t="shared" si="230"/>
        <v>34.999999999999872</v>
      </c>
      <c r="D1893" s="1">
        <f t="shared" si="228"/>
        <v>0</v>
      </c>
      <c r="E1893" s="1">
        <f t="shared" si="231"/>
        <v>1</v>
      </c>
      <c r="F1893" s="31">
        <f t="shared" si="229"/>
        <v>6.4</v>
      </c>
      <c r="G1893" s="31">
        <f t="shared" ca="1" si="233"/>
        <v>0</v>
      </c>
      <c r="H1893" s="30">
        <f t="shared" ca="1" si="234"/>
        <v>6.4</v>
      </c>
      <c r="I1893" s="31">
        <f t="shared" ca="1" si="235"/>
        <v>6.4</v>
      </c>
      <c r="Q1893" s="80"/>
      <c r="R1893" s="42"/>
      <c r="S1893" s="90">
        <f t="shared" si="232"/>
        <v>183.49999999999386</v>
      </c>
      <c r="T1893" s="42"/>
      <c r="U1893" s="42"/>
      <c r="V1893" s="42"/>
      <c r="W1893" s="42"/>
      <c r="X1893" s="81"/>
    </row>
    <row r="1894" spans="2:24" x14ac:dyDescent="0.25">
      <c r="B1894" s="2">
        <v>1</v>
      </c>
      <c r="C1894" s="1">
        <f t="shared" si="230"/>
        <v>0.70588235294104607</v>
      </c>
      <c r="D1894" s="1">
        <f t="shared" si="228"/>
        <v>1</v>
      </c>
      <c r="E1894" s="1">
        <f t="shared" si="231"/>
        <v>0</v>
      </c>
      <c r="F1894" s="31">
        <f t="shared" si="229"/>
        <v>14.6</v>
      </c>
      <c r="G1894" s="31">
        <f t="shared" ca="1" si="233"/>
        <v>6.4</v>
      </c>
      <c r="H1894" s="30">
        <f t="shared" ca="1" si="234"/>
        <v>0</v>
      </c>
      <c r="I1894" s="31">
        <f t="shared" ca="1" si="235"/>
        <v>6.4</v>
      </c>
      <c r="Q1894" s="80"/>
      <c r="R1894" s="42"/>
      <c r="S1894" s="90">
        <f t="shared" si="232"/>
        <v>183.59999999999386</v>
      </c>
      <c r="T1894" s="42"/>
      <c r="U1894" s="42"/>
      <c r="V1894" s="42"/>
      <c r="W1894" s="42"/>
      <c r="X1894" s="81"/>
    </row>
    <row r="1895" spans="2:24" x14ac:dyDescent="0.25">
      <c r="B1895" s="2">
        <v>1</v>
      </c>
      <c r="C1895" s="1">
        <f t="shared" si="230"/>
        <v>1.7058823529410461</v>
      </c>
      <c r="D1895" s="1">
        <f t="shared" si="228"/>
        <v>1</v>
      </c>
      <c r="E1895" s="1">
        <f t="shared" si="231"/>
        <v>0</v>
      </c>
      <c r="F1895" s="31">
        <f t="shared" si="229"/>
        <v>14.6</v>
      </c>
      <c r="G1895" s="31">
        <f t="shared" ca="1" si="233"/>
        <v>8.4500000000000011</v>
      </c>
      <c r="H1895" s="30">
        <f t="shared" ca="1" si="234"/>
        <v>0</v>
      </c>
      <c r="I1895" s="31">
        <f t="shared" ca="1" si="235"/>
        <v>8.4500000000000011</v>
      </c>
      <c r="Q1895" s="80"/>
      <c r="R1895" s="42"/>
      <c r="S1895" s="90">
        <f t="shared" si="232"/>
        <v>183.69999999999385</v>
      </c>
      <c r="T1895" s="42"/>
      <c r="U1895" s="42"/>
      <c r="V1895" s="42"/>
      <c r="W1895" s="42"/>
      <c r="X1895" s="81"/>
    </row>
    <row r="1896" spans="2:24" x14ac:dyDescent="0.25">
      <c r="B1896" s="2">
        <v>1</v>
      </c>
      <c r="C1896" s="1">
        <f t="shared" si="230"/>
        <v>2.7058823529410461</v>
      </c>
      <c r="D1896" s="1">
        <f t="shared" si="228"/>
        <v>1</v>
      </c>
      <c r="E1896" s="1">
        <f t="shared" si="231"/>
        <v>0</v>
      </c>
      <c r="F1896" s="31">
        <f t="shared" si="229"/>
        <v>14.6</v>
      </c>
      <c r="G1896" s="31">
        <f t="shared" ca="1" si="233"/>
        <v>10.5</v>
      </c>
      <c r="H1896" s="30">
        <f t="shared" ca="1" si="234"/>
        <v>0</v>
      </c>
      <c r="I1896" s="31">
        <f t="shared" ca="1" si="235"/>
        <v>10.5</v>
      </c>
      <c r="Q1896" s="80"/>
      <c r="R1896" s="42"/>
      <c r="S1896" s="90">
        <f t="shared" si="232"/>
        <v>183.79999999999384</v>
      </c>
      <c r="T1896" s="42"/>
      <c r="U1896" s="42"/>
      <c r="V1896" s="42"/>
      <c r="W1896" s="42"/>
      <c r="X1896" s="81"/>
    </row>
    <row r="1897" spans="2:24" x14ac:dyDescent="0.25">
      <c r="B1897" s="2">
        <v>1</v>
      </c>
      <c r="C1897" s="1">
        <f t="shared" si="230"/>
        <v>3.7058823529410461</v>
      </c>
      <c r="D1897" s="1">
        <f t="shared" si="228"/>
        <v>1</v>
      </c>
      <c r="E1897" s="1">
        <f t="shared" si="231"/>
        <v>0</v>
      </c>
      <c r="F1897" s="31">
        <f t="shared" si="229"/>
        <v>14.6</v>
      </c>
      <c r="G1897" s="31">
        <f t="shared" ca="1" si="233"/>
        <v>12.55</v>
      </c>
      <c r="H1897" s="30">
        <f t="shared" ca="1" si="234"/>
        <v>0</v>
      </c>
      <c r="I1897" s="31">
        <f t="shared" ca="1" si="235"/>
        <v>12.55</v>
      </c>
      <c r="Q1897" s="80"/>
      <c r="R1897" s="42"/>
      <c r="S1897" s="90">
        <f t="shared" si="232"/>
        <v>183.89999999999384</v>
      </c>
      <c r="T1897" s="42"/>
      <c r="U1897" s="42"/>
      <c r="V1897" s="42"/>
      <c r="W1897" s="42"/>
      <c r="X1897" s="81"/>
    </row>
    <row r="1898" spans="2:24" x14ac:dyDescent="0.25">
      <c r="B1898" s="2">
        <v>1</v>
      </c>
      <c r="C1898" s="1">
        <f t="shared" si="230"/>
        <v>4.7058823529410461</v>
      </c>
      <c r="D1898" s="1">
        <f t="shared" si="228"/>
        <v>1</v>
      </c>
      <c r="E1898" s="1">
        <f t="shared" si="231"/>
        <v>0</v>
      </c>
      <c r="F1898" s="31">
        <f t="shared" si="229"/>
        <v>14.6</v>
      </c>
      <c r="G1898" s="31">
        <f t="shared" ca="1" si="233"/>
        <v>14.6</v>
      </c>
      <c r="H1898" s="30">
        <f t="shared" ca="1" si="234"/>
        <v>0</v>
      </c>
      <c r="I1898" s="31">
        <f t="shared" ca="1" si="235"/>
        <v>14.6</v>
      </c>
      <c r="Q1898" s="80"/>
      <c r="R1898" s="42"/>
      <c r="S1898" s="90">
        <f t="shared" si="232"/>
        <v>183.99999999999383</v>
      </c>
      <c r="T1898" s="42"/>
      <c r="U1898" s="42"/>
      <c r="V1898" s="42"/>
      <c r="W1898" s="42"/>
      <c r="X1898" s="81"/>
    </row>
    <row r="1899" spans="2:24" x14ac:dyDescent="0.25">
      <c r="B1899" s="2">
        <v>1</v>
      </c>
      <c r="C1899" s="1">
        <f t="shared" si="230"/>
        <v>5.7058823529410461</v>
      </c>
      <c r="D1899" s="1">
        <f t="shared" si="228"/>
        <v>1</v>
      </c>
      <c r="E1899" s="1">
        <f t="shared" si="231"/>
        <v>0</v>
      </c>
      <c r="F1899" s="31">
        <f t="shared" si="229"/>
        <v>14.6</v>
      </c>
      <c r="G1899" s="31">
        <f t="shared" ca="1" si="233"/>
        <v>14.6</v>
      </c>
      <c r="H1899" s="30">
        <f t="shared" ca="1" si="234"/>
        <v>0</v>
      </c>
      <c r="I1899" s="31">
        <f t="shared" ca="1" si="235"/>
        <v>14.6</v>
      </c>
      <c r="Q1899" s="80"/>
      <c r="R1899" s="42"/>
      <c r="S1899" s="90">
        <f t="shared" si="232"/>
        <v>184.09999999999383</v>
      </c>
      <c r="T1899" s="42"/>
      <c r="U1899" s="42"/>
      <c r="V1899" s="42"/>
      <c r="W1899" s="42"/>
      <c r="X1899" s="81"/>
    </row>
    <row r="1900" spans="2:24" x14ac:dyDescent="0.25">
      <c r="B1900" s="2">
        <v>1</v>
      </c>
      <c r="C1900" s="1">
        <f t="shared" si="230"/>
        <v>6.7058823529410461</v>
      </c>
      <c r="D1900" s="1">
        <f t="shared" si="228"/>
        <v>1</v>
      </c>
      <c r="E1900" s="1">
        <f t="shared" si="231"/>
        <v>0</v>
      </c>
      <c r="F1900" s="31">
        <f t="shared" si="229"/>
        <v>14.6</v>
      </c>
      <c r="G1900" s="31">
        <f t="shared" ca="1" si="233"/>
        <v>14.6</v>
      </c>
      <c r="H1900" s="30">
        <f t="shared" ca="1" si="234"/>
        <v>0</v>
      </c>
      <c r="I1900" s="31">
        <f t="shared" ca="1" si="235"/>
        <v>14.6</v>
      </c>
      <c r="Q1900" s="80"/>
      <c r="R1900" s="42"/>
      <c r="S1900" s="90">
        <f t="shared" si="232"/>
        <v>184.19999999999382</v>
      </c>
      <c r="T1900" s="42"/>
      <c r="U1900" s="42"/>
      <c r="V1900" s="42"/>
      <c r="W1900" s="42"/>
      <c r="X1900" s="81"/>
    </row>
    <row r="1901" spans="2:24" x14ac:dyDescent="0.25">
      <c r="B1901" s="2">
        <v>1</v>
      </c>
      <c r="C1901" s="1">
        <f t="shared" si="230"/>
        <v>7.7058823529410461</v>
      </c>
      <c r="D1901" s="1">
        <f t="shared" si="228"/>
        <v>1</v>
      </c>
      <c r="E1901" s="1">
        <f t="shared" si="231"/>
        <v>0</v>
      </c>
      <c r="F1901" s="31">
        <f t="shared" si="229"/>
        <v>14.6</v>
      </c>
      <c r="G1901" s="31">
        <f t="shared" ca="1" si="233"/>
        <v>14.6</v>
      </c>
      <c r="H1901" s="30">
        <f t="shared" ca="1" si="234"/>
        <v>0</v>
      </c>
      <c r="I1901" s="31">
        <f t="shared" ca="1" si="235"/>
        <v>14.6</v>
      </c>
      <c r="Q1901" s="80"/>
      <c r="R1901" s="42"/>
      <c r="S1901" s="90">
        <f t="shared" si="232"/>
        <v>184.29999999999382</v>
      </c>
      <c r="T1901" s="42"/>
      <c r="U1901" s="42"/>
      <c r="V1901" s="42"/>
      <c r="W1901" s="42"/>
      <c r="X1901" s="81"/>
    </row>
    <row r="1902" spans="2:24" x14ac:dyDescent="0.25">
      <c r="B1902" s="2">
        <v>1</v>
      </c>
      <c r="C1902" s="1">
        <f t="shared" si="230"/>
        <v>8.7058823529410461</v>
      </c>
      <c r="D1902" s="1">
        <f t="shared" si="228"/>
        <v>1</v>
      </c>
      <c r="E1902" s="1">
        <f t="shared" si="231"/>
        <v>0</v>
      </c>
      <c r="F1902" s="31">
        <f t="shared" si="229"/>
        <v>14.6</v>
      </c>
      <c r="G1902" s="31">
        <f t="shared" ca="1" si="233"/>
        <v>14.6</v>
      </c>
      <c r="H1902" s="30">
        <f t="shared" ca="1" si="234"/>
        <v>0</v>
      </c>
      <c r="I1902" s="31">
        <f t="shared" ca="1" si="235"/>
        <v>14.6</v>
      </c>
      <c r="Q1902" s="80"/>
      <c r="R1902" s="42"/>
      <c r="S1902" s="90">
        <f t="shared" si="232"/>
        <v>184.39999999999381</v>
      </c>
      <c r="T1902" s="42"/>
      <c r="U1902" s="42"/>
      <c r="V1902" s="42"/>
      <c r="W1902" s="42"/>
      <c r="X1902" s="81"/>
    </row>
    <row r="1903" spans="2:24" x14ac:dyDescent="0.25">
      <c r="B1903" s="2">
        <v>1</v>
      </c>
      <c r="C1903" s="1">
        <f t="shared" si="230"/>
        <v>9.7058823529410461</v>
      </c>
      <c r="D1903" s="1">
        <f t="shared" si="228"/>
        <v>1</v>
      </c>
      <c r="E1903" s="1">
        <f t="shared" si="231"/>
        <v>0</v>
      </c>
      <c r="F1903" s="31">
        <f t="shared" si="229"/>
        <v>14.6</v>
      </c>
      <c r="G1903" s="31">
        <f t="shared" ca="1" si="233"/>
        <v>14.6</v>
      </c>
      <c r="H1903" s="30">
        <f t="shared" ca="1" si="234"/>
        <v>0</v>
      </c>
      <c r="I1903" s="31">
        <f t="shared" ca="1" si="235"/>
        <v>14.6</v>
      </c>
      <c r="Q1903" s="80"/>
      <c r="R1903" s="42"/>
      <c r="S1903" s="90">
        <f t="shared" si="232"/>
        <v>184.4999999999938</v>
      </c>
      <c r="T1903" s="42"/>
      <c r="U1903" s="42"/>
      <c r="V1903" s="42"/>
      <c r="W1903" s="42"/>
      <c r="X1903" s="81"/>
    </row>
    <row r="1904" spans="2:24" x14ac:dyDescent="0.25">
      <c r="B1904" s="2">
        <v>1</v>
      </c>
      <c r="C1904" s="1">
        <f t="shared" si="230"/>
        <v>10.705882352941046</v>
      </c>
      <c r="D1904" s="1">
        <f t="shared" si="228"/>
        <v>1</v>
      </c>
      <c r="E1904" s="1">
        <f t="shared" si="231"/>
        <v>0</v>
      </c>
      <c r="F1904" s="31">
        <f t="shared" si="229"/>
        <v>14.6</v>
      </c>
      <c r="G1904" s="31">
        <f t="shared" ca="1" si="233"/>
        <v>14.6</v>
      </c>
      <c r="H1904" s="30">
        <f t="shared" ca="1" si="234"/>
        <v>0</v>
      </c>
      <c r="I1904" s="31">
        <f t="shared" ca="1" si="235"/>
        <v>14.6</v>
      </c>
      <c r="Q1904" s="80"/>
      <c r="R1904" s="42"/>
      <c r="S1904" s="90">
        <f t="shared" si="232"/>
        <v>184.5999999999938</v>
      </c>
      <c r="T1904" s="42"/>
      <c r="U1904" s="42"/>
      <c r="V1904" s="42"/>
      <c r="W1904" s="42"/>
      <c r="X1904" s="81"/>
    </row>
    <row r="1905" spans="2:24" x14ac:dyDescent="0.25">
      <c r="B1905" s="2">
        <v>1</v>
      </c>
      <c r="C1905" s="1">
        <f t="shared" si="230"/>
        <v>11.705882352941046</v>
      </c>
      <c r="D1905" s="1">
        <f t="shared" si="228"/>
        <v>1</v>
      </c>
      <c r="E1905" s="1">
        <f t="shared" si="231"/>
        <v>0</v>
      </c>
      <c r="F1905" s="31">
        <f t="shared" si="229"/>
        <v>14.6</v>
      </c>
      <c r="G1905" s="31">
        <f t="shared" ca="1" si="233"/>
        <v>14.6</v>
      </c>
      <c r="H1905" s="30">
        <f t="shared" ca="1" si="234"/>
        <v>0</v>
      </c>
      <c r="I1905" s="31">
        <f t="shared" ca="1" si="235"/>
        <v>14.6</v>
      </c>
      <c r="Q1905" s="80"/>
      <c r="R1905" s="42"/>
      <c r="S1905" s="90">
        <f t="shared" si="232"/>
        <v>184.69999999999379</v>
      </c>
      <c r="T1905" s="42"/>
      <c r="U1905" s="42"/>
      <c r="V1905" s="42"/>
      <c r="W1905" s="42"/>
      <c r="X1905" s="81"/>
    </row>
    <row r="1906" spans="2:24" x14ac:dyDescent="0.25">
      <c r="B1906" s="2">
        <v>1</v>
      </c>
      <c r="C1906" s="1">
        <f t="shared" si="230"/>
        <v>12.705882352941046</v>
      </c>
      <c r="D1906" s="1">
        <f t="shared" si="228"/>
        <v>1</v>
      </c>
      <c r="E1906" s="1">
        <f t="shared" si="231"/>
        <v>0</v>
      </c>
      <c r="F1906" s="31">
        <f t="shared" si="229"/>
        <v>14.6</v>
      </c>
      <c r="G1906" s="31">
        <f t="shared" ca="1" si="233"/>
        <v>14.6</v>
      </c>
      <c r="H1906" s="30">
        <f t="shared" ca="1" si="234"/>
        <v>0</v>
      </c>
      <c r="I1906" s="31">
        <f t="shared" ca="1" si="235"/>
        <v>14.6</v>
      </c>
      <c r="Q1906" s="80"/>
      <c r="R1906" s="42"/>
      <c r="S1906" s="90">
        <f t="shared" si="232"/>
        <v>184.79999999999379</v>
      </c>
      <c r="T1906" s="42"/>
      <c r="U1906" s="42"/>
      <c r="V1906" s="42"/>
      <c r="W1906" s="42"/>
      <c r="X1906" s="81"/>
    </row>
    <row r="1907" spans="2:24" x14ac:dyDescent="0.25">
      <c r="B1907" s="2">
        <v>1</v>
      </c>
      <c r="C1907" s="1">
        <f t="shared" si="230"/>
        <v>13.705882352941046</v>
      </c>
      <c r="D1907" s="1">
        <f t="shared" si="228"/>
        <v>1</v>
      </c>
      <c r="E1907" s="1">
        <f t="shared" si="231"/>
        <v>0</v>
      </c>
      <c r="F1907" s="31">
        <f t="shared" si="229"/>
        <v>14.6</v>
      </c>
      <c r="G1907" s="31">
        <f t="shared" ca="1" si="233"/>
        <v>14.6</v>
      </c>
      <c r="H1907" s="30">
        <f t="shared" ca="1" si="234"/>
        <v>0</v>
      </c>
      <c r="I1907" s="31">
        <f t="shared" ca="1" si="235"/>
        <v>14.6</v>
      </c>
      <c r="Q1907" s="80"/>
      <c r="R1907" s="42"/>
      <c r="S1907" s="90">
        <f t="shared" si="232"/>
        <v>184.89999999999378</v>
      </c>
      <c r="T1907" s="42"/>
      <c r="U1907" s="42"/>
      <c r="V1907" s="42"/>
      <c r="W1907" s="42"/>
      <c r="X1907" s="81"/>
    </row>
    <row r="1908" spans="2:24" x14ac:dyDescent="0.25">
      <c r="B1908" s="2">
        <v>1</v>
      </c>
      <c r="C1908" s="1">
        <f t="shared" si="230"/>
        <v>14.705882352941046</v>
      </c>
      <c r="D1908" s="1">
        <f t="shared" si="228"/>
        <v>1</v>
      </c>
      <c r="E1908" s="1">
        <f t="shared" si="231"/>
        <v>0</v>
      </c>
      <c r="F1908" s="31">
        <f t="shared" si="229"/>
        <v>14.6</v>
      </c>
      <c r="G1908" s="31">
        <f t="shared" ca="1" si="233"/>
        <v>14.6</v>
      </c>
      <c r="H1908" s="30">
        <f t="shared" ca="1" si="234"/>
        <v>0</v>
      </c>
      <c r="I1908" s="31">
        <f t="shared" ca="1" si="235"/>
        <v>14.6</v>
      </c>
      <c r="Q1908" s="80"/>
      <c r="R1908" s="42"/>
      <c r="S1908" s="90">
        <f t="shared" si="232"/>
        <v>184.99999999999378</v>
      </c>
      <c r="T1908" s="42"/>
      <c r="U1908" s="42"/>
      <c r="V1908" s="42"/>
      <c r="W1908" s="42"/>
      <c r="X1908" s="81"/>
    </row>
    <row r="1909" spans="2:24" x14ac:dyDescent="0.25">
      <c r="B1909" s="2">
        <v>1</v>
      </c>
      <c r="C1909" s="1">
        <f t="shared" si="230"/>
        <v>15.705882352941046</v>
      </c>
      <c r="D1909" s="1">
        <f t="shared" si="228"/>
        <v>1</v>
      </c>
      <c r="E1909" s="1">
        <f t="shared" si="231"/>
        <v>0</v>
      </c>
      <c r="F1909" s="31">
        <f t="shared" si="229"/>
        <v>14.6</v>
      </c>
      <c r="G1909" s="31">
        <f t="shared" ca="1" si="233"/>
        <v>14.6</v>
      </c>
      <c r="H1909" s="30">
        <f t="shared" ca="1" si="234"/>
        <v>0</v>
      </c>
      <c r="I1909" s="31">
        <f t="shared" ca="1" si="235"/>
        <v>14.6</v>
      </c>
      <c r="Q1909" s="80"/>
      <c r="R1909" s="42"/>
      <c r="S1909" s="90">
        <f t="shared" si="232"/>
        <v>185.09999999999377</v>
      </c>
      <c r="T1909" s="42"/>
      <c r="U1909" s="42"/>
      <c r="V1909" s="42"/>
      <c r="W1909" s="42"/>
      <c r="X1909" s="81"/>
    </row>
    <row r="1910" spans="2:24" x14ac:dyDescent="0.25">
      <c r="B1910" s="2">
        <v>1</v>
      </c>
      <c r="C1910" s="1">
        <f t="shared" si="230"/>
        <v>16.705882352941046</v>
      </c>
      <c r="D1910" s="1">
        <f t="shared" si="228"/>
        <v>1</v>
      </c>
      <c r="E1910" s="1">
        <f t="shared" si="231"/>
        <v>0</v>
      </c>
      <c r="F1910" s="31">
        <f t="shared" si="229"/>
        <v>14.6</v>
      </c>
      <c r="G1910" s="31">
        <f t="shared" ca="1" si="233"/>
        <v>14.6</v>
      </c>
      <c r="H1910" s="30">
        <f t="shared" ca="1" si="234"/>
        <v>0</v>
      </c>
      <c r="I1910" s="31">
        <f t="shared" ca="1" si="235"/>
        <v>14.6</v>
      </c>
      <c r="Q1910" s="80"/>
      <c r="R1910" s="42"/>
      <c r="S1910" s="90">
        <f t="shared" si="232"/>
        <v>185.19999999999376</v>
      </c>
      <c r="T1910" s="42"/>
      <c r="U1910" s="42"/>
      <c r="V1910" s="42"/>
      <c r="W1910" s="42"/>
      <c r="X1910" s="81"/>
    </row>
    <row r="1911" spans="2:24" x14ac:dyDescent="0.25">
      <c r="B1911" s="2">
        <v>1</v>
      </c>
      <c r="C1911" s="1">
        <f t="shared" si="230"/>
        <v>17.705882352941046</v>
      </c>
      <c r="D1911" s="1">
        <f t="shared" si="228"/>
        <v>1</v>
      </c>
      <c r="E1911" s="1">
        <f t="shared" si="231"/>
        <v>0</v>
      </c>
      <c r="F1911" s="31">
        <f t="shared" si="229"/>
        <v>14.6</v>
      </c>
      <c r="G1911" s="31">
        <f t="shared" ca="1" si="233"/>
        <v>14.6</v>
      </c>
      <c r="H1911" s="30">
        <f t="shared" ca="1" si="234"/>
        <v>0</v>
      </c>
      <c r="I1911" s="31">
        <f t="shared" ca="1" si="235"/>
        <v>14.6</v>
      </c>
      <c r="Q1911" s="80"/>
      <c r="R1911" s="42"/>
      <c r="S1911" s="90">
        <f t="shared" si="232"/>
        <v>185.29999999999376</v>
      </c>
      <c r="T1911" s="42"/>
      <c r="U1911" s="42"/>
      <c r="V1911" s="42"/>
      <c r="W1911" s="42"/>
      <c r="X1911" s="81"/>
    </row>
    <row r="1912" spans="2:24" x14ac:dyDescent="0.25">
      <c r="B1912" s="2">
        <v>1</v>
      </c>
      <c r="C1912" s="1">
        <f t="shared" si="230"/>
        <v>18.705882352941046</v>
      </c>
      <c r="D1912" s="1">
        <f t="shared" si="228"/>
        <v>1</v>
      </c>
      <c r="E1912" s="1">
        <f t="shared" si="231"/>
        <v>0</v>
      </c>
      <c r="F1912" s="31">
        <f t="shared" si="229"/>
        <v>14.6</v>
      </c>
      <c r="G1912" s="31">
        <f t="shared" ca="1" si="233"/>
        <v>14.6</v>
      </c>
      <c r="H1912" s="30">
        <f t="shared" ca="1" si="234"/>
        <v>0</v>
      </c>
      <c r="I1912" s="31">
        <f t="shared" ca="1" si="235"/>
        <v>14.6</v>
      </c>
      <c r="Q1912" s="80"/>
      <c r="R1912" s="42"/>
      <c r="S1912" s="90">
        <f t="shared" si="232"/>
        <v>185.39999999999375</v>
      </c>
      <c r="T1912" s="42"/>
      <c r="U1912" s="42"/>
      <c r="V1912" s="42"/>
      <c r="W1912" s="42"/>
      <c r="X1912" s="81"/>
    </row>
    <row r="1913" spans="2:24" x14ac:dyDescent="0.25">
      <c r="B1913" s="2">
        <v>1</v>
      </c>
      <c r="C1913" s="1">
        <f t="shared" si="230"/>
        <v>19.705882352941046</v>
      </c>
      <c r="D1913" s="1">
        <f t="shared" si="228"/>
        <v>1</v>
      </c>
      <c r="E1913" s="1">
        <f t="shared" si="231"/>
        <v>0</v>
      </c>
      <c r="F1913" s="31">
        <f t="shared" si="229"/>
        <v>14.6</v>
      </c>
      <c r="G1913" s="31">
        <f t="shared" ca="1" si="233"/>
        <v>14.6</v>
      </c>
      <c r="H1913" s="30">
        <f t="shared" ca="1" si="234"/>
        <v>0</v>
      </c>
      <c r="I1913" s="31">
        <f t="shared" ca="1" si="235"/>
        <v>14.6</v>
      </c>
      <c r="Q1913" s="80"/>
      <c r="R1913" s="42"/>
      <c r="S1913" s="90">
        <f t="shared" si="232"/>
        <v>185.49999999999375</v>
      </c>
      <c r="T1913" s="42"/>
      <c r="U1913" s="42"/>
      <c r="V1913" s="42"/>
      <c r="W1913" s="42"/>
      <c r="X1913" s="81"/>
    </row>
    <row r="1914" spans="2:24" x14ac:dyDescent="0.25">
      <c r="B1914" s="2">
        <v>1</v>
      </c>
      <c r="C1914" s="1">
        <f t="shared" si="230"/>
        <v>20.705882352941046</v>
      </c>
      <c r="D1914" s="1">
        <f t="shared" ref="D1914:D1977" si="236">IF(C1914&lt;=Inhelation_Time_RT,1,0)</f>
        <v>1</v>
      </c>
      <c r="E1914" s="1">
        <f t="shared" si="231"/>
        <v>0</v>
      </c>
      <c r="F1914" s="31">
        <f t="shared" ref="F1914:F1977" si="237">(D1914*Inspiratory_pressure_level) + (E1914*PEEP)</f>
        <v>14.6</v>
      </c>
      <c r="G1914" s="31">
        <f t="shared" ca="1" si="233"/>
        <v>14.6</v>
      </c>
      <c r="H1914" s="30">
        <f t="shared" ca="1" si="234"/>
        <v>0</v>
      </c>
      <c r="I1914" s="31">
        <f t="shared" ca="1" si="235"/>
        <v>14.6</v>
      </c>
      <c r="Q1914" s="80"/>
      <c r="R1914" s="42"/>
      <c r="S1914" s="90">
        <f t="shared" si="232"/>
        <v>185.59999999999374</v>
      </c>
      <c r="T1914" s="42"/>
      <c r="U1914" s="42"/>
      <c r="V1914" s="42"/>
      <c r="W1914" s="42"/>
      <c r="X1914" s="81"/>
    </row>
    <row r="1915" spans="2:24" x14ac:dyDescent="0.25">
      <c r="B1915" s="2">
        <v>1</v>
      </c>
      <c r="C1915" s="1">
        <f t="shared" ref="C1915:C1978" si="238">MOD(C1914+B1915,time_for_breath_RT)</f>
        <v>21.705882352941046</v>
      </c>
      <c r="D1915" s="1">
        <f t="shared" si="236"/>
        <v>1</v>
      </c>
      <c r="E1915" s="1">
        <f t="shared" ref="E1915:E1978" si="239">IF(D1915=1,0,1)</f>
        <v>0</v>
      </c>
      <c r="F1915" s="31">
        <f t="shared" si="237"/>
        <v>14.6</v>
      </c>
      <c r="G1915" s="31">
        <f t="shared" ca="1" si="233"/>
        <v>14.6</v>
      </c>
      <c r="H1915" s="30">
        <f t="shared" ca="1" si="234"/>
        <v>0</v>
      </c>
      <c r="I1915" s="31">
        <f t="shared" ca="1" si="235"/>
        <v>14.6</v>
      </c>
      <c r="Q1915" s="80"/>
      <c r="R1915" s="42"/>
      <c r="S1915" s="90">
        <f t="shared" ref="S1915:S1978" si="240">S1914+(B1914 / RTC_to_seconds)</f>
        <v>185.69999999999374</v>
      </c>
      <c r="T1915" s="42"/>
      <c r="U1915" s="42"/>
      <c r="V1915" s="42"/>
      <c r="W1915" s="42"/>
      <c r="X1915" s="81"/>
    </row>
    <row r="1916" spans="2:24" x14ac:dyDescent="0.25">
      <c r="B1916" s="2">
        <v>1</v>
      </c>
      <c r="C1916" s="1">
        <f t="shared" si="238"/>
        <v>22.705882352941046</v>
      </c>
      <c r="D1916" s="1">
        <f t="shared" si="236"/>
        <v>1</v>
      </c>
      <c r="E1916" s="1">
        <f t="shared" si="239"/>
        <v>0</v>
      </c>
      <c r="F1916" s="31">
        <f t="shared" si="237"/>
        <v>14.6</v>
      </c>
      <c r="G1916" s="31">
        <f t="shared" ca="1" si="233"/>
        <v>14.6</v>
      </c>
      <c r="H1916" s="30">
        <f t="shared" ca="1" si="234"/>
        <v>0</v>
      </c>
      <c r="I1916" s="31">
        <f t="shared" ca="1" si="235"/>
        <v>14.6</v>
      </c>
      <c r="Q1916" s="80"/>
      <c r="R1916" s="42"/>
      <c r="S1916" s="90">
        <f t="shared" si="240"/>
        <v>185.79999999999373</v>
      </c>
      <c r="T1916" s="42"/>
      <c r="U1916" s="42"/>
      <c r="V1916" s="42"/>
      <c r="W1916" s="42"/>
      <c r="X1916" s="81"/>
    </row>
    <row r="1917" spans="2:24" x14ac:dyDescent="0.25">
      <c r="B1917" s="2">
        <v>1</v>
      </c>
      <c r="C1917" s="1">
        <f t="shared" si="238"/>
        <v>23.705882352941046</v>
      </c>
      <c r="D1917" s="1">
        <f t="shared" si="236"/>
        <v>0</v>
      </c>
      <c r="E1917" s="1">
        <f t="shared" si="239"/>
        <v>1</v>
      </c>
      <c r="F1917" s="31">
        <f t="shared" si="237"/>
        <v>6.4</v>
      </c>
      <c r="G1917" s="31">
        <f t="shared" ca="1" si="233"/>
        <v>0</v>
      </c>
      <c r="H1917" s="30">
        <f t="shared" ca="1" si="234"/>
        <v>14.6</v>
      </c>
      <c r="I1917" s="31">
        <f t="shared" ca="1" si="235"/>
        <v>14.6</v>
      </c>
      <c r="Q1917" s="80"/>
      <c r="R1917" s="42"/>
      <c r="S1917" s="90">
        <f t="shared" si="240"/>
        <v>185.89999999999372</v>
      </c>
      <c r="T1917" s="42"/>
      <c r="U1917" s="42"/>
      <c r="V1917" s="42"/>
      <c r="W1917" s="42"/>
      <c r="X1917" s="81"/>
    </row>
    <row r="1918" spans="2:24" x14ac:dyDescent="0.25">
      <c r="B1918" s="2">
        <v>1</v>
      </c>
      <c r="C1918" s="1">
        <f t="shared" si="238"/>
        <v>24.705882352941046</v>
      </c>
      <c r="D1918" s="1">
        <f t="shared" si="236"/>
        <v>0</v>
      </c>
      <c r="E1918" s="1">
        <f t="shared" si="239"/>
        <v>1</v>
      </c>
      <c r="F1918" s="31">
        <f t="shared" si="237"/>
        <v>6.4</v>
      </c>
      <c r="G1918" s="31">
        <f t="shared" ca="1" si="233"/>
        <v>0</v>
      </c>
      <c r="H1918" s="30">
        <f t="shared" ca="1" si="234"/>
        <v>6.4</v>
      </c>
      <c r="I1918" s="31">
        <f t="shared" ca="1" si="235"/>
        <v>6.4</v>
      </c>
      <c r="Q1918" s="80"/>
      <c r="R1918" s="42"/>
      <c r="S1918" s="90">
        <f t="shared" si="240"/>
        <v>185.99999999999372</v>
      </c>
      <c r="T1918" s="42"/>
      <c r="U1918" s="42"/>
      <c r="V1918" s="42"/>
      <c r="W1918" s="42"/>
      <c r="X1918" s="81"/>
    </row>
    <row r="1919" spans="2:24" x14ac:dyDescent="0.25">
      <c r="B1919" s="2">
        <v>1</v>
      </c>
      <c r="C1919" s="1">
        <f t="shared" si="238"/>
        <v>25.705882352941046</v>
      </c>
      <c r="D1919" s="1">
        <f t="shared" si="236"/>
        <v>0</v>
      </c>
      <c r="E1919" s="1">
        <f t="shared" si="239"/>
        <v>1</v>
      </c>
      <c r="F1919" s="31">
        <f t="shared" si="237"/>
        <v>6.4</v>
      </c>
      <c r="G1919" s="31">
        <f t="shared" ca="1" si="233"/>
        <v>0</v>
      </c>
      <c r="H1919" s="30">
        <f t="shared" ca="1" si="234"/>
        <v>6.4</v>
      </c>
      <c r="I1919" s="31">
        <f t="shared" ca="1" si="235"/>
        <v>6.4</v>
      </c>
      <c r="Q1919" s="80"/>
      <c r="R1919" s="42"/>
      <c r="S1919" s="90">
        <f t="shared" si="240"/>
        <v>186.09999999999371</v>
      </c>
      <c r="T1919" s="42"/>
      <c r="U1919" s="42"/>
      <c r="V1919" s="42"/>
      <c r="W1919" s="42"/>
      <c r="X1919" s="81"/>
    </row>
    <row r="1920" spans="2:24" x14ac:dyDescent="0.25">
      <c r="B1920" s="2">
        <v>1</v>
      </c>
      <c r="C1920" s="1">
        <f t="shared" si="238"/>
        <v>26.705882352941046</v>
      </c>
      <c r="D1920" s="1">
        <f t="shared" si="236"/>
        <v>0</v>
      </c>
      <c r="E1920" s="1">
        <f t="shared" si="239"/>
        <v>1</v>
      </c>
      <c r="F1920" s="31">
        <f t="shared" si="237"/>
        <v>6.4</v>
      </c>
      <c r="G1920" s="31">
        <f t="shared" ca="1" si="233"/>
        <v>0</v>
      </c>
      <c r="H1920" s="30">
        <f t="shared" ca="1" si="234"/>
        <v>6.4</v>
      </c>
      <c r="I1920" s="31">
        <f t="shared" ca="1" si="235"/>
        <v>6.4</v>
      </c>
      <c r="Q1920" s="80"/>
      <c r="R1920" s="42"/>
      <c r="S1920" s="90">
        <f t="shared" si="240"/>
        <v>186.19999999999371</v>
      </c>
      <c r="T1920" s="42"/>
      <c r="U1920" s="42"/>
      <c r="V1920" s="42"/>
      <c r="W1920" s="42"/>
      <c r="X1920" s="81"/>
    </row>
    <row r="1921" spans="2:24" x14ac:dyDescent="0.25">
      <c r="B1921" s="2">
        <v>1</v>
      </c>
      <c r="C1921" s="1">
        <f t="shared" si="238"/>
        <v>27.705882352941046</v>
      </c>
      <c r="D1921" s="1">
        <f t="shared" si="236"/>
        <v>0</v>
      </c>
      <c r="E1921" s="1">
        <f t="shared" si="239"/>
        <v>1</v>
      </c>
      <c r="F1921" s="31">
        <f t="shared" si="237"/>
        <v>6.4</v>
      </c>
      <c r="G1921" s="31">
        <f t="shared" ca="1" si="233"/>
        <v>0</v>
      </c>
      <c r="H1921" s="30">
        <f t="shared" ca="1" si="234"/>
        <v>6.4</v>
      </c>
      <c r="I1921" s="31">
        <f t="shared" ca="1" si="235"/>
        <v>6.4</v>
      </c>
      <c r="Q1921" s="80"/>
      <c r="R1921" s="42"/>
      <c r="S1921" s="90">
        <f t="shared" si="240"/>
        <v>186.2999999999937</v>
      </c>
      <c r="T1921" s="42"/>
      <c r="U1921" s="42"/>
      <c r="V1921" s="42"/>
      <c r="W1921" s="42"/>
      <c r="X1921" s="81"/>
    </row>
    <row r="1922" spans="2:24" x14ac:dyDescent="0.25">
      <c r="B1922" s="2">
        <v>1</v>
      </c>
      <c r="C1922" s="1">
        <f t="shared" si="238"/>
        <v>28.705882352941046</v>
      </c>
      <c r="D1922" s="1">
        <f t="shared" si="236"/>
        <v>0</v>
      </c>
      <c r="E1922" s="1">
        <f t="shared" si="239"/>
        <v>1</v>
      </c>
      <c r="F1922" s="31">
        <f t="shared" si="237"/>
        <v>6.4</v>
      </c>
      <c r="G1922" s="31">
        <f t="shared" ca="1" si="233"/>
        <v>0</v>
      </c>
      <c r="H1922" s="30">
        <f t="shared" ca="1" si="234"/>
        <v>6.4</v>
      </c>
      <c r="I1922" s="31">
        <f t="shared" ca="1" si="235"/>
        <v>6.4</v>
      </c>
      <c r="Q1922" s="80"/>
      <c r="R1922" s="42"/>
      <c r="S1922" s="90">
        <f t="shared" si="240"/>
        <v>186.3999999999937</v>
      </c>
      <c r="T1922" s="42"/>
      <c r="U1922" s="42"/>
      <c r="V1922" s="42"/>
      <c r="W1922" s="42"/>
      <c r="X1922" s="81"/>
    </row>
    <row r="1923" spans="2:24" x14ac:dyDescent="0.25">
      <c r="B1923" s="2">
        <v>1</v>
      </c>
      <c r="C1923" s="1">
        <f t="shared" si="238"/>
        <v>29.705882352941046</v>
      </c>
      <c r="D1923" s="1">
        <f t="shared" si="236"/>
        <v>0</v>
      </c>
      <c r="E1923" s="1">
        <f t="shared" si="239"/>
        <v>1</v>
      </c>
      <c r="F1923" s="31">
        <f t="shared" si="237"/>
        <v>6.4</v>
      </c>
      <c r="G1923" s="31">
        <f t="shared" ca="1" si="233"/>
        <v>0</v>
      </c>
      <c r="H1923" s="30">
        <f t="shared" ca="1" si="234"/>
        <v>6.4</v>
      </c>
      <c r="I1923" s="31">
        <f t="shared" ca="1" si="235"/>
        <v>6.4</v>
      </c>
      <c r="Q1923" s="80"/>
      <c r="R1923" s="42"/>
      <c r="S1923" s="90">
        <f t="shared" si="240"/>
        <v>186.49999999999369</v>
      </c>
      <c r="T1923" s="42"/>
      <c r="U1923" s="42"/>
      <c r="V1923" s="42"/>
      <c r="W1923" s="42"/>
      <c r="X1923" s="81"/>
    </row>
    <row r="1924" spans="2:24" x14ac:dyDescent="0.25">
      <c r="B1924" s="2">
        <v>1</v>
      </c>
      <c r="C1924" s="1">
        <f t="shared" si="238"/>
        <v>30.705882352941046</v>
      </c>
      <c r="D1924" s="1">
        <f t="shared" si="236"/>
        <v>0</v>
      </c>
      <c r="E1924" s="1">
        <f t="shared" si="239"/>
        <v>1</v>
      </c>
      <c r="F1924" s="31">
        <f t="shared" si="237"/>
        <v>6.4</v>
      </c>
      <c r="G1924" s="31">
        <f t="shared" ca="1" si="233"/>
        <v>0</v>
      </c>
      <c r="H1924" s="30">
        <f t="shared" ca="1" si="234"/>
        <v>6.4</v>
      </c>
      <c r="I1924" s="31">
        <f t="shared" ca="1" si="235"/>
        <v>6.4</v>
      </c>
      <c r="Q1924" s="80"/>
      <c r="R1924" s="42"/>
      <c r="S1924" s="90">
        <f t="shared" si="240"/>
        <v>186.59999999999368</v>
      </c>
      <c r="T1924" s="42"/>
      <c r="U1924" s="42"/>
      <c r="V1924" s="42"/>
      <c r="W1924" s="42"/>
      <c r="X1924" s="81"/>
    </row>
    <row r="1925" spans="2:24" x14ac:dyDescent="0.25">
      <c r="B1925" s="2">
        <v>1</v>
      </c>
      <c r="C1925" s="1">
        <f t="shared" si="238"/>
        <v>31.705882352941046</v>
      </c>
      <c r="D1925" s="1">
        <f t="shared" si="236"/>
        <v>0</v>
      </c>
      <c r="E1925" s="1">
        <f t="shared" si="239"/>
        <v>1</v>
      </c>
      <c r="F1925" s="31">
        <f t="shared" si="237"/>
        <v>6.4</v>
      </c>
      <c r="G1925" s="31">
        <f t="shared" ca="1" si="233"/>
        <v>0</v>
      </c>
      <c r="H1925" s="30">
        <f t="shared" ca="1" si="234"/>
        <v>6.4</v>
      </c>
      <c r="I1925" s="31">
        <f t="shared" ca="1" si="235"/>
        <v>6.4</v>
      </c>
      <c r="Q1925" s="80"/>
      <c r="R1925" s="42"/>
      <c r="S1925" s="90">
        <f t="shared" si="240"/>
        <v>186.69999999999368</v>
      </c>
      <c r="T1925" s="42"/>
      <c r="U1925" s="42"/>
      <c r="V1925" s="42"/>
      <c r="W1925" s="42"/>
      <c r="X1925" s="81"/>
    </row>
    <row r="1926" spans="2:24" x14ac:dyDescent="0.25">
      <c r="B1926" s="2">
        <v>1</v>
      </c>
      <c r="C1926" s="1">
        <f t="shared" si="238"/>
        <v>32.705882352941046</v>
      </c>
      <c r="D1926" s="1">
        <f t="shared" si="236"/>
        <v>0</v>
      </c>
      <c r="E1926" s="1">
        <f t="shared" si="239"/>
        <v>1</v>
      </c>
      <c r="F1926" s="31">
        <f t="shared" si="237"/>
        <v>6.4</v>
      </c>
      <c r="G1926" s="31">
        <f t="shared" ca="1" si="233"/>
        <v>0</v>
      </c>
      <c r="H1926" s="30">
        <f t="shared" ca="1" si="234"/>
        <v>6.4</v>
      </c>
      <c r="I1926" s="31">
        <f t="shared" ca="1" si="235"/>
        <v>6.4</v>
      </c>
      <c r="Q1926" s="80"/>
      <c r="R1926" s="42"/>
      <c r="S1926" s="90">
        <f t="shared" si="240"/>
        <v>186.79999999999367</v>
      </c>
      <c r="T1926" s="42"/>
      <c r="U1926" s="42"/>
      <c r="V1926" s="42"/>
      <c r="W1926" s="42"/>
      <c r="X1926" s="81"/>
    </row>
    <row r="1927" spans="2:24" x14ac:dyDescent="0.25">
      <c r="B1927" s="2">
        <v>1</v>
      </c>
      <c r="C1927" s="1">
        <f t="shared" si="238"/>
        <v>33.705882352941046</v>
      </c>
      <c r="D1927" s="1">
        <f t="shared" si="236"/>
        <v>0</v>
      </c>
      <c r="E1927" s="1">
        <f t="shared" si="239"/>
        <v>1</v>
      </c>
      <c r="F1927" s="31">
        <f t="shared" si="237"/>
        <v>6.4</v>
      </c>
      <c r="G1927" s="31">
        <f t="shared" ca="1" si="233"/>
        <v>0</v>
      </c>
      <c r="H1927" s="30">
        <f t="shared" ca="1" si="234"/>
        <v>6.4</v>
      </c>
      <c r="I1927" s="31">
        <f t="shared" ca="1" si="235"/>
        <v>6.4</v>
      </c>
      <c r="Q1927" s="80"/>
      <c r="R1927" s="42"/>
      <c r="S1927" s="90">
        <f t="shared" si="240"/>
        <v>186.89999999999367</v>
      </c>
      <c r="T1927" s="42"/>
      <c r="U1927" s="42"/>
      <c r="V1927" s="42"/>
      <c r="W1927" s="42"/>
      <c r="X1927" s="81"/>
    </row>
    <row r="1928" spans="2:24" x14ac:dyDescent="0.25">
      <c r="B1928" s="2">
        <v>1</v>
      </c>
      <c r="C1928" s="1">
        <f t="shared" si="238"/>
        <v>34.705882352941046</v>
      </c>
      <c r="D1928" s="1">
        <f t="shared" si="236"/>
        <v>0</v>
      </c>
      <c r="E1928" s="1">
        <f t="shared" si="239"/>
        <v>1</v>
      </c>
      <c r="F1928" s="31">
        <f t="shared" si="237"/>
        <v>6.4</v>
      </c>
      <c r="G1928" s="31">
        <f t="shared" ca="1" si="233"/>
        <v>0</v>
      </c>
      <c r="H1928" s="30">
        <f t="shared" ca="1" si="234"/>
        <v>6.4</v>
      </c>
      <c r="I1928" s="31">
        <f t="shared" ca="1" si="235"/>
        <v>6.4</v>
      </c>
      <c r="Q1928" s="80"/>
      <c r="R1928" s="42"/>
      <c r="S1928" s="90">
        <f t="shared" si="240"/>
        <v>186.99999999999366</v>
      </c>
      <c r="T1928" s="42"/>
      <c r="U1928" s="42"/>
      <c r="V1928" s="42"/>
      <c r="W1928" s="42"/>
      <c r="X1928" s="81"/>
    </row>
    <row r="1929" spans="2:24" x14ac:dyDescent="0.25">
      <c r="B1929" s="2">
        <v>1</v>
      </c>
      <c r="C1929" s="1">
        <f t="shared" si="238"/>
        <v>0.41176470588222003</v>
      </c>
      <c r="D1929" s="1">
        <f t="shared" si="236"/>
        <v>1</v>
      </c>
      <c r="E1929" s="1">
        <f t="shared" si="239"/>
        <v>0</v>
      </c>
      <c r="F1929" s="31">
        <f t="shared" si="237"/>
        <v>14.6</v>
      </c>
      <c r="G1929" s="31">
        <f t="shared" ca="1" si="233"/>
        <v>6.4</v>
      </c>
      <c r="H1929" s="30">
        <f t="shared" ca="1" si="234"/>
        <v>0</v>
      </c>
      <c r="I1929" s="31">
        <f t="shared" ca="1" si="235"/>
        <v>6.4</v>
      </c>
      <c r="Q1929" s="80"/>
      <c r="R1929" s="42"/>
      <c r="S1929" s="90">
        <f t="shared" si="240"/>
        <v>187.09999999999366</v>
      </c>
      <c r="T1929" s="42"/>
      <c r="U1929" s="42"/>
      <c r="V1929" s="42"/>
      <c r="W1929" s="42"/>
      <c r="X1929" s="81"/>
    </row>
    <row r="1930" spans="2:24" x14ac:dyDescent="0.25">
      <c r="B1930" s="2">
        <v>1</v>
      </c>
      <c r="C1930" s="1">
        <f t="shared" si="238"/>
        <v>1.41176470588222</v>
      </c>
      <c r="D1930" s="1">
        <f t="shared" si="236"/>
        <v>1</v>
      </c>
      <c r="E1930" s="1">
        <f t="shared" si="239"/>
        <v>0</v>
      </c>
      <c r="F1930" s="31">
        <f t="shared" si="237"/>
        <v>14.6</v>
      </c>
      <c r="G1930" s="31">
        <f t="shared" ca="1" si="233"/>
        <v>8.4500000000000011</v>
      </c>
      <c r="H1930" s="30">
        <f t="shared" ca="1" si="234"/>
        <v>0</v>
      </c>
      <c r="I1930" s="31">
        <f t="shared" ca="1" si="235"/>
        <v>8.4500000000000011</v>
      </c>
      <c r="Q1930" s="80"/>
      <c r="R1930" s="42"/>
      <c r="S1930" s="90">
        <f t="shared" si="240"/>
        <v>187.19999999999365</v>
      </c>
      <c r="T1930" s="42"/>
      <c r="U1930" s="42"/>
      <c r="V1930" s="42"/>
      <c r="W1930" s="42"/>
      <c r="X1930" s="81"/>
    </row>
    <row r="1931" spans="2:24" x14ac:dyDescent="0.25">
      <c r="B1931" s="2">
        <v>1</v>
      </c>
      <c r="C1931" s="1">
        <f t="shared" si="238"/>
        <v>2.41176470588222</v>
      </c>
      <c r="D1931" s="1">
        <f t="shared" si="236"/>
        <v>1</v>
      </c>
      <c r="E1931" s="1">
        <f t="shared" si="239"/>
        <v>0</v>
      </c>
      <c r="F1931" s="31">
        <f t="shared" si="237"/>
        <v>14.6</v>
      </c>
      <c r="G1931" s="31">
        <f t="shared" ref="G1931:G1994" ca="1" si="241">IF(D1931=1, AVERAGE(OFFSET(F1931,-$L$27,0,$L$27,1)),0)</f>
        <v>10.5</v>
      </c>
      <c r="H1931" s="30">
        <f t="shared" ref="H1931:H1994" ca="1" si="242">IF(D1931=0, AVERAGE(OFFSET(F1931,-$L$28,0,$L$28,1)),0)</f>
        <v>0</v>
      </c>
      <c r="I1931" s="31">
        <f t="shared" ref="I1931:I1994" ca="1" si="243">G1931+H1931</f>
        <v>10.5</v>
      </c>
      <c r="Q1931" s="80"/>
      <c r="R1931" s="42"/>
      <c r="S1931" s="90">
        <f t="shared" si="240"/>
        <v>187.29999999999364</v>
      </c>
      <c r="T1931" s="42"/>
      <c r="U1931" s="42"/>
      <c r="V1931" s="42"/>
      <c r="W1931" s="42"/>
      <c r="X1931" s="81"/>
    </row>
    <row r="1932" spans="2:24" x14ac:dyDescent="0.25">
      <c r="B1932" s="2">
        <v>1</v>
      </c>
      <c r="C1932" s="1">
        <f t="shared" si="238"/>
        <v>3.41176470588222</v>
      </c>
      <c r="D1932" s="1">
        <f t="shared" si="236"/>
        <v>1</v>
      </c>
      <c r="E1932" s="1">
        <f t="shared" si="239"/>
        <v>0</v>
      </c>
      <c r="F1932" s="31">
        <f t="shared" si="237"/>
        <v>14.6</v>
      </c>
      <c r="G1932" s="31">
        <f t="shared" ca="1" si="241"/>
        <v>12.55</v>
      </c>
      <c r="H1932" s="30">
        <f t="shared" ca="1" si="242"/>
        <v>0</v>
      </c>
      <c r="I1932" s="31">
        <f t="shared" ca="1" si="243"/>
        <v>12.55</v>
      </c>
      <c r="Q1932" s="80"/>
      <c r="R1932" s="42"/>
      <c r="S1932" s="90">
        <f t="shared" si="240"/>
        <v>187.39999999999364</v>
      </c>
      <c r="T1932" s="42"/>
      <c r="U1932" s="42"/>
      <c r="V1932" s="42"/>
      <c r="W1932" s="42"/>
      <c r="X1932" s="81"/>
    </row>
    <row r="1933" spans="2:24" x14ac:dyDescent="0.25">
      <c r="B1933" s="2">
        <v>1</v>
      </c>
      <c r="C1933" s="1">
        <f t="shared" si="238"/>
        <v>4.41176470588222</v>
      </c>
      <c r="D1933" s="1">
        <f t="shared" si="236"/>
        <v>1</v>
      </c>
      <c r="E1933" s="1">
        <f t="shared" si="239"/>
        <v>0</v>
      </c>
      <c r="F1933" s="31">
        <f t="shared" si="237"/>
        <v>14.6</v>
      </c>
      <c r="G1933" s="31">
        <f t="shared" ca="1" si="241"/>
        <v>14.6</v>
      </c>
      <c r="H1933" s="30">
        <f t="shared" ca="1" si="242"/>
        <v>0</v>
      </c>
      <c r="I1933" s="31">
        <f t="shared" ca="1" si="243"/>
        <v>14.6</v>
      </c>
      <c r="Q1933" s="80"/>
      <c r="R1933" s="42"/>
      <c r="S1933" s="90">
        <f t="shared" si="240"/>
        <v>187.49999999999363</v>
      </c>
      <c r="T1933" s="42"/>
      <c r="U1933" s="42"/>
      <c r="V1933" s="42"/>
      <c r="W1933" s="42"/>
      <c r="X1933" s="81"/>
    </row>
    <row r="1934" spans="2:24" x14ac:dyDescent="0.25">
      <c r="B1934" s="2">
        <v>1</v>
      </c>
      <c r="C1934" s="1">
        <f t="shared" si="238"/>
        <v>5.41176470588222</v>
      </c>
      <c r="D1934" s="1">
        <f t="shared" si="236"/>
        <v>1</v>
      </c>
      <c r="E1934" s="1">
        <f t="shared" si="239"/>
        <v>0</v>
      </c>
      <c r="F1934" s="31">
        <f t="shared" si="237"/>
        <v>14.6</v>
      </c>
      <c r="G1934" s="31">
        <f t="shared" ca="1" si="241"/>
        <v>14.6</v>
      </c>
      <c r="H1934" s="30">
        <f t="shared" ca="1" si="242"/>
        <v>0</v>
      </c>
      <c r="I1934" s="31">
        <f t="shared" ca="1" si="243"/>
        <v>14.6</v>
      </c>
      <c r="Q1934" s="80"/>
      <c r="R1934" s="42"/>
      <c r="S1934" s="90">
        <f t="shared" si="240"/>
        <v>187.59999999999363</v>
      </c>
      <c r="T1934" s="42"/>
      <c r="U1934" s="42"/>
      <c r="V1934" s="42"/>
      <c r="W1934" s="42"/>
      <c r="X1934" s="81"/>
    </row>
    <row r="1935" spans="2:24" x14ac:dyDescent="0.25">
      <c r="B1935" s="2">
        <v>1</v>
      </c>
      <c r="C1935" s="1">
        <f t="shared" si="238"/>
        <v>6.41176470588222</v>
      </c>
      <c r="D1935" s="1">
        <f t="shared" si="236"/>
        <v>1</v>
      </c>
      <c r="E1935" s="1">
        <f t="shared" si="239"/>
        <v>0</v>
      </c>
      <c r="F1935" s="31">
        <f t="shared" si="237"/>
        <v>14.6</v>
      </c>
      <c r="G1935" s="31">
        <f t="shared" ca="1" si="241"/>
        <v>14.6</v>
      </c>
      <c r="H1935" s="30">
        <f t="shared" ca="1" si="242"/>
        <v>0</v>
      </c>
      <c r="I1935" s="31">
        <f t="shared" ca="1" si="243"/>
        <v>14.6</v>
      </c>
      <c r="Q1935" s="80"/>
      <c r="R1935" s="42"/>
      <c r="S1935" s="90">
        <f t="shared" si="240"/>
        <v>187.69999999999362</v>
      </c>
      <c r="T1935" s="42"/>
      <c r="U1935" s="42"/>
      <c r="V1935" s="42"/>
      <c r="W1935" s="42"/>
      <c r="X1935" s="81"/>
    </row>
    <row r="1936" spans="2:24" x14ac:dyDescent="0.25">
      <c r="B1936" s="2">
        <v>1</v>
      </c>
      <c r="C1936" s="1">
        <f t="shared" si="238"/>
        <v>7.41176470588222</v>
      </c>
      <c r="D1936" s="1">
        <f t="shared" si="236"/>
        <v>1</v>
      </c>
      <c r="E1936" s="1">
        <f t="shared" si="239"/>
        <v>0</v>
      </c>
      <c r="F1936" s="31">
        <f t="shared" si="237"/>
        <v>14.6</v>
      </c>
      <c r="G1936" s="31">
        <f t="shared" ca="1" si="241"/>
        <v>14.6</v>
      </c>
      <c r="H1936" s="30">
        <f t="shared" ca="1" si="242"/>
        <v>0</v>
      </c>
      <c r="I1936" s="31">
        <f t="shared" ca="1" si="243"/>
        <v>14.6</v>
      </c>
      <c r="Q1936" s="80"/>
      <c r="R1936" s="42"/>
      <c r="S1936" s="90">
        <f t="shared" si="240"/>
        <v>187.79999999999362</v>
      </c>
      <c r="T1936" s="42"/>
      <c r="U1936" s="42"/>
      <c r="V1936" s="42"/>
      <c r="W1936" s="42"/>
      <c r="X1936" s="81"/>
    </row>
    <row r="1937" spans="2:24" x14ac:dyDescent="0.25">
      <c r="B1937" s="2">
        <v>1</v>
      </c>
      <c r="C1937" s="1">
        <f t="shared" si="238"/>
        <v>8.41176470588222</v>
      </c>
      <c r="D1937" s="1">
        <f t="shared" si="236"/>
        <v>1</v>
      </c>
      <c r="E1937" s="1">
        <f t="shared" si="239"/>
        <v>0</v>
      </c>
      <c r="F1937" s="31">
        <f t="shared" si="237"/>
        <v>14.6</v>
      </c>
      <c r="G1937" s="31">
        <f t="shared" ca="1" si="241"/>
        <v>14.6</v>
      </c>
      <c r="H1937" s="30">
        <f t="shared" ca="1" si="242"/>
        <v>0</v>
      </c>
      <c r="I1937" s="31">
        <f t="shared" ca="1" si="243"/>
        <v>14.6</v>
      </c>
      <c r="Q1937" s="80"/>
      <c r="R1937" s="42"/>
      <c r="S1937" s="90">
        <f t="shared" si="240"/>
        <v>187.89999999999361</v>
      </c>
      <c r="T1937" s="42"/>
      <c r="U1937" s="42"/>
      <c r="V1937" s="42"/>
      <c r="W1937" s="42"/>
      <c r="X1937" s="81"/>
    </row>
    <row r="1938" spans="2:24" x14ac:dyDescent="0.25">
      <c r="B1938" s="2">
        <v>1</v>
      </c>
      <c r="C1938" s="1">
        <f t="shared" si="238"/>
        <v>9.41176470588222</v>
      </c>
      <c r="D1938" s="1">
        <f t="shared" si="236"/>
        <v>1</v>
      </c>
      <c r="E1938" s="1">
        <f t="shared" si="239"/>
        <v>0</v>
      </c>
      <c r="F1938" s="31">
        <f t="shared" si="237"/>
        <v>14.6</v>
      </c>
      <c r="G1938" s="31">
        <f t="shared" ca="1" si="241"/>
        <v>14.6</v>
      </c>
      <c r="H1938" s="30">
        <f t="shared" ca="1" si="242"/>
        <v>0</v>
      </c>
      <c r="I1938" s="31">
        <f t="shared" ca="1" si="243"/>
        <v>14.6</v>
      </c>
      <c r="Q1938" s="80"/>
      <c r="R1938" s="42"/>
      <c r="S1938" s="90">
        <f t="shared" si="240"/>
        <v>187.99999999999361</v>
      </c>
      <c r="T1938" s="42"/>
      <c r="U1938" s="42"/>
      <c r="V1938" s="42"/>
      <c r="W1938" s="42"/>
      <c r="X1938" s="81"/>
    </row>
    <row r="1939" spans="2:24" x14ac:dyDescent="0.25">
      <c r="B1939" s="2">
        <v>1</v>
      </c>
      <c r="C1939" s="1">
        <f t="shared" si="238"/>
        <v>10.41176470588222</v>
      </c>
      <c r="D1939" s="1">
        <f t="shared" si="236"/>
        <v>1</v>
      </c>
      <c r="E1939" s="1">
        <f t="shared" si="239"/>
        <v>0</v>
      </c>
      <c r="F1939" s="31">
        <f t="shared" si="237"/>
        <v>14.6</v>
      </c>
      <c r="G1939" s="31">
        <f t="shared" ca="1" si="241"/>
        <v>14.6</v>
      </c>
      <c r="H1939" s="30">
        <f t="shared" ca="1" si="242"/>
        <v>0</v>
      </c>
      <c r="I1939" s="31">
        <f t="shared" ca="1" si="243"/>
        <v>14.6</v>
      </c>
      <c r="Q1939" s="80"/>
      <c r="R1939" s="42"/>
      <c r="S1939" s="90">
        <f t="shared" si="240"/>
        <v>188.0999999999936</v>
      </c>
      <c r="T1939" s="42"/>
      <c r="U1939" s="42"/>
      <c r="V1939" s="42"/>
      <c r="W1939" s="42"/>
      <c r="X1939" s="81"/>
    </row>
    <row r="1940" spans="2:24" x14ac:dyDescent="0.25">
      <c r="B1940" s="2">
        <v>1</v>
      </c>
      <c r="C1940" s="1">
        <f t="shared" si="238"/>
        <v>11.41176470588222</v>
      </c>
      <c r="D1940" s="1">
        <f t="shared" si="236"/>
        <v>1</v>
      </c>
      <c r="E1940" s="1">
        <f t="shared" si="239"/>
        <v>0</v>
      </c>
      <c r="F1940" s="31">
        <f t="shared" si="237"/>
        <v>14.6</v>
      </c>
      <c r="G1940" s="31">
        <f t="shared" ca="1" si="241"/>
        <v>14.6</v>
      </c>
      <c r="H1940" s="30">
        <f t="shared" ca="1" si="242"/>
        <v>0</v>
      </c>
      <c r="I1940" s="31">
        <f t="shared" ca="1" si="243"/>
        <v>14.6</v>
      </c>
      <c r="Q1940" s="80"/>
      <c r="R1940" s="42"/>
      <c r="S1940" s="90">
        <f t="shared" si="240"/>
        <v>188.19999999999359</v>
      </c>
      <c r="T1940" s="42"/>
      <c r="U1940" s="42"/>
      <c r="V1940" s="42"/>
      <c r="W1940" s="42"/>
      <c r="X1940" s="81"/>
    </row>
    <row r="1941" spans="2:24" x14ac:dyDescent="0.25">
      <c r="B1941" s="2">
        <v>1</v>
      </c>
      <c r="C1941" s="1">
        <f t="shared" si="238"/>
        <v>12.41176470588222</v>
      </c>
      <c r="D1941" s="1">
        <f t="shared" si="236"/>
        <v>1</v>
      </c>
      <c r="E1941" s="1">
        <f t="shared" si="239"/>
        <v>0</v>
      </c>
      <c r="F1941" s="31">
        <f t="shared" si="237"/>
        <v>14.6</v>
      </c>
      <c r="G1941" s="31">
        <f t="shared" ca="1" si="241"/>
        <v>14.6</v>
      </c>
      <c r="H1941" s="30">
        <f t="shared" ca="1" si="242"/>
        <v>0</v>
      </c>
      <c r="I1941" s="31">
        <f t="shared" ca="1" si="243"/>
        <v>14.6</v>
      </c>
      <c r="Q1941" s="80"/>
      <c r="R1941" s="42"/>
      <c r="S1941" s="90">
        <f t="shared" si="240"/>
        <v>188.29999999999359</v>
      </c>
      <c r="T1941" s="42"/>
      <c r="U1941" s="42"/>
      <c r="V1941" s="42"/>
      <c r="W1941" s="42"/>
      <c r="X1941" s="81"/>
    </row>
    <row r="1942" spans="2:24" x14ac:dyDescent="0.25">
      <c r="B1942" s="2">
        <v>1</v>
      </c>
      <c r="C1942" s="1">
        <f t="shared" si="238"/>
        <v>13.41176470588222</v>
      </c>
      <c r="D1942" s="1">
        <f t="shared" si="236"/>
        <v>1</v>
      </c>
      <c r="E1942" s="1">
        <f t="shared" si="239"/>
        <v>0</v>
      </c>
      <c r="F1942" s="31">
        <f t="shared" si="237"/>
        <v>14.6</v>
      </c>
      <c r="G1942" s="31">
        <f t="shared" ca="1" si="241"/>
        <v>14.6</v>
      </c>
      <c r="H1942" s="30">
        <f t="shared" ca="1" si="242"/>
        <v>0</v>
      </c>
      <c r="I1942" s="31">
        <f t="shared" ca="1" si="243"/>
        <v>14.6</v>
      </c>
      <c r="Q1942" s="80"/>
      <c r="R1942" s="42"/>
      <c r="S1942" s="90">
        <f t="shared" si="240"/>
        <v>188.39999999999358</v>
      </c>
      <c r="T1942" s="42"/>
      <c r="U1942" s="42"/>
      <c r="V1942" s="42"/>
      <c r="W1942" s="42"/>
      <c r="X1942" s="81"/>
    </row>
    <row r="1943" spans="2:24" x14ac:dyDescent="0.25">
      <c r="B1943" s="2">
        <v>1</v>
      </c>
      <c r="C1943" s="1">
        <f t="shared" si="238"/>
        <v>14.41176470588222</v>
      </c>
      <c r="D1943" s="1">
        <f t="shared" si="236"/>
        <v>1</v>
      </c>
      <c r="E1943" s="1">
        <f t="shared" si="239"/>
        <v>0</v>
      </c>
      <c r="F1943" s="31">
        <f t="shared" si="237"/>
        <v>14.6</v>
      </c>
      <c r="G1943" s="31">
        <f t="shared" ca="1" si="241"/>
        <v>14.6</v>
      </c>
      <c r="H1943" s="30">
        <f t="shared" ca="1" si="242"/>
        <v>0</v>
      </c>
      <c r="I1943" s="31">
        <f t="shared" ca="1" si="243"/>
        <v>14.6</v>
      </c>
      <c r="Q1943" s="80"/>
      <c r="R1943" s="42"/>
      <c r="S1943" s="90">
        <f t="shared" si="240"/>
        <v>188.49999999999358</v>
      </c>
      <c r="T1943" s="42"/>
      <c r="U1943" s="42"/>
      <c r="V1943" s="42"/>
      <c r="W1943" s="42"/>
      <c r="X1943" s="81"/>
    </row>
    <row r="1944" spans="2:24" x14ac:dyDescent="0.25">
      <c r="B1944" s="2">
        <v>1</v>
      </c>
      <c r="C1944" s="1">
        <f t="shared" si="238"/>
        <v>15.41176470588222</v>
      </c>
      <c r="D1944" s="1">
        <f t="shared" si="236"/>
        <v>1</v>
      </c>
      <c r="E1944" s="1">
        <f t="shared" si="239"/>
        <v>0</v>
      </c>
      <c r="F1944" s="31">
        <f t="shared" si="237"/>
        <v>14.6</v>
      </c>
      <c r="G1944" s="31">
        <f t="shared" ca="1" si="241"/>
        <v>14.6</v>
      </c>
      <c r="H1944" s="30">
        <f t="shared" ca="1" si="242"/>
        <v>0</v>
      </c>
      <c r="I1944" s="31">
        <f t="shared" ca="1" si="243"/>
        <v>14.6</v>
      </c>
      <c r="Q1944" s="80"/>
      <c r="R1944" s="42"/>
      <c r="S1944" s="90">
        <f t="shared" si="240"/>
        <v>188.59999999999357</v>
      </c>
      <c r="T1944" s="42"/>
      <c r="U1944" s="42"/>
      <c r="V1944" s="42"/>
      <c r="W1944" s="42"/>
      <c r="X1944" s="81"/>
    </row>
    <row r="1945" spans="2:24" x14ac:dyDescent="0.25">
      <c r="B1945" s="2">
        <v>1</v>
      </c>
      <c r="C1945" s="1">
        <f t="shared" si="238"/>
        <v>16.41176470588222</v>
      </c>
      <c r="D1945" s="1">
        <f t="shared" si="236"/>
        <v>1</v>
      </c>
      <c r="E1945" s="1">
        <f t="shared" si="239"/>
        <v>0</v>
      </c>
      <c r="F1945" s="31">
        <f t="shared" si="237"/>
        <v>14.6</v>
      </c>
      <c r="G1945" s="31">
        <f t="shared" ca="1" si="241"/>
        <v>14.6</v>
      </c>
      <c r="H1945" s="30">
        <f t="shared" ca="1" si="242"/>
        <v>0</v>
      </c>
      <c r="I1945" s="31">
        <f t="shared" ca="1" si="243"/>
        <v>14.6</v>
      </c>
      <c r="Q1945" s="80"/>
      <c r="R1945" s="42"/>
      <c r="S1945" s="90">
        <f t="shared" si="240"/>
        <v>188.69999999999357</v>
      </c>
      <c r="T1945" s="42"/>
      <c r="U1945" s="42"/>
      <c r="V1945" s="42"/>
      <c r="W1945" s="42"/>
      <c r="X1945" s="81"/>
    </row>
    <row r="1946" spans="2:24" x14ac:dyDescent="0.25">
      <c r="B1946" s="2">
        <v>1</v>
      </c>
      <c r="C1946" s="1">
        <f t="shared" si="238"/>
        <v>17.41176470588222</v>
      </c>
      <c r="D1946" s="1">
        <f t="shared" si="236"/>
        <v>1</v>
      </c>
      <c r="E1946" s="1">
        <f t="shared" si="239"/>
        <v>0</v>
      </c>
      <c r="F1946" s="31">
        <f t="shared" si="237"/>
        <v>14.6</v>
      </c>
      <c r="G1946" s="31">
        <f t="shared" ca="1" si="241"/>
        <v>14.6</v>
      </c>
      <c r="H1946" s="30">
        <f t="shared" ca="1" si="242"/>
        <v>0</v>
      </c>
      <c r="I1946" s="31">
        <f t="shared" ca="1" si="243"/>
        <v>14.6</v>
      </c>
      <c r="Q1946" s="80"/>
      <c r="R1946" s="42"/>
      <c r="S1946" s="90">
        <f t="shared" si="240"/>
        <v>188.79999999999356</v>
      </c>
      <c r="T1946" s="42"/>
      <c r="U1946" s="42"/>
      <c r="V1946" s="42"/>
      <c r="W1946" s="42"/>
      <c r="X1946" s="81"/>
    </row>
    <row r="1947" spans="2:24" x14ac:dyDescent="0.25">
      <c r="B1947" s="2">
        <v>1</v>
      </c>
      <c r="C1947" s="1">
        <f t="shared" si="238"/>
        <v>18.41176470588222</v>
      </c>
      <c r="D1947" s="1">
        <f t="shared" si="236"/>
        <v>1</v>
      </c>
      <c r="E1947" s="1">
        <f t="shared" si="239"/>
        <v>0</v>
      </c>
      <c r="F1947" s="31">
        <f t="shared" si="237"/>
        <v>14.6</v>
      </c>
      <c r="G1947" s="31">
        <f t="shared" ca="1" si="241"/>
        <v>14.6</v>
      </c>
      <c r="H1947" s="30">
        <f t="shared" ca="1" si="242"/>
        <v>0</v>
      </c>
      <c r="I1947" s="31">
        <f t="shared" ca="1" si="243"/>
        <v>14.6</v>
      </c>
      <c r="Q1947" s="80"/>
      <c r="R1947" s="42"/>
      <c r="S1947" s="90">
        <f t="shared" si="240"/>
        <v>188.89999999999355</v>
      </c>
      <c r="T1947" s="42"/>
      <c r="U1947" s="42"/>
      <c r="V1947" s="42"/>
      <c r="W1947" s="42"/>
      <c r="X1947" s="81"/>
    </row>
    <row r="1948" spans="2:24" x14ac:dyDescent="0.25">
      <c r="B1948" s="2">
        <v>1</v>
      </c>
      <c r="C1948" s="1">
        <f t="shared" si="238"/>
        <v>19.41176470588222</v>
      </c>
      <c r="D1948" s="1">
        <f t="shared" si="236"/>
        <v>1</v>
      </c>
      <c r="E1948" s="1">
        <f t="shared" si="239"/>
        <v>0</v>
      </c>
      <c r="F1948" s="31">
        <f t="shared" si="237"/>
        <v>14.6</v>
      </c>
      <c r="G1948" s="31">
        <f t="shared" ca="1" si="241"/>
        <v>14.6</v>
      </c>
      <c r="H1948" s="30">
        <f t="shared" ca="1" si="242"/>
        <v>0</v>
      </c>
      <c r="I1948" s="31">
        <f t="shared" ca="1" si="243"/>
        <v>14.6</v>
      </c>
      <c r="Q1948" s="80"/>
      <c r="R1948" s="42"/>
      <c r="S1948" s="90">
        <f t="shared" si="240"/>
        <v>188.99999999999355</v>
      </c>
      <c r="T1948" s="42"/>
      <c r="U1948" s="42"/>
      <c r="V1948" s="42"/>
      <c r="W1948" s="42"/>
      <c r="X1948" s="81"/>
    </row>
    <row r="1949" spans="2:24" x14ac:dyDescent="0.25">
      <c r="B1949" s="2">
        <v>1</v>
      </c>
      <c r="C1949" s="1">
        <f t="shared" si="238"/>
        <v>20.41176470588222</v>
      </c>
      <c r="D1949" s="1">
        <f t="shared" si="236"/>
        <v>1</v>
      </c>
      <c r="E1949" s="1">
        <f t="shared" si="239"/>
        <v>0</v>
      </c>
      <c r="F1949" s="31">
        <f t="shared" si="237"/>
        <v>14.6</v>
      </c>
      <c r="G1949" s="31">
        <f t="shared" ca="1" si="241"/>
        <v>14.6</v>
      </c>
      <c r="H1949" s="30">
        <f t="shared" ca="1" si="242"/>
        <v>0</v>
      </c>
      <c r="I1949" s="31">
        <f t="shared" ca="1" si="243"/>
        <v>14.6</v>
      </c>
      <c r="Q1949" s="80"/>
      <c r="R1949" s="42"/>
      <c r="S1949" s="90">
        <f t="shared" si="240"/>
        <v>189.09999999999354</v>
      </c>
      <c r="T1949" s="42"/>
      <c r="U1949" s="42"/>
      <c r="V1949" s="42"/>
      <c r="W1949" s="42"/>
      <c r="X1949" s="81"/>
    </row>
    <row r="1950" spans="2:24" x14ac:dyDescent="0.25">
      <c r="B1950" s="2">
        <v>1</v>
      </c>
      <c r="C1950" s="1">
        <f t="shared" si="238"/>
        <v>21.41176470588222</v>
      </c>
      <c r="D1950" s="1">
        <f t="shared" si="236"/>
        <v>1</v>
      </c>
      <c r="E1950" s="1">
        <f t="shared" si="239"/>
        <v>0</v>
      </c>
      <c r="F1950" s="31">
        <f t="shared" si="237"/>
        <v>14.6</v>
      </c>
      <c r="G1950" s="31">
        <f t="shared" ca="1" si="241"/>
        <v>14.6</v>
      </c>
      <c r="H1950" s="30">
        <f t="shared" ca="1" si="242"/>
        <v>0</v>
      </c>
      <c r="I1950" s="31">
        <f t="shared" ca="1" si="243"/>
        <v>14.6</v>
      </c>
      <c r="Q1950" s="80"/>
      <c r="R1950" s="42"/>
      <c r="S1950" s="90">
        <f t="shared" si="240"/>
        <v>189.19999999999354</v>
      </c>
      <c r="T1950" s="42"/>
      <c r="U1950" s="42"/>
      <c r="V1950" s="42"/>
      <c r="W1950" s="42"/>
      <c r="X1950" s="81"/>
    </row>
    <row r="1951" spans="2:24" x14ac:dyDescent="0.25">
      <c r="B1951" s="2">
        <v>1</v>
      </c>
      <c r="C1951" s="1">
        <f t="shared" si="238"/>
        <v>22.41176470588222</v>
      </c>
      <c r="D1951" s="1">
        <f t="shared" si="236"/>
        <v>1</v>
      </c>
      <c r="E1951" s="1">
        <f t="shared" si="239"/>
        <v>0</v>
      </c>
      <c r="F1951" s="31">
        <f t="shared" si="237"/>
        <v>14.6</v>
      </c>
      <c r="G1951" s="31">
        <f t="shared" ca="1" si="241"/>
        <v>14.6</v>
      </c>
      <c r="H1951" s="30">
        <f t="shared" ca="1" si="242"/>
        <v>0</v>
      </c>
      <c r="I1951" s="31">
        <f t="shared" ca="1" si="243"/>
        <v>14.6</v>
      </c>
      <c r="Q1951" s="80"/>
      <c r="R1951" s="42"/>
      <c r="S1951" s="90">
        <f t="shared" si="240"/>
        <v>189.29999999999353</v>
      </c>
      <c r="T1951" s="42"/>
      <c r="U1951" s="42"/>
      <c r="V1951" s="42"/>
      <c r="W1951" s="42"/>
      <c r="X1951" s="81"/>
    </row>
    <row r="1952" spans="2:24" x14ac:dyDescent="0.25">
      <c r="B1952" s="2">
        <v>1</v>
      </c>
      <c r="C1952" s="1">
        <f t="shared" si="238"/>
        <v>23.41176470588222</v>
      </c>
      <c r="D1952" s="1">
        <f t="shared" si="236"/>
        <v>0</v>
      </c>
      <c r="E1952" s="1">
        <f t="shared" si="239"/>
        <v>1</v>
      </c>
      <c r="F1952" s="31">
        <f t="shared" si="237"/>
        <v>6.4</v>
      </c>
      <c r="G1952" s="31">
        <f t="shared" ca="1" si="241"/>
        <v>0</v>
      </c>
      <c r="H1952" s="30">
        <f t="shared" ca="1" si="242"/>
        <v>14.6</v>
      </c>
      <c r="I1952" s="31">
        <f t="shared" ca="1" si="243"/>
        <v>14.6</v>
      </c>
      <c r="Q1952" s="80"/>
      <c r="R1952" s="42"/>
      <c r="S1952" s="90">
        <f t="shared" si="240"/>
        <v>189.39999999999353</v>
      </c>
      <c r="T1952" s="42"/>
      <c r="U1952" s="42"/>
      <c r="V1952" s="42"/>
      <c r="W1952" s="42"/>
      <c r="X1952" s="81"/>
    </row>
    <row r="1953" spans="2:24" x14ac:dyDescent="0.25">
      <c r="B1953" s="2">
        <v>1</v>
      </c>
      <c r="C1953" s="1">
        <f t="shared" si="238"/>
        <v>24.41176470588222</v>
      </c>
      <c r="D1953" s="1">
        <f t="shared" si="236"/>
        <v>0</v>
      </c>
      <c r="E1953" s="1">
        <f t="shared" si="239"/>
        <v>1</v>
      </c>
      <c r="F1953" s="31">
        <f t="shared" si="237"/>
        <v>6.4</v>
      </c>
      <c r="G1953" s="31">
        <f t="shared" ca="1" si="241"/>
        <v>0</v>
      </c>
      <c r="H1953" s="30">
        <f t="shared" ca="1" si="242"/>
        <v>6.4</v>
      </c>
      <c r="I1953" s="31">
        <f t="shared" ca="1" si="243"/>
        <v>6.4</v>
      </c>
      <c r="Q1953" s="80"/>
      <c r="R1953" s="42"/>
      <c r="S1953" s="90">
        <f t="shared" si="240"/>
        <v>189.49999999999352</v>
      </c>
      <c r="T1953" s="42"/>
      <c r="U1953" s="42"/>
      <c r="V1953" s="42"/>
      <c r="W1953" s="42"/>
      <c r="X1953" s="81"/>
    </row>
    <row r="1954" spans="2:24" x14ac:dyDescent="0.25">
      <c r="B1954" s="2">
        <v>1</v>
      </c>
      <c r="C1954" s="1">
        <f t="shared" si="238"/>
        <v>25.41176470588222</v>
      </c>
      <c r="D1954" s="1">
        <f t="shared" si="236"/>
        <v>0</v>
      </c>
      <c r="E1954" s="1">
        <f t="shared" si="239"/>
        <v>1</v>
      </c>
      <c r="F1954" s="31">
        <f t="shared" si="237"/>
        <v>6.4</v>
      </c>
      <c r="G1954" s="31">
        <f t="shared" ca="1" si="241"/>
        <v>0</v>
      </c>
      <c r="H1954" s="30">
        <f t="shared" ca="1" si="242"/>
        <v>6.4</v>
      </c>
      <c r="I1954" s="31">
        <f t="shared" ca="1" si="243"/>
        <v>6.4</v>
      </c>
      <c r="Q1954" s="80"/>
      <c r="R1954" s="42"/>
      <c r="S1954" s="90">
        <f t="shared" si="240"/>
        <v>189.59999999999351</v>
      </c>
      <c r="T1954" s="42"/>
      <c r="U1954" s="42"/>
      <c r="V1954" s="42"/>
      <c r="W1954" s="42"/>
      <c r="X1954" s="81"/>
    </row>
    <row r="1955" spans="2:24" x14ac:dyDescent="0.25">
      <c r="B1955" s="2">
        <v>1</v>
      </c>
      <c r="C1955" s="1">
        <f t="shared" si="238"/>
        <v>26.41176470588222</v>
      </c>
      <c r="D1955" s="1">
        <f t="shared" si="236"/>
        <v>0</v>
      </c>
      <c r="E1955" s="1">
        <f t="shared" si="239"/>
        <v>1</v>
      </c>
      <c r="F1955" s="31">
        <f t="shared" si="237"/>
        <v>6.4</v>
      </c>
      <c r="G1955" s="31">
        <f t="shared" ca="1" si="241"/>
        <v>0</v>
      </c>
      <c r="H1955" s="30">
        <f t="shared" ca="1" si="242"/>
        <v>6.4</v>
      </c>
      <c r="I1955" s="31">
        <f t="shared" ca="1" si="243"/>
        <v>6.4</v>
      </c>
      <c r="Q1955" s="80"/>
      <c r="R1955" s="42"/>
      <c r="S1955" s="90">
        <f t="shared" si="240"/>
        <v>189.69999999999351</v>
      </c>
      <c r="T1955" s="42"/>
      <c r="U1955" s="42"/>
      <c r="V1955" s="42"/>
      <c r="W1955" s="42"/>
      <c r="X1955" s="81"/>
    </row>
    <row r="1956" spans="2:24" x14ac:dyDescent="0.25">
      <c r="B1956" s="2">
        <v>1</v>
      </c>
      <c r="C1956" s="1">
        <f t="shared" si="238"/>
        <v>27.41176470588222</v>
      </c>
      <c r="D1956" s="1">
        <f t="shared" si="236"/>
        <v>0</v>
      </c>
      <c r="E1956" s="1">
        <f t="shared" si="239"/>
        <v>1</v>
      </c>
      <c r="F1956" s="31">
        <f t="shared" si="237"/>
        <v>6.4</v>
      </c>
      <c r="G1956" s="31">
        <f t="shared" ca="1" si="241"/>
        <v>0</v>
      </c>
      <c r="H1956" s="30">
        <f t="shared" ca="1" si="242"/>
        <v>6.4</v>
      </c>
      <c r="I1956" s="31">
        <f t="shared" ca="1" si="243"/>
        <v>6.4</v>
      </c>
      <c r="Q1956" s="80"/>
      <c r="R1956" s="42"/>
      <c r="S1956" s="90">
        <f t="shared" si="240"/>
        <v>189.7999999999935</v>
      </c>
      <c r="T1956" s="42"/>
      <c r="U1956" s="42"/>
      <c r="V1956" s="42"/>
      <c r="W1956" s="42"/>
      <c r="X1956" s="81"/>
    </row>
    <row r="1957" spans="2:24" x14ac:dyDescent="0.25">
      <c r="B1957" s="2">
        <v>1</v>
      </c>
      <c r="C1957" s="1">
        <f t="shared" si="238"/>
        <v>28.41176470588222</v>
      </c>
      <c r="D1957" s="1">
        <f t="shared" si="236"/>
        <v>0</v>
      </c>
      <c r="E1957" s="1">
        <f t="shared" si="239"/>
        <v>1</v>
      </c>
      <c r="F1957" s="31">
        <f t="shared" si="237"/>
        <v>6.4</v>
      </c>
      <c r="G1957" s="31">
        <f t="shared" ca="1" si="241"/>
        <v>0</v>
      </c>
      <c r="H1957" s="30">
        <f t="shared" ca="1" si="242"/>
        <v>6.4</v>
      </c>
      <c r="I1957" s="31">
        <f t="shared" ca="1" si="243"/>
        <v>6.4</v>
      </c>
      <c r="Q1957" s="80"/>
      <c r="R1957" s="42"/>
      <c r="S1957" s="90">
        <f t="shared" si="240"/>
        <v>189.8999999999935</v>
      </c>
      <c r="T1957" s="42"/>
      <c r="U1957" s="42"/>
      <c r="V1957" s="42"/>
      <c r="W1957" s="42"/>
      <c r="X1957" s="81"/>
    </row>
    <row r="1958" spans="2:24" x14ac:dyDescent="0.25">
      <c r="B1958" s="2">
        <v>1</v>
      </c>
      <c r="C1958" s="1">
        <f t="shared" si="238"/>
        <v>29.41176470588222</v>
      </c>
      <c r="D1958" s="1">
        <f t="shared" si="236"/>
        <v>0</v>
      </c>
      <c r="E1958" s="1">
        <f t="shared" si="239"/>
        <v>1</v>
      </c>
      <c r="F1958" s="31">
        <f t="shared" si="237"/>
        <v>6.4</v>
      </c>
      <c r="G1958" s="31">
        <f t="shared" ca="1" si="241"/>
        <v>0</v>
      </c>
      <c r="H1958" s="30">
        <f t="shared" ca="1" si="242"/>
        <v>6.4</v>
      </c>
      <c r="I1958" s="31">
        <f t="shared" ca="1" si="243"/>
        <v>6.4</v>
      </c>
      <c r="Q1958" s="80"/>
      <c r="R1958" s="42"/>
      <c r="S1958" s="90">
        <f t="shared" si="240"/>
        <v>189.99999999999349</v>
      </c>
      <c r="T1958" s="42"/>
      <c r="U1958" s="42"/>
      <c r="V1958" s="42"/>
      <c r="W1958" s="42"/>
      <c r="X1958" s="81"/>
    </row>
    <row r="1959" spans="2:24" x14ac:dyDescent="0.25">
      <c r="B1959" s="2">
        <v>1</v>
      </c>
      <c r="C1959" s="1">
        <f t="shared" si="238"/>
        <v>30.41176470588222</v>
      </c>
      <c r="D1959" s="1">
        <f t="shared" si="236"/>
        <v>0</v>
      </c>
      <c r="E1959" s="1">
        <f t="shared" si="239"/>
        <v>1</v>
      </c>
      <c r="F1959" s="31">
        <f t="shared" si="237"/>
        <v>6.4</v>
      </c>
      <c r="G1959" s="31">
        <f t="shared" ca="1" si="241"/>
        <v>0</v>
      </c>
      <c r="H1959" s="30">
        <f t="shared" ca="1" si="242"/>
        <v>6.4</v>
      </c>
      <c r="I1959" s="31">
        <f t="shared" ca="1" si="243"/>
        <v>6.4</v>
      </c>
      <c r="Q1959" s="80"/>
      <c r="R1959" s="42"/>
      <c r="S1959" s="90">
        <f t="shared" si="240"/>
        <v>190.09999999999349</v>
      </c>
      <c r="T1959" s="42"/>
      <c r="U1959" s="42"/>
      <c r="V1959" s="42"/>
      <c r="W1959" s="42"/>
      <c r="X1959" s="81"/>
    </row>
    <row r="1960" spans="2:24" x14ac:dyDescent="0.25">
      <c r="B1960" s="2">
        <v>1</v>
      </c>
      <c r="C1960" s="1">
        <f t="shared" si="238"/>
        <v>31.41176470588222</v>
      </c>
      <c r="D1960" s="1">
        <f t="shared" si="236"/>
        <v>0</v>
      </c>
      <c r="E1960" s="1">
        <f t="shared" si="239"/>
        <v>1</v>
      </c>
      <c r="F1960" s="31">
        <f t="shared" si="237"/>
        <v>6.4</v>
      </c>
      <c r="G1960" s="31">
        <f t="shared" ca="1" si="241"/>
        <v>0</v>
      </c>
      <c r="H1960" s="30">
        <f t="shared" ca="1" si="242"/>
        <v>6.4</v>
      </c>
      <c r="I1960" s="31">
        <f t="shared" ca="1" si="243"/>
        <v>6.4</v>
      </c>
      <c r="Q1960" s="80"/>
      <c r="R1960" s="42"/>
      <c r="S1960" s="90">
        <f t="shared" si="240"/>
        <v>190.19999999999348</v>
      </c>
      <c r="T1960" s="42"/>
      <c r="U1960" s="42"/>
      <c r="V1960" s="42"/>
      <c r="W1960" s="42"/>
      <c r="X1960" s="81"/>
    </row>
    <row r="1961" spans="2:24" x14ac:dyDescent="0.25">
      <c r="B1961" s="2">
        <v>1</v>
      </c>
      <c r="C1961" s="1">
        <f t="shared" si="238"/>
        <v>32.41176470588222</v>
      </c>
      <c r="D1961" s="1">
        <f t="shared" si="236"/>
        <v>0</v>
      </c>
      <c r="E1961" s="1">
        <f t="shared" si="239"/>
        <v>1</v>
      </c>
      <c r="F1961" s="31">
        <f t="shared" si="237"/>
        <v>6.4</v>
      </c>
      <c r="G1961" s="31">
        <f t="shared" ca="1" si="241"/>
        <v>0</v>
      </c>
      <c r="H1961" s="30">
        <f t="shared" ca="1" si="242"/>
        <v>6.4</v>
      </c>
      <c r="I1961" s="31">
        <f t="shared" ca="1" si="243"/>
        <v>6.4</v>
      </c>
      <c r="Q1961" s="80"/>
      <c r="R1961" s="42"/>
      <c r="S1961" s="90">
        <f t="shared" si="240"/>
        <v>190.29999999999347</v>
      </c>
      <c r="T1961" s="42"/>
      <c r="U1961" s="42"/>
      <c r="V1961" s="42"/>
      <c r="W1961" s="42"/>
      <c r="X1961" s="81"/>
    </row>
    <row r="1962" spans="2:24" x14ac:dyDescent="0.25">
      <c r="B1962" s="2">
        <v>1</v>
      </c>
      <c r="C1962" s="1">
        <f t="shared" si="238"/>
        <v>33.41176470588222</v>
      </c>
      <c r="D1962" s="1">
        <f t="shared" si="236"/>
        <v>0</v>
      </c>
      <c r="E1962" s="1">
        <f t="shared" si="239"/>
        <v>1</v>
      </c>
      <c r="F1962" s="31">
        <f t="shared" si="237"/>
        <v>6.4</v>
      </c>
      <c r="G1962" s="31">
        <f t="shared" ca="1" si="241"/>
        <v>0</v>
      </c>
      <c r="H1962" s="30">
        <f t="shared" ca="1" si="242"/>
        <v>6.4</v>
      </c>
      <c r="I1962" s="31">
        <f t="shared" ca="1" si="243"/>
        <v>6.4</v>
      </c>
      <c r="Q1962" s="80"/>
      <c r="R1962" s="42"/>
      <c r="S1962" s="90">
        <f t="shared" si="240"/>
        <v>190.39999999999347</v>
      </c>
      <c r="T1962" s="42"/>
      <c r="U1962" s="42"/>
      <c r="V1962" s="42"/>
      <c r="W1962" s="42"/>
      <c r="X1962" s="81"/>
    </row>
    <row r="1963" spans="2:24" x14ac:dyDescent="0.25">
      <c r="B1963" s="2">
        <v>1</v>
      </c>
      <c r="C1963" s="1">
        <f t="shared" si="238"/>
        <v>34.41176470588222</v>
      </c>
      <c r="D1963" s="1">
        <f t="shared" si="236"/>
        <v>0</v>
      </c>
      <c r="E1963" s="1">
        <f t="shared" si="239"/>
        <v>1</v>
      </c>
      <c r="F1963" s="31">
        <f t="shared" si="237"/>
        <v>6.4</v>
      </c>
      <c r="G1963" s="31">
        <f t="shared" ca="1" si="241"/>
        <v>0</v>
      </c>
      <c r="H1963" s="30">
        <f t="shared" ca="1" si="242"/>
        <v>6.4</v>
      </c>
      <c r="I1963" s="31">
        <f t="shared" ca="1" si="243"/>
        <v>6.4</v>
      </c>
      <c r="Q1963" s="80"/>
      <c r="R1963" s="42"/>
      <c r="S1963" s="90">
        <f t="shared" si="240"/>
        <v>190.49999999999346</v>
      </c>
      <c r="T1963" s="42"/>
      <c r="U1963" s="42"/>
      <c r="V1963" s="42"/>
      <c r="W1963" s="42"/>
      <c r="X1963" s="81"/>
    </row>
    <row r="1964" spans="2:24" x14ac:dyDescent="0.25">
      <c r="B1964" s="2">
        <v>1</v>
      </c>
      <c r="C1964" s="1">
        <f t="shared" si="238"/>
        <v>0.11764705882339399</v>
      </c>
      <c r="D1964" s="1">
        <f t="shared" si="236"/>
        <v>1</v>
      </c>
      <c r="E1964" s="1">
        <f t="shared" si="239"/>
        <v>0</v>
      </c>
      <c r="F1964" s="31">
        <f t="shared" si="237"/>
        <v>14.6</v>
      </c>
      <c r="G1964" s="31">
        <f t="shared" ca="1" si="241"/>
        <v>6.4</v>
      </c>
      <c r="H1964" s="30">
        <f t="shared" ca="1" si="242"/>
        <v>0</v>
      </c>
      <c r="I1964" s="31">
        <f t="shared" ca="1" si="243"/>
        <v>6.4</v>
      </c>
      <c r="Q1964" s="80"/>
      <c r="R1964" s="42"/>
      <c r="S1964" s="90">
        <f t="shared" si="240"/>
        <v>190.59999999999346</v>
      </c>
      <c r="T1964" s="42"/>
      <c r="U1964" s="42"/>
      <c r="V1964" s="42"/>
      <c r="W1964" s="42"/>
      <c r="X1964" s="81"/>
    </row>
    <row r="1965" spans="2:24" x14ac:dyDescent="0.25">
      <c r="B1965" s="2">
        <v>1</v>
      </c>
      <c r="C1965" s="1">
        <f t="shared" si="238"/>
        <v>1.117647058823394</v>
      </c>
      <c r="D1965" s="1">
        <f t="shared" si="236"/>
        <v>1</v>
      </c>
      <c r="E1965" s="1">
        <f t="shared" si="239"/>
        <v>0</v>
      </c>
      <c r="F1965" s="31">
        <f t="shared" si="237"/>
        <v>14.6</v>
      </c>
      <c r="G1965" s="31">
        <f t="shared" ca="1" si="241"/>
        <v>8.4500000000000011</v>
      </c>
      <c r="H1965" s="30">
        <f t="shared" ca="1" si="242"/>
        <v>0</v>
      </c>
      <c r="I1965" s="31">
        <f t="shared" ca="1" si="243"/>
        <v>8.4500000000000011</v>
      </c>
      <c r="Q1965" s="80"/>
      <c r="R1965" s="42"/>
      <c r="S1965" s="90">
        <f t="shared" si="240"/>
        <v>190.69999999999345</v>
      </c>
      <c r="T1965" s="42"/>
      <c r="U1965" s="42"/>
      <c r="V1965" s="42"/>
      <c r="W1965" s="42"/>
      <c r="X1965" s="81"/>
    </row>
    <row r="1966" spans="2:24" x14ac:dyDescent="0.25">
      <c r="B1966" s="2">
        <v>1</v>
      </c>
      <c r="C1966" s="1">
        <f t="shared" si="238"/>
        <v>2.117647058823394</v>
      </c>
      <c r="D1966" s="1">
        <f t="shared" si="236"/>
        <v>1</v>
      </c>
      <c r="E1966" s="1">
        <f t="shared" si="239"/>
        <v>0</v>
      </c>
      <c r="F1966" s="31">
        <f t="shared" si="237"/>
        <v>14.6</v>
      </c>
      <c r="G1966" s="31">
        <f t="shared" ca="1" si="241"/>
        <v>10.5</v>
      </c>
      <c r="H1966" s="30">
        <f t="shared" ca="1" si="242"/>
        <v>0</v>
      </c>
      <c r="I1966" s="31">
        <f t="shared" ca="1" si="243"/>
        <v>10.5</v>
      </c>
      <c r="Q1966" s="80"/>
      <c r="R1966" s="42"/>
      <c r="S1966" s="90">
        <f t="shared" si="240"/>
        <v>190.79999999999345</v>
      </c>
      <c r="T1966" s="42"/>
      <c r="U1966" s="42"/>
      <c r="V1966" s="42"/>
      <c r="W1966" s="42"/>
      <c r="X1966" s="81"/>
    </row>
    <row r="1967" spans="2:24" x14ac:dyDescent="0.25">
      <c r="B1967" s="2">
        <v>1</v>
      </c>
      <c r="C1967" s="1">
        <f t="shared" si="238"/>
        <v>3.117647058823394</v>
      </c>
      <c r="D1967" s="1">
        <f t="shared" si="236"/>
        <v>1</v>
      </c>
      <c r="E1967" s="1">
        <f t="shared" si="239"/>
        <v>0</v>
      </c>
      <c r="F1967" s="31">
        <f t="shared" si="237"/>
        <v>14.6</v>
      </c>
      <c r="G1967" s="31">
        <f t="shared" ca="1" si="241"/>
        <v>12.55</v>
      </c>
      <c r="H1967" s="30">
        <f t="shared" ca="1" si="242"/>
        <v>0</v>
      </c>
      <c r="I1967" s="31">
        <f t="shared" ca="1" si="243"/>
        <v>12.55</v>
      </c>
      <c r="Q1967" s="80"/>
      <c r="R1967" s="42"/>
      <c r="S1967" s="90">
        <f t="shared" si="240"/>
        <v>190.89999999999344</v>
      </c>
      <c r="T1967" s="42"/>
      <c r="U1967" s="42"/>
      <c r="V1967" s="42"/>
      <c r="W1967" s="42"/>
      <c r="X1967" s="81"/>
    </row>
    <row r="1968" spans="2:24" x14ac:dyDescent="0.25">
      <c r="B1968" s="2">
        <v>1</v>
      </c>
      <c r="C1968" s="1">
        <f t="shared" si="238"/>
        <v>4.117647058823394</v>
      </c>
      <c r="D1968" s="1">
        <f t="shared" si="236"/>
        <v>1</v>
      </c>
      <c r="E1968" s="1">
        <f t="shared" si="239"/>
        <v>0</v>
      </c>
      <c r="F1968" s="31">
        <f t="shared" si="237"/>
        <v>14.6</v>
      </c>
      <c r="G1968" s="31">
        <f t="shared" ca="1" si="241"/>
        <v>14.6</v>
      </c>
      <c r="H1968" s="30">
        <f t="shared" ca="1" si="242"/>
        <v>0</v>
      </c>
      <c r="I1968" s="31">
        <f t="shared" ca="1" si="243"/>
        <v>14.6</v>
      </c>
      <c r="Q1968" s="80"/>
      <c r="R1968" s="42"/>
      <c r="S1968" s="90">
        <f t="shared" si="240"/>
        <v>190.99999999999343</v>
      </c>
      <c r="T1968" s="42"/>
      <c r="U1968" s="42"/>
      <c r="V1968" s="42"/>
      <c r="W1968" s="42"/>
      <c r="X1968" s="81"/>
    </row>
    <row r="1969" spans="2:24" x14ac:dyDescent="0.25">
      <c r="B1969" s="2">
        <v>1</v>
      </c>
      <c r="C1969" s="1">
        <f t="shared" si="238"/>
        <v>5.117647058823394</v>
      </c>
      <c r="D1969" s="1">
        <f t="shared" si="236"/>
        <v>1</v>
      </c>
      <c r="E1969" s="1">
        <f t="shared" si="239"/>
        <v>0</v>
      </c>
      <c r="F1969" s="31">
        <f t="shared" si="237"/>
        <v>14.6</v>
      </c>
      <c r="G1969" s="31">
        <f t="shared" ca="1" si="241"/>
        <v>14.6</v>
      </c>
      <c r="H1969" s="30">
        <f t="shared" ca="1" si="242"/>
        <v>0</v>
      </c>
      <c r="I1969" s="31">
        <f t="shared" ca="1" si="243"/>
        <v>14.6</v>
      </c>
      <c r="Q1969" s="80"/>
      <c r="R1969" s="42"/>
      <c r="S1969" s="90">
        <f t="shared" si="240"/>
        <v>191.09999999999343</v>
      </c>
      <c r="T1969" s="42"/>
      <c r="U1969" s="42"/>
      <c r="V1969" s="42"/>
      <c r="W1969" s="42"/>
      <c r="X1969" s="81"/>
    </row>
    <row r="1970" spans="2:24" x14ac:dyDescent="0.25">
      <c r="B1970" s="2">
        <v>1</v>
      </c>
      <c r="C1970" s="1">
        <f t="shared" si="238"/>
        <v>6.117647058823394</v>
      </c>
      <c r="D1970" s="1">
        <f t="shared" si="236"/>
        <v>1</v>
      </c>
      <c r="E1970" s="1">
        <f t="shared" si="239"/>
        <v>0</v>
      </c>
      <c r="F1970" s="31">
        <f t="shared" si="237"/>
        <v>14.6</v>
      </c>
      <c r="G1970" s="31">
        <f t="shared" ca="1" si="241"/>
        <v>14.6</v>
      </c>
      <c r="H1970" s="30">
        <f t="shared" ca="1" si="242"/>
        <v>0</v>
      </c>
      <c r="I1970" s="31">
        <f t="shared" ca="1" si="243"/>
        <v>14.6</v>
      </c>
      <c r="Q1970" s="80"/>
      <c r="R1970" s="42"/>
      <c r="S1970" s="90">
        <f t="shared" si="240"/>
        <v>191.19999999999342</v>
      </c>
      <c r="T1970" s="42"/>
      <c r="U1970" s="42"/>
      <c r="V1970" s="42"/>
      <c r="W1970" s="42"/>
      <c r="X1970" s="81"/>
    </row>
    <row r="1971" spans="2:24" x14ac:dyDescent="0.25">
      <c r="B1971" s="2">
        <v>1</v>
      </c>
      <c r="C1971" s="1">
        <f t="shared" si="238"/>
        <v>7.117647058823394</v>
      </c>
      <c r="D1971" s="1">
        <f t="shared" si="236"/>
        <v>1</v>
      </c>
      <c r="E1971" s="1">
        <f t="shared" si="239"/>
        <v>0</v>
      </c>
      <c r="F1971" s="31">
        <f t="shared" si="237"/>
        <v>14.6</v>
      </c>
      <c r="G1971" s="31">
        <f t="shared" ca="1" si="241"/>
        <v>14.6</v>
      </c>
      <c r="H1971" s="30">
        <f t="shared" ca="1" si="242"/>
        <v>0</v>
      </c>
      <c r="I1971" s="31">
        <f t="shared" ca="1" si="243"/>
        <v>14.6</v>
      </c>
      <c r="Q1971" s="80"/>
      <c r="R1971" s="42"/>
      <c r="S1971" s="90">
        <f t="shared" si="240"/>
        <v>191.29999999999342</v>
      </c>
      <c r="T1971" s="42"/>
      <c r="U1971" s="42"/>
      <c r="V1971" s="42"/>
      <c r="W1971" s="42"/>
      <c r="X1971" s="81"/>
    </row>
    <row r="1972" spans="2:24" x14ac:dyDescent="0.25">
      <c r="B1972" s="2">
        <v>1</v>
      </c>
      <c r="C1972" s="1">
        <f t="shared" si="238"/>
        <v>8.117647058823394</v>
      </c>
      <c r="D1972" s="1">
        <f t="shared" si="236"/>
        <v>1</v>
      </c>
      <c r="E1972" s="1">
        <f t="shared" si="239"/>
        <v>0</v>
      </c>
      <c r="F1972" s="31">
        <f t="shared" si="237"/>
        <v>14.6</v>
      </c>
      <c r="G1972" s="31">
        <f t="shared" ca="1" si="241"/>
        <v>14.6</v>
      </c>
      <c r="H1972" s="30">
        <f t="shared" ca="1" si="242"/>
        <v>0</v>
      </c>
      <c r="I1972" s="31">
        <f t="shared" ca="1" si="243"/>
        <v>14.6</v>
      </c>
      <c r="Q1972" s="80"/>
      <c r="R1972" s="42"/>
      <c r="S1972" s="90">
        <f t="shared" si="240"/>
        <v>191.39999999999341</v>
      </c>
      <c r="T1972" s="42"/>
      <c r="U1972" s="42"/>
      <c r="V1972" s="42"/>
      <c r="W1972" s="42"/>
      <c r="X1972" s="81"/>
    </row>
    <row r="1973" spans="2:24" x14ac:dyDescent="0.25">
      <c r="B1973" s="2">
        <v>1</v>
      </c>
      <c r="C1973" s="1">
        <f t="shared" si="238"/>
        <v>9.117647058823394</v>
      </c>
      <c r="D1973" s="1">
        <f t="shared" si="236"/>
        <v>1</v>
      </c>
      <c r="E1973" s="1">
        <f t="shared" si="239"/>
        <v>0</v>
      </c>
      <c r="F1973" s="31">
        <f t="shared" si="237"/>
        <v>14.6</v>
      </c>
      <c r="G1973" s="31">
        <f t="shared" ca="1" si="241"/>
        <v>14.6</v>
      </c>
      <c r="H1973" s="30">
        <f t="shared" ca="1" si="242"/>
        <v>0</v>
      </c>
      <c r="I1973" s="31">
        <f t="shared" ca="1" si="243"/>
        <v>14.6</v>
      </c>
      <c r="Q1973" s="80"/>
      <c r="R1973" s="42"/>
      <c r="S1973" s="90">
        <f t="shared" si="240"/>
        <v>191.49999999999341</v>
      </c>
      <c r="T1973" s="42"/>
      <c r="U1973" s="42"/>
      <c r="V1973" s="42"/>
      <c r="W1973" s="42"/>
      <c r="X1973" s="81"/>
    </row>
    <row r="1974" spans="2:24" x14ac:dyDescent="0.25">
      <c r="B1974" s="2">
        <v>1</v>
      </c>
      <c r="C1974" s="1">
        <f t="shared" si="238"/>
        <v>10.117647058823394</v>
      </c>
      <c r="D1974" s="1">
        <f t="shared" si="236"/>
        <v>1</v>
      </c>
      <c r="E1974" s="1">
        <f t="shared" si="239"/>
        <v>0</v>
      </c>
      <c r="F1974" s="31">
        <f t="shared" si="237"/>
        <v>14.6</v>
      </c>
      <c r="G1974" s="31">
        <f t="shared" ca="1" si="241"/>
        <v>14.6</v>
      </c>
      <c r="H1974" s="30">
        <f t="shared" ca="1" si="242"/>
        <v>0</v>
      </c>
      <c r="I1974" s="31">
        <f t="shared" ca="1" si="243"/>
        <v>14.6</v>
      </c>
      <c r="Q1974" s="80"/>
      <c r="R1974" s="42"/>
      <c r="S1974" s="90">
        <f t="shared" si="240"/>
        <v>191.5999999999934</v>
      </c>
      <c r="T1974" s="42"/>
      <c r="U1974" s="42"/>
      <c r="V1974" s="42"/>
      <c r="W1974" s="42"/>
      <c r="X1974" s="81"/>
    </row>
    <row r="1975" spans="2:24" x14ac:dyDescent="0.25">
      <c r="B1975" s="2">
        <v>1</v>
      </c>
      <c r="C1975" s="1">
        <f t="shared" si="238"/>
        <v>11.117647058823394</v>
      </c>
      <c r="D1975" s="1">
        <f t="shared" si="236"/>
        <v>1</v>
      </c>
      <c r="E1975" s="1">
        <f t="shared" si="239"/>
        <v>0</v>
      </c>
      <c r="F1975" s="31">
        <f t="shared" si="237"/>
        <v>14.6</v>
      </c>
      <c r="G1975" s="31">
        <f t="shared" ca="1" si="241"/>
        <v>14.6</v>
      </c>
      <c r="H1975" s="30">
        <f t="shared" ca="1" si="242"/>
        <v>0</v>
      </c>
      <c r="I1975" s="31">
        <f t="shared" ca="1" si="243"/>
        <v>14.6</v>
      </c>
      <c r="Q1975" s="80"/>
      <c r="R1975" s="42"/>
      <c r="S1975" s="90">
        <f t="shared" si="240"/>
        <v>191.69999999999339</v>
      </c>
      <c r="T1975" s="42"/>
      <c r="U1975" s="42"/>
      <c r="V1975" s="42"/>
      <c r="W1975" s="42"/>
      <c r="X1975" s="81"/>
    </row>
    <row r="1976" spans="2:24" x14ac:dyDescent="0.25">
      <c r="B1976" s="2">
        <v>1</v>
      </c>
      <c r="C1976" s="1">
        <f t="shared" si="238"/>
        <v>12.117647058823394</v>
      </c>
      <c r="D1976" s="1">
        <f t="shared" si="236"/>
        <v>1</v>
      </c>
      <c r="E1976" s="1">
        <f t="shared" si="239"/>
        <v>0</v>
      </c>
      <c r="F1976" s="31">
        <f t="shared" si="237"/>
        <v>14.6</v>
      </c>
      <c r="G1976" s="31">
        <f t="shared" ca="1" si="241"/>
        <v>14.6</v>
      </c>
      <c r="H1976" s="30">
        <f t="shared" ca="1" si="242"/>
        <v>0</v>
      </c>
      <c r="I1976" s="31">
        <f t="shared" ca="1" si="243"/>
        <v>14.6</v>
      </c>
      <c r="Q1976" s="80"/>
      <c r="R1976" s="42"/>
      <c r="S1976" s="90">
        <f t="shared" si="240"/>
        <v>191.79999999999339</v>
      </c>
      <c r="T1976" s="42"/>
      <c r="U1976" s="42"/>
      <c r="V1976" s="42"/>
      <c r="W1976" s="42"/>
      <c r="X1976" s="81"/>
    </row>
    <row r="1977" spans="2:24" x14ac:dyDescent="0.25">
      <c r="B1977" s="2">
        <v>1</v>
      </c>
      <c r="C1977" s="1">
        <f t="shared" si="238"/>
        <v>13.117647058823394</v>
      </c>
      <c r="D1977" s="1">
        <f t="shared" si="236"/>
        <v>1</v>
      </c>
      <c r="E1977" s="1">
        <f t="shared" si="239"/>
        <v>0</v>
      </c>
      <c r="F1977" s="31">
        <f t="shared" si="237"/>
        <v>14.6</v>
      </c>
      <c r="G1977" s="31">
        <f t="shared" ca="1" si="241"/>
        <v>14.6</v>
      </c>
      <c r="H1977" s="30">
        <f t="shared" ca="1" si="242"/>
        <v>0</v>
      </c>
      <c r="I1977" s="31">
        <f t="shared" ca="1" si="243"/>
        <v>14.6</v>
      </c>
      <c r="Q1977" s="80"/>
      <c r="R1977" s="42"/>
      <c r="S1977" s="90">
        <f t="shared" si="240"/>
        <v>191.89999999999338</v>
      </c>
      <c r="T1977" s="42"/>
      <c r="U1977" s="42"/>
      <c r="V1977" s="42"/>
      <c r="W1977" s="42"/>
      <c r="X1977" s="81"/>
    </row>
    <row r="1978" spans="2:24" x14ac:dyDescent="0.25">
      <c r="B1978" s="2">
        <v>1</v>
      </c>
      <c r="C1978" s="1">
        <f t="shared" si="238"/>
        <v>14.117647058823394</v>
      </c>
      <c r="D1978" s="1">
        <f t="shared" ref="D1978:D2041" si="244">IF(C1978&lt;=Inhelation_Time_RT,1,0)</f>
        <v>1</v>
      </c>
      <c r="E1978" s="1">
        <f t="shared" si="239"/>
        <v>0</v>
      </c>
      <c r="F1978" s="31">
        <f t="shared" ref="F1978:F2041" si="245">(D1978*Inspiratory_pressure_level) + (E1978*PEEP)</f>
        <v>14.6</v>
      </c>
      <c r="G1978" s="31">
        <f t="shared" ca="1" si="241"/>
        <v>14.6</v>
      </c>
      <c r="H1978" s="30">
        <f t="shared" ca="1" si="242"/>
        <v>0</v>
      </c>
      <c r="I1978" s="31">
        <f t="shared" ca="1" si="243"/>
        <v>14.6</v>
      </c>
      <c r="Q1978" s="80"/>
      <c r="R1978" s="42"/>
      <c r="S1978" s="90">
        <f t="shared" si="240"/>
        <v>191.99999999999338</v>
      </c>
      <c r="T1978" s="42"/>
      <c r="U1978" s="42"/>
      <c r="V1978" s="42"/>
      <c r="W1978" s="42"/>
      <c r="X1978" s="81"/>
    </row>
    <row r="1979" spans="2:24" x14ac:dyDescent="0.25">
      <c r="B1979" s="2">
        <v>1</v>
      </c>
      <c r="C1979" s="1">
        <f t="shared" ref="C1979:C2042" si="246">MOD(C1978+B1979,time_for_breath_RT)</f>
        <v>15.117647058823394</v>
      </c>
      <c r="D1979" s="1">
        <f t="shared" si="244"/>
        <v>1</v>
      </c>
      <c r="E1979" s="1">
        <f t="shared" ref="E1979:E2042" si="247">IF(D1979=1,0,1)</f>
        <v>0</v>
      </c>
      <c r="F1979" s="31">
        <f t="shared" si="245"/>
        <v>14.6</v>
      </c>
      <c r="G1979" s="31">
        <f t="shared" ca="1" si="241"/>
        <v>14.6</v>
      </c>
      <c r="H1979" s="30">
        <f t="shared" ca="1" si="242"/>
        <v>0</v>
      </c>
      <c r="I1979" s="31">
        <f t="shared" ca="1" si="243"/>
        <v>14.6</v>
      </c>
      <c r="Q1979" s="80"/>
      <c r="R1979" s="42"/>
      <c r="S1979" s="90">
        <f t="shared" ref="S1979:S2042" si="248">S1978+(B1978 / RTC_to_seconds)</f>
        <v>192.09999999999337</v>
      </c>
      <c r="T1979" s="42"/>
      <c r="U1979" s="42"/>
      <c r="V1979" s="42"/>
      <c r="W1979" s="42"/>
      <c r="X1979" s="81"/>
    </row>
    <row r="1980" spans="2:24" x14ac:dyDescent="0.25">
      <c r="B1980" s="2">
        <v>1</v>
      </c>
      <c r="C1980" s="1">
        <f t="shared" si="246"/>
        <v>16.117647058823394</v>
      </c>
      <c r="D1980" s="1">
        <f t="shared" si="244"/>
        <v>1</v>
      </c>
      <c r="E1980" s="1">
        <f t="shared" si="247"/>
        <v>0</v>
      </c>
      <c r="F1980" s="31">
        <f t="shared" si="245"/>
        <v>14.6</v>
      </c>
      <c r="G1980" s="31">
        <f t="shared" ca="1" si="241"/>
        <v>14.6</v>
      </c>
      <c r="H1980" s="30">
        <f t="shared" ca="1" si="242"/>
        <v>0</v>
      </c>
      <c r="I1980" s="31">
        <f t="shared" ca="1" si="243"/>
        <v>14.6</v>
      </c>
      <c r="Q1980" s="80"/>
      <c r="R1980" s="42"/>
      <c r="S1980" s="90">
        <f t="shared" si="248"/>
        <v>192.19999999999337</v>
      </c>
      <c r="T1980" s="42"/>
      <c r="U1980" s="42"/>
      <c r="V1980" s="42"/>
      <c r="W1980" s="42"/>
      <c r="X1980" s="81"/>
    </row>
    <row r="1981" spans="2:24" x14ac:dyDescent="0.25">
      <c r="B1981" s="2">
        <v>1</v>
      </c>
      <c r="C1981" s="1">
        <f t="shared" si="246"/>
        <v>17.117647058823394</v>
      </c>
      <c r="D1981" s="1">
        <f t="shared" si="244"/>
        <v>1</v>
      </c>
      <c r="E1981" s="1">
        <f t="shared" si="247"/>
        <v>0</v>
      </c>
      <c r="F1981" s="31">
        <f t="shared" si="245"/>
        <v>14.6</v>
      </c>
      <c r="G1981" s="31">
        <f t="shared" ca="1" si="241"/>
        <v>14.6</v>
      </c>
      <c r="H1981" s="30">
        <f t="shared" ca="1" si="242"/>
        <v>0</v>
      </c>
      <c r="I1981" s="31">
        <f t="shared" ca="1" si="243"/>
        <v>14.6</v>
      </c>
      <c r="Q1981" s="80"/>
      <c r="R1981" s="42"/>
      <c r="S1981" s="90">
        <f t="shared" si="248"/>
        <v>192.29999999999336</v>
      </c>
      <c r="T1981" s="42"/>
      <c r="U1981" s="42"/>
      <c r="V1981" s="42"/>
      <c r="W1981" s="42"/>
      <c r="X1981" s="81"/>
    </row>
    <row r="1982" spans="2:24" x14ac:dyDescent="0.25">
      <c r="B1982" s="2">
        <v>1</v>
      </c>
      <c r="C1982" s="1">
        <f t="shared" si="246"/>
        <v>18.117647058823394</v>
      </c>
      <c r="D1982" s="1">
        <f t="shared" si="244"/>
        <v>1</v>
      </c>
      <c r="E1982" s="1">
        <f t="shared" si="247"/>
        <v>0</v>
      </c>
      <c r="F1982" s="31">
        <f t="shared" si="245"/>
        <v>14.6</v>
      </c>
      <c r="G1982" s="31">
        <f t="shared" ca="1" si="241"/>
        <v>14.6</v>
      </c>
      <c r="H1982" s="30">
        <f t="shared" ca="1" si="242"/>
        <v>0</v>
      </c>
      <c r="I1982" s="31">
        <f t="shared" ca="1" si="243"/>
        <v>14.6</v>
      </c>
      <c r="Q1982" s="80"/>
      <c r="R1982" s="42"/>
      <c r="S1982" s="90">
        <f t="shared" si="248"/>
        <v>192.39999999999336</v>
      </c>
      <c r="T1982" s="42"/>
      <c r="U1982" s="42"/>
      <c r="V1982" s="42"/>
      <c r="W1982" s="42"/>
      <c r="X1982" s="81"/>
    </row>
    <row r="1983" spans="2:24" x14ac:dyDescent="0.25">
      <c r="B1983" s="2">
        <v>1</v>
      </c>
      <c r="C1983" s="1">
        <f t="shared" si="246"/>
        <v>19.117647058823394</v>
      </c>
      <c r="D1983" s="1">
        <f t="shared" si="244"/>
        <v>1</v>
      </c>
      <c r="E1983" s="1">
        <f t="shared" si="247"/>
        <v>0</v>
      </c>
      <c r="F1983" s="31">
        <f t="shared" si="245"/>
        <v>14.6</v>
      </c>
      <c r="G1983" s="31">
        <f t="shared" ca="1" si="241"/>
        <v>14.6</v>
      </c>
      <c r="H1983" s="30">
        <f t="shared" ca="1" si="242"/>
        <v>0</v>
      </c>
      <c r="I1983" s="31">
        <f t="shared" ca="1" si="243"/>
        <v>14.6</v>
      </c>
      <c r="Q1983" s="80"/>
      <c r="R1983" s="42"/>
      <c r="S1983" s="90">
        <f t="shared" si="248"/>
        <v>192.49999999999335</v>
      </c>
      <c r="T1983" s="42"/>
      <c r="U1983" s="42"/>
      <c r="V1983" s="42"/>
      <c r="W1983" s="42"/>
      <c r="X1983" s="81"/>
    </row>
    <row r="1984" spans="2:24" x14ac:dyDescent="0.25">
      <c r="B1984" s="2">
        <v>1</v>
      </c>
      <c r="C1984" s="1">
        <f t="shared" si="246"/>
        <v>20.117647058823394</v>
      </c>
      <c r="D1984" s="1">
        <f t="shared" si="244"/>
        <v>1</v>
      </c>
      <c r="E1984" s="1">
        <f t="shared" si="247"/>
        <v>0</v>
      </c>
      <c r="F1984" s="31">
        <f t="shared" si="245"/>
        <v>14.6</v>
      </c>
      <c r="G1984" s="31">
        <f t="shared" ca="1" si="241"/>
        <v>14.6</v>
      </c>
      <c r="H1984" s="30">
        <f t="shared" ca="1" si="242"/>
        <v>0</v>
      </c>
      <c r="I1984" s="31">
        <f t="shared" ca="1" si="243"/>
        <v>14.6</v>
      </c>
      <c r="Q1984" s="80"/>
      <c r="R1984" s="42"/>
      <c r="S1984" s="90">
        <f t="shared" si="248"/>
        <v>192.59999999999334</v>
      </c>
      <c r="T1984" s="42"/>
      <c r="U1984" s="42"/>
      <c r="V1984" s="42"/>
      <c r="W1984" s="42"/>
      <c r="X1984" s="81"/>
    </row>
    <row r="1985" spans="2:24" x14ac:dyDescent="0.25">
      <c r="B1985" s="2">
        <v>1</v>
      </c>
      <c r="C1985" s="1">
        <f t="shared" si="246"/>
        <v>21.117647058823394</v>
      </c>
      <c r="D1985" s="1">
        <f t="shared" si="244"/>
        <v>1</v>
      </c>
      <c r="E1985" s="1">
        <f t="shared" si="247"/>
        <v>0</v>
      </c>
      <c r="F1985" s="31">
        <f t="shared" si="245"/>
        <v>14.6</v>
      </c>
      <c r="G1985" s="31">
        <f t="shared" ca="1" si="241"/>
        <v>14.6</v>
      </c>
      <c r="H1985" s="30">
        <f t="shared" ca="1" si="242"/>
        <v>0</v>
      </c>
      <c r="I1985" s="31">
        <f t="shared" ca="1" si="243"/>
        <v>14.6</v>
      </c>
      <c r="Q1985" s="80"/>
      <c r="R1985" s="42"/>
      <c r="S1985" s="90">
        <f t="shared" si="248"/>
        <v>192.69999999999334</v>
      </c>
      <c r="T1985" s="42"/>
      <c r="U1985" s="42"/>
      <c r="V1985" s="42"/>
      <c r="W1985" s="42"/>
      <c r="X1985" s="81"/>
    </row>
    <row r="1986" spans="2:24" x14ac:dyDescent="0.25">
      <c r="B1986" s="2">
        <v>1</v>
      </c>
      <c r="C1986" s="1">
        <f t="shared" si="246"/>
        <v>22.117647058823394</v>
      </c>
      <c r="D1986" s="1">
        <f t="shared" si="244"/>
        <v>1</v>
      </c>
      <c r="E1986" s="1">
        <f t="shared" si="247"/>
        <v>0</v>
      </c>
      <c r="F1986" s="31">
        <f t="shared" si="245"/>
        <v>14.6</v>
      </c>
      <c r="G1986" s="31">
        <f t="shared" ca="1" si="241"/>
        <v>14.6</v>
      </c>
      <c r="H1986" s="30">
        <f t="shared" ca="1" si="242"/>
        <v>0</v>
      </c>
      <c r="I1986" s="31">
        <f t="shared" ca="1" si="243"/>
        <v>14.6</v>
      </c>
      <c r="Q1986" s="80"/>
      <c r="R1986" s="42"/>
      <c r="S1986" s="90">
        <f t="shared" si="248"/>
        <v>192.79999999999333</v>
      </c>
      <c r="T1986" s="42"/>
      <c r="U1986" s="42"/>
      <c r="V1986" s="42"/>
      <c r="W1986" s="42"/>
      <c r="X1986" s="81"/>
    </row>
    <row r="1987" spans="2:24" x14ac:dyDescent="0.25">
      <c r="B1987" s="2">
        <v>1</v>
      </c>
      <c r="C1987" s="1">
        <f t="shared" si="246"/>
        <v>23.117647058823394</v>
      </c>
      <c r="D1987" s="1">
        <f t="shared" si="244"/>
        <v>0</v>
      </c>
      <c r="E1987" s="1">
        <f t="shared" si="247"/>
        <v>1</v>
      </c>
      <c r="F1987" s="31">
        <f t="shared" si="245"/>
        <v>6.4</v>
      </c>
      <c r="G1987" s="31">
        <f t="shared" ca="1" si="241"/>
        <v>0</v>
      </c>
      <c r="H1987" s="30">
        <f t="shared" ca="1" si="242"/>
        <v>14.6</v>
      </c>
      <c r="I1987" s="31">
        <f t="shared" ca="1" si="243"/>
        <v>14.6</v>
      </c>
      <c r="Q1987" s="80"/>
      <c r="R1987" s="42"/>
      <c r="S1987" s="90">
        <f t="shared" si="248"/>
        <v>192.89999999999333</v>
      </c>
      <c r="T1987" s="42"/>
      <c r="U1987" s="42"/>
      <c r="V1987" s="42"/>
      <c r="W1987" s="42"/>
      <c r="X1987" s="81"/>
    </row>
    <row r="1988" spans="2:24" x14ac:dyDescent="0.25">
      <c r="B1988" s="2">
        <v>1</v>
      </c>
      <c r="C1988" s="1">
        <f t="shared" si="246"/>
        <v>24.117647058823394</v>
      </c>
      <c r="D1988" s="1">
        <f t="shared" si="244"/>
        <v>0</v>
      </c>
      <c r="E1988" s="1">
        <f t="shared" si="247"/>
        <v>1</v>
      </c>
      <c r="F1988" s="31">
        <f t="shared" si="245"/>
        <v>6.4</v>
      </c>
      <c r="G1988" s="31">
        <f t="shared" ca="1" si="241"/>
        <v>0</v>
      </c>
      <c r="H1988" s="30">
        <f t="shared" ca="1" si="242"/>
        <v>6.4</v>
      </c>
      <c r="I1988" s="31">
        <f t="shared" ca="1" si="243"/>
        <v>6.4</v>
      </c>
      <c r="Q1988" s="80"/>
      <c r="R1988" s="42"/>
      <c r="S1988" s="90">
        <f t="shared" si="248"/>
        <v>192.99999999999332</v>
      </c>
      <c r="T1988" s="42"/>
      <c r="U1988" s="42"/>
      <c r="V1988" s="42"/>
      <c r="W1988" s="42"/>
      <c r="X1988" s="81"/>
    </row>
    <row r="1989" spans="2:24" x14ac:dyDescent="0.25">
      <c r="B1989" s="2">
        <v>1</v>
      </c>
      <c r="C1989" s="1">
        <f t="shared" si="246"/>
        <v>25.117647058823394</v>
      </c>
      <c r="D1989" s="1">
        <f t="shared" si="244"/>
        <v>0</v>
      </c>
      <c r="E1989" s="1">
        <f t="shared" si="247"/>
        <v>1</v>
      </c>
      <c r="F1989" s="31">
        <f t="shared" si="245"/>
        <v>6.4</v>
      </c>
      <c r="G1989" s="31">
        <f t="shared" ca="1" si="241"/>
        <v>0</v>
      </c>
      <c r="H1989" s="30">
        <f t="shared" ca="1" si="242"/>
        <v>6.4</v>
      </c>
      <c r="I1989" s="31">
        <f t="shared" ca="1" si="243"/>
        <v>6.4</v>
      </c>
      <c r="Q1989" s="80"/>
      <c r="R1989" s="42"/>
      <c r="S1989" s="90">
        <f t="shared" si="248"/>
        <v>193.09999999999332</v>
      </c>
      <c r="T1989" s="42"/>
      <c r="U1989" s="42"/>
      <c r="V1989" s="42"/>
      <c r="W1989" s="42"/>
      <c r="X1989" s="81"/>
    </row>
    <row r="1990" spans="2:24" x14ac:dyDescent="0.25">
      <c r="B1990" s="2">
        <v>1</v>
      </c>
      <c r="C1990" s="1">
        <f t="shared" si="246"/>
        <v>26.117647058823394</v>
      </c>
      <c r="D1990" s="1">
        <f t="shared" si="244"/>
        <v>0</v>
      </c>
      <c r="E1990" s="1">
        <f t="shared" si="247"/>
        <v>1</v>
      </c>
      <c r="F1990" s="31">
        <f t="shared" si="245"/>
        <v>6.4</v>
      </c>
      <c r="G1990" s="31">
        <f t="shared" ca="1" si="241"/>
        <v>0</v>
      </c>
      <c r="H1990" s="30">
        <f t="shared" ca="1" si="242"/>
        <v>6.4</v>
      </c>
      <c r="I1990" s="31">
        <f t="shared" ca="1" si="243"/>
        <v>6.4</v>
      </c>
      <c r="Q1990" s="80"/>
      <c r="R1990" s="42"/>
      <c r="S1990" s="90">
        <f t="shared" si="248"/>
        <v>193.19999999999331</v>
      </c>
      <c r="T1990" s="42"/>
      <c r="U1990" s="42"/>
      <c r="V1990" s="42"/>
      <c r="W1990" s="42"/>
      <c r="X1990" s="81"/>
    </row>
    <row r="1991" spans="2:24" x14ac:dyDescent="0.25">
      <c r="B1991" s="2">
        <v>1</v>
      </c>
      <c r="C1991" s="1">
        <f t="shared" si="246"/>
        <v>27.117647058823394</v>
      </c>
      <c r="D1991" s="1">
        <f t="shared" si="244"/>
        <v>0</v>
      </c>
      <c r="E1991" s="1">
        <f t="shared" si="247"/>
        <v>1</v>
      </c>
      <c r="F1991" s="31">
        <f t="shared" si="245"/>
        <v>6.4</v>
      </c>
      <c r="G1991" s="31">
        <f t="shared" ca="1" si="241"/>
        <v>0</v>
      </c>
      <c r="H1991" s="30">
        <f t="shared" ca="1" si="242"/>
        <v>6.4</v>
      </c>
      <c r="I1991" s="31">
        <f t="shared" ca="1" si="243"/>
        <v>6.4</v>
      </c>
      <c r="Q1991" s="80"/>
      <c r="R1991" s="42"/>
      <c r="S1991" s="90">
        <f t="shared" si="248"/>
        <v>193.2999999999933</v>
      </c>
      <c r="T1991" s="42"/>
      <c r="U1991" s="42"/>
      <c r="V1991" s="42"/>
      <c r="W1991" s="42"/>
      <c r="X1991" s="81"/>
    </row>
    <row r="1992" spans="2:24" x14ac:dyDescent="0.25">
      <c r="B1992" s="2">
        <v>1</v>
      </c>
      <c r="C1992" s="1">
        <f t="shared" si="246"/>
        <v>28.117647058823394</v>
      </c>
      <c r="D1992" s="1">
        <f t="shared" si="244"/>
        <v>0</v>
      </c>
      <c r="E1992" s="1">
        <f t="shared" si="247"/>
        <v>1</v>
      </c>
      <c r="F1992" s="31">
        <f t="shared" si="245"/>
        <v>6.4</v>
      </c>
      <c r="G1992" s="31">
        <f t="shared" ca="1" si="241"/>
        <v>0</v>
      </c>
      <c r="H1992" s="30">
        <f t="shared" ca="1" si="242"/>
        <v>6.4</v>
      </c>
      <c r="I1992" s="31">
        <f t="shared" ca="1" si="243"/>
        <v>6.4</v>
      </c>
      <c r="Q1992" s="80"/>
      <c r="R1992" s="42"/>
      <c r="S1992" s="90">
        <f t="shared" si="248"/>
        <v>193.3999999999933</v>
      </c>
      <c r="T1992" s="42"/>
      <c r="U1992" s="42"/>
      <c r="V1992" s="42"/>
      <c r="W1992" s="42"/>
      <c r="X1992" s="81"/>
    </row>
    <row r="1993" spans="2:24" x14ac:dyDescent="0.25">
      <c r="B1993" s="2">
        <v>1</v>
      </c>
      <c r="C1993" s="1">
        <f t="shared" si="246"/>
        <v>29.117647058823394</v>
      </c>
      <c r="D1993" s="1">
        <f t="shared" si="244"/>
        <v>0</v>
      </c>
      <c r="E1993" s="1">
        <f t="shared" si="247"/>
        <v>1</v>
      </c>
      <c r="F1993" s="31">
        <f t="shared" si="245"/>
        <v>6.4</v>
      </c>
      <c r="G1993" s="31">
        <f t="shared" ca="1" si="241"/>
        <v>0</v>
      </c>
      <c r="H1993" s="30">
        <f t="shared" ca="1" si="242"/>
        <v>6.4</v>
      </c>
      <c r="I1993" s="31">
        <f t="shared" ca="1" si="243"/>
        <v>6.4</v>
      </c>
      <c r="Q1993" s="80"/>
      <c r="R1993" s="42"/>
      <c r="S1993" s="90">
        <f t="shared" si="248"/>
        <v>193.49999999999329</v>
      </c>
      <c r="T1993" s="42"/>
      <c r="U1993" s="42"/>
      <c r="V1993" s="42"/>
      <c r="W1993" s="42"/>
      <c r="X1993" s="81"/>
    </row>
    <row r="1994" spans="2:24" x14ac:dyDescent="0.25">
      <c r="B1994" s="2">
        <v>1</v>
      </c>
      <c r="C1994" s="1">
        <f t="shared" si="246"/>
        <v>30.117647058823394</v>
      </c>
      <c r="D1994" s="1">
        <f t="shared" si="244"/>
        <v>0</v>
      </c>
      <c r="E1994" s="1">
        <f t="shared" si="247"/>
        <v>1</v>
      </c>
      <c r="F1994" s="31">
        <f t="shared" si="245"/>
        <v>6.4</v>
      </c>
      <c r="G1994" s="31">
        <f t="shared" ca="1" si="241"/>
        <v>0</v>
      </c>
      <c r="H1994" s="30">
        <f t="shared" ca="1" si="242"/>
        <v>6.4</v>
      </c>
      <c r="I1994" s="31">
        <f t="shared" ca="1" si="243"/>
        <v>6.4</v>
      </c>
      <c r="Q1994" s="80"/>
      <c r="R1994" s="42"/>
      <c r="S1994" s="90">
        <f t="shared" si="248"/>
        <v>193.59999999999329</v>
      </c>
      <c r="T1994" s="42"/>
      <c r="U1994" s="42"/>
      <c r="V1994" s="42"/>
      <c r="W1994" s="42"/>
      <c r="X1994" s="81"/>
    </row>
    <row r="1995" spans="2:24" x14ac:dyDescent="0.25">
      <c r="B1995" s="2">
        <v>1</v>
      </c>
      <c r="C1995" s="1">
        <f t="shared" si="246"/>
        <v>31.117647058823394</v>
      </c>
      <c r="D1995" s="1">
        <f t="shared" si="244"/>
        <v>0</v>
      </c>
      <c r="E1995" s="1">
        <f t="shared" si="247"/>
        <v>1</v>
      </c>
      <c r="F1995" s="31">
        <f t="shared" si="245"/>
        <v>6.4</v>
      </c>
      <c r="G1995" s="31">
        <f t="shared" ref="G1995:G2058" ca="1" si="249">IF(D1995=1, AVERAGE(OFFSET(F1995,-$L$27,0,$L$27,1)),0)</f>
        <v>0</v>
      </c>
      <c r="H1995" s="30">
        <f t="shared" ref="H1995:H2058" ca="1" si="250">IF(D1995=0, AVERAGE(OFFSET(F1995,-$L$28,0,$L$28,1)),0)</f>
        <v>6.4</v>
      </c>
      <c r="I1995" s="31">
        <f t="shared" ref="I1995:I2058" ca="1" si="251">G1995+H1995</f>
        <v>6.4</v>
      </c>
      <c r="Q1995" s="80"/>
      <c r="R1995" s="42"/>
      <c r="S1995" s="90">
        <f t="shared" si="248"/>
        <v>193.69999999999328</v>
      </c>
      <c r="T1995" s="42"/>
      <c r="U1995" s="42"/>
      <c r="V1995" s="42"/>
      <c r="W1995" s="42"/>
      <c r="X1995" s="81"/>
    </row>
    <row r="1996" spans="2:24" x14ac:dyDescent="0.25">
      <c r="B1996" s="2">
        <v>1</v>
      </c>
      <c r="C1996" s="1">
        <f t="shared" si="246"/>
        <v>32.117647058823394</v>
      </c>
      <c r="D1996" s="1">
        <f t="shared" si="244"/>
        <v>0</v>
      </c>
      <c r="E1996" s="1">
        <f t="shared" si="247"/>
        <v>1</v>
      </c>
      <c r="F1996" s="31">
        <f t="shared" si="245"/>
        <v>6.4</v>
      </c>
      <c r="G1996" s="31">
        <f t="shared" ca="1" si="249"/>
        <v>0</v>
      </c>
      <c r="H1996" s="30">
        <f t="shared" ca="1" si="250"/>
        <v>6.4</v>
      </c>
      <c r="I1996" s="31">
        <f t="shared" ca="1" si="251"/>
        <v>6.4</v>
      </c>
      <c r="Q1996" s="80"/>
      <c r="R1996" s="42"/>
      <c r="S1996" s="90">
        <f t="shared" si="248"/>
        <v>193.79999999999328</v>
      </c>
      <c r="T1996" s="42"/>
      <c r="U1996" s="42"/>
      <c r="V1996" s="42"/>
      <c r="W1996" s="42"/>
      <c r="X1996" s="81"/>
    </row>
    <row r="1997" spans="2:24" x14ac:dyDescent="0.25">
      <c r="B1997" s="2">
        <v>1</v>
      </c>
      <c r="C1997" s="1">
        <f t="shared" si="246"/>
        <v>33.117647058823394</v>
      </c>
      <c r="D1997" s="1">
        <f t="shared" si="244"/>
        <v>0</v>
      </c>
      <c r="E1997" s="1">
        <f t="shared" si="247"/>
        <v>1</v>
      </c>
      <c r="F1997" s="31">
        <f t="shared" si="245"/>
        <v>6.4</v>
      </c>
      <c r="G1997" s="31">
        <f t="shared" ca="1" si="249"/>
        <v>0</v>
      </c>
      <c r="H1997" s="30">
        <f t="shared" ca="1" si="250"/>
        <v>6.4</v>
      </c>
      <c r="I1997" s="31">
        <f t="shared" ca="1" si="251"/>
        <v>6.4</v>
      </c>
      <c r="Q1997" s="80"/>
      <c r="R1997" s="42"/>
      <c r="S1997" s="90">
        <f t="shared" si="248"/>
        <v>193.89999999999327</v>
      </c>
      <c r="T1997" s="42"/>
      <c r="U1997" s="42"/>
      <c r="V1997" s="42"/>
      <c r="W1997" s="42"/>
      <c r="X1997" s="81"/>
    </row>
    <row r="1998" spans="2:24" x14ac:dyDescent="0.25">
      <c r="B1998" s="2">
        <v>1</v>
      </c>
      <c r="C1998" s="1">
        <f t="shared" si="246"/>
        <v>34.117647058823394</v>
      </c>
      <c r="D1998" s="1">
        <f t="shared" si="244"/>
        <v>0</v>
      </c>
      <c r="E1998" s="1">
        <f t="shared" si="247"/>
        <v>1</v>
      </c>
      <c r="F1998" s="31">
        <f t="shared" si="245"/>
        <v>6.4</v>
      </c>
      <c r="G1998" s="31">
        <f t="shared" ca="1" si="249"/>
        <v>0</v>
      </c>
      <c r="H1998" s="30">
        <f t="shared" ca="1" si="250"/>
        <v>6.4</v>
      </c>
      <c r="I1998" s="31">
        <f t="shared" ca="1" si="251"/>
        <v>6.4</v>
      </c>
      <c r="Q1998" s="80"/>
      <c r="R1998" s="42"/>
      <c r="S1998" s="90">
        <f t="shared" si="248"/>
        <v>193.99999999999326</v>
      </c>
      <c r="T1998" s="42"/>
      <c r="U1998" s="42"/>
      <c r="V1998" s="42"/>
      <c r="W1998" s="42"/>
      <c r="X1998" s="81"/>
    </row>
    <row r="1999" spans="2:24" x14ac:dyDescent="0.25">
      <c r="B1999" s="2">
        <v>1</v>
      </c>
      <c r="C1999" s="1">
        <f t="shared" si="246"/>
        <v>35.117647058823394</v>
      </c>
      <c r="D1999" s="1">
        <f t="shared" si="244"/>
        <v>0</v>
      </c>
      <c r="E1999" s="1">
        <f t="shared" si="247"/>
        <v>1</v>
      </c>
      <c r="F1999" s="31">
        <f t="shared" si="245"/>
        <v>6.4</v>
      </c>
      <c r="G1999" s="31">
        <f t="shared" ca="1" si="249"/>
        <v>0</v>
      </c>
      <c r="H1999" s="30">
        <f t="shared" ca="1" si="250"/>
        <v>6.4</v>
      </c>
      <c r="I1999" s="31">
        <f t="shared" ca="1" si="251"/>
        <v>6.4</v>
      </c>
      <c r="Q1999" s="80"/>
      <c r="R1999" s="42"/>
      <c r="S1999" s="90">
        <f t="shared" si="248"/>
        <v>194.09999999999326</v>
      </c>
      <c r="T1999" s="42"/>
      <c r="U1999" s="42"/>
      <c r="V1999" s="42"/>
      <c r="W1999" s="42"/>
      <c r="X1999" s="81"/>
    </row>
    <row r="2000" spans="2:24" x14ac:dyDescent="0.25">
      <c r="B2000" s="2">
        <v>1</v>
      </c>
      <c r="C2000" s="1">
        <f t="shared" si="246"/>
        <v>0.82352941176456795</v>
      </c>
      <c r="D2000" s="1">
        <f t="shared" si="244"/>
        <v>1</v>
      </c>
      <c r="E2000" s="1">
        <f t="shared" si="247"/>
        <v>0</v>
      </c>
      <c r="F2000" s="31">
        <f t="shared" si="245"/>
        <v>14.6</v>
      </c>
      <c r="G2000" s="31">
        <f t="shared" ca="1" si="249"/>
        <v>6.4</v>
      </c>
      <c r="H2000" s="30">
        <f t="shared" ca="1" si="250"/>
        <v>0</v>
      </c>
      <c r="I2000" s="31">
        <f t="shared" ca="1" si="251"/>
        <v>6.4</v>
      </c>
      <c r="Q2000" s="80"/>
      <c r="R2000" s="42"/>
      <c r="S2000" s="90">
        <f t="shared" si="248"/>
        <v>194.19999999999325</v>
      </c>
      <c r="T2000" s="42"/>
      <c r="U2000" s="42"/>
      <c r="V2000" s="42"/>
      <c r="W2000" s="42"/>
      <c r="X2000" s="81"/>
    </row>
    <row r="2001" spans="2:24" x14ac:dyDescent="0.25">
      <c r="B2001" s="2">
        <v>1</v>
      </c>
      <c r="C2001" s="1">
        <f t="shared" si="246"/>
        <v>1.823529411764568</v>
      </c>
      <c r="D2001" s="1">
        <f t="shared" si="244"/>
        <v>1</v>
      </c>
      <c r="E2001" s="1">
        <f t="shared" si="247"/>
        <v>0</v>
      </c>
      <c r="F2001" s="31">
        <f t="shared" si="245"/>
        <v>14.6</v>
      </c>
      <c r="G2001" s="31">
        <f t="shared" ca="1" si="249"/>
        <v>8.4500000000000011</v>
      </c>
      <c r="H2001" s="30">
        <f t="shared" ca="1" si="250"/>
        <v>0</v>
      </c>
      <c r="I2001" s="31">
        <f t="shared" ca="1" si="251"/>
        <v>8.4500000000000011</v>
      </c>
      <c r="Q2001" s="80"/>
      <c r="R2001" s="42"/>
      <c r="S2001" s="90">
        <f t="shared" si="248"/>
        <v>194.29999999999325</v>
      </c>
      <c r="T2001" s="42"/>
      <c r="U2001" s="42"/>
      <c r="V2001" s="42"/>
      <c r="W2001" s="42"/>
      <c r="X2001" s="81"/>
    </row>
    <row r="2002" spans="2:24" x14ac:dyDescent="0.25">
      <c r="B2002" s="2">
        <v>1</v>
      </c>
      <c r="C2002" s="1">
        <f t="shared" si="246"/>
        <v>2.823529411764568</v>
      </c>
      <c r="D2002" s="1">
        <f t="shared" si="244"/>
        <v>1</v>
      </c>
      <c r="E2002" s="1">
        <f t="shared" si="247"/>
        <v>0</v>
      </c>
      <c r="F2002" s="31">
        <f t="shared" si="245"/>
        <v>14.6</v>
      </c>
      <c r="G2002" s="31">
        <f t="shared" ca="1" si="249"/>
        <v>10.5</v>
      </c>
      <c r="H2002" s="30">
        <f t="shared" ca="1" si="250"/>
        <v>0</v>
      </c>
      <c r="I2002" s="31">
        <f t="shared" ca="1" si="251"/>
        <v>10.5</v>
      </c>
      <c r="Q2002" s="80"/>
      <c r="R2002" s="42"/>
      <c r="S2002" s="90">
        <f t="shared" si="248"/>
        <v>194.39999999999324</v>
      </c>
      <c r="T2002" s="42"/>
      <c r="U2002" s="42"/>
      <c r="V2002" s="42"/>
      <c r="W2002" s="42"/>
      <c r="X2002" s="81"/>
    </row>
    <row r="2003" spans="2:24" x14ac:dyDescent="0.25">
      <c r="B2003" s="2">
        <v>1</v>
      </c>
      <c r="C2003" s="1">
        <f t="shared" si="246"/>
        <v>3.823529411764568</v>
      </c>
      <c r="D2003" s="1">
        <f t="shared" si="244"/>
        <v>1</v>
      </c>
      <c r="E2003" s="1">
        <f t="shared" si="247"/>
        <v>0</v>
      </c>
      <c r="F2003" s="31">
        <f t="shared" si="245"/>
        <v>14.6</v>
      </c>
      <c r="G2003" s="31">
        <f t="shared" ca="1" si="249"/>
        <v>12.55</v>
      </c>
      <c r="H2003" s="30">
        <f t="shared" ca="1" si="250"/>
        <v>0</v>
      </c>
      <c r="I2003" s="31">
        <f t="shared" ca="1" si="251"/>
        <v>12.55</v>
      </c>
      <c r="Q2003" s="80"/>
      <c r="R2003" s="42"/>
      <c r="S2003" s="90">
        <f t="shared" si="248"/>
        <v>194.49999999999324</v>
      </c>
      <c r="T2003" s="42"/>
      <c r="U2003" s="42"/>
      <c r="V2003" s="42"/>
      <c r="W2003" s="42"/>
      <c r="X2003" s="81"/>
    </row>
    <row r="2004" spans="2:24" x14ac:dyDescent="0.25">
      <c r="B2004" s="2">
        <v>1</v>
      </c>
      <c r="C2004" s="1">
        <f t="shared" si="246"/>
        <v>4.823529411764568</v>
      </c>
      <c r="D2004" s="1">
        <f t="shared" si="244"/>
        <v>1</v>
      </c>
      <c r="E2004" s="1">
        <f t="shared" si="247"/>
        <v>0</v>
      </c>
      <c r="F2004" s="31">
        <f t="shared" si="245"/>
        <v>14.6</v>
      </c>
      <c r="G2004" s="31">
        <f t="shared" ca="1" si="249"/>
        <v>14.6</v>
      </c>
      <c r="H2004" s="30">
        <f t="shared" ca="1" si="250"/>
        <v>0</v>
      </c>
      <c r="I2004" s="31">
        <f t="shared" ca="1" si="251"/>
        <v>14.6</v>
      </c>
      <c r="Q2004" s="80"/>
      <c r="R2004" s="42"/>
      <c r="S2004" s="90">
        <f t="shared" si="248"/>
        <v>194.59999999999323</v>
      </c>
      <c r="T2004" s="42"/>
      <c r="U2004" s="42"/>
      <c r="V2004" s="42"/>
      <c r="W2004" s="42"/>
      <c r="X2004" s="81"/>
    </row>
    <row r="2005" spans="2:24" x14ac:dyDescent="0.25">
      <c r="B2005" s="2">
        <v>1</v>
      </c>
      <c r="C2005" s="1">
        <f t="shared" si="246"/>
        <v>5.823529411764568</v>
      </c>
      <c r="D2005" s="1">
        <f t="shared" si="244"/>
        <v>1</v>
      </c>
      <c r="E2005" s="1">
        <f t="shared" si="247"/>
        <v>0</v>
      </c>
      <c r="F2005" s="31">
        <f t="shared" si="245"/>
        <v>14.6</v>
      </c>
      <c r="G2005" s="31">
        <f t="shared" ca="1" si="249"/>
        <v>14.6</v>
      </c>
      <c r="H2005" s="30">
        <f t="shared" ca="1" si="250"/>
        <v>0</v>
      </c>
      <c r="I2005" s="31">
        <f t="shared" ca="1" si="251"/>
        <v>14.6</v>
      </c>
      <c r="Q2005" s="80"/>
      <c r="R2005" s="42"/>
      <c r="S2005" s="90">
        <f t="shared" si="248"/>
        <v>194.69999999999322</v>
      </c>
      <c r="T2005" s="42"/>
      <c r="U2005" s="42"/>
      <c r="V2005" s="42"/>
      <c r="W2005" s="42"/>
      <c r="X2005" s="81"/>
    </row>
    <row r="2006" spans="2:24" x14ac:dyDescent="0.25">
      <c r="B2006" s="2">
        <v>1</v>
      </c>
      <c r="C2006" s="1">
        <f t="shared" si="246"/>
        <v>6.823529411764568</v>
      </c>
      <c r="D2006" s="1">
        <f t="shared" si="244"/>
        <v>1</v>
      </c>
      <c r="E2006" s="1">
        <f t="shared" si="247"/>
        <v>0</v>
      </c>
      <c r="F2006" s="31">
        <f t="shared" si="245"/>
        <v>14.6</v>
      </c>
      <c r="G2006" s="31">
        <f t="shared" ca="1" si="249"/>
        <v>14.6</v>
      </c>
      <c r="H2006" s="30">
        <f t="shared" ca="1" si="250"/>
        <v>0</v>
      </c>
      <c r="I2006" s="31">
        <f t="shared" ca="1" si="251"/>
        <v>14.6</v>
      </c>
      <c r="Q2006" s="80"/>
      <c r="R2006" s="42"/>
      <c r="S2006" s="90">
        <f t="shared" si="248"/>
        <v>194.79999999999322</v>
      </c>
      <c r="T2006" s="42"/>
      <c r="U2006" s="42"/>
      <c r="V2006" s="42"/>
      <c r="W2006" s="42"/>
      <c r="X2006" s="81"/>
    </row>
    <row r="2007" spans="2:24" x14ac:dyDescent="0.25">
      <c r="B2007" s="2">
        <v>1</v>
      </c>
      <c r="C2007" s="1">
        <f t="shared" si="246"/>
        <v>7.823529411764568</v>
      </c>
      <c r="D2007" s="1">
        <f t="shared" si="244"/>
        <v>1</v>
      </c>
      <c r="E2007" s="1">
        <f t="shared" si="247"/>
        <v>0</v>
      </c>
      <c r="F2007" s="31">
        <f t="shared" si="245"/>
        <v>14.6</v>
      </c>
      <c r="G2007" s="31">
        <f t="shared" ca="1" si="249"/>
        <v>14.6</v>
      </c>
      <c r="H2007" s="30">
        <f t="shared" ca="1" si="250"/>
        <v>0</v>
      </c>
      <c r="I2007" s="31">
        <f t="shared" ca="1" si="251"/>
        <v>14.6</v>
      </c>
      <c r="Q2007" s="80"/>
      <c r="R2007" s="42"/>
      <c r="S2007" s="90">
        <f t="shared" si="248"/>
        <v>194.89999999999321</v>
      </c>
      <c r="T2007" s="42"/>
      <c r="U2007" s="42"/>
      <c r="V2007" s="42"/>
      <c r="W2007" s="42"/>
      <c r="X2007" s="81"/>
    </row>
    <row r="2008" spans="2:24" x14ac:dyDescent="0.25">
      <c r="B2008" s="2">
        <v>1</v>
      </c>
      <c r="C2008" s="1">
        <f t="shared" si="246"/>
        <v>8.823529411764568</v>
      </c>
      <c r="D2008" s="1">
        <f t="shared" si="244"/>
        <v>1</v>
      </c>
      <c r="E2008" s="1">
        <f t="shared" si="247"/>
        <v>0</v>
      </c>
      <c r="F2008" s="31">
        <f t="shared" si="245"/>
        <v>14.6</v>
      </c>
      <c r="G2008" s="31">
        <f t="shared" ca="1" si="249"/>
        <v>14.6</v>
      </c>
      <c r="H2008" s="30">
        <f t="shared" ca="1" si="250"/>
        <v>0</v>
      </c>
      <c r="I2008" s="31">
        <f t="shared" ca="1" si="251"/>
        <v>14.6</v>
      </c>
      <c r="Q2008" s="80"/>
      <c r="R2008" s="42"/>
      <c r="S2008" s="90">
        <f t="shared" si="248"/>
        <v>194.99999999999321</v>
      </c>
      <c r="T2008" s="42"/>
      <c r="U2008" s="42"/>
      <c r="V2008" s="42"/>
      <c r="W2008" s="42"/>
      <c r="X2008" s="81"/>
    </row>
    <row r="2009" spans="2:24" x14ac:dyDescent="0.25">
      <c r="B2009" s="2">
        <v>1</v>
      </c>
      <c r="C2009" s="1">
        <f t="shared" si="246"/>
        <v>9.823529411764568</v>
      </c>
      <c r="D2009" s="1">
        <f t="shared" si="244"/>
        <v>1</v>
      </c>
      <c r="E2009" s="1">
        <f t="shared" si="247"/>
        <v>0</v>
      </c>
      <c r="F2009" s="31">
        <f t="shared" si="245"/>
        <v>14.6</v>
      </c>
      <c r="G2009" s="31">
        <f t="shared" ca="1" si="249"/>
        <v>14.6</v>
      </c>
      <c r="H2009" s="30">
        <f t="shared" ca="1" si="250"/>
        <v>0</v>
      </c>
      <c r="I2009" s="31">
        <f t="shared" ca="1" si="251"/>
        <v>14.6</v>
      </c>
      <c r="Q2009" s="80"/>
      <c r="R2009" s="42"/>
      <c r="S2009" s="90">
        <f t="shared" si="248"/>
        <v>195.0999999999932</v>
      </c>
      <c r="T2009" s="42"/>
      <c r="U2009" s="42"/>
      <c r="V2009" s="42"/>
      <c r="W2009" s="42"/>
      <c r="X2009" s="81"/>
    </row>
    <row r="2010" spans="2:24" x14ac:dyDescent="0.25">
      <c r="B2010" s="2">
        <v>1</v>
      </c>
      <c r="C2010" s="1">
        <f t="shared" si="246"/>
        <v>10.823529411764568</v>
      </c>
      <c r="D2010" s="1">
        <f t="shared" si="244"/>
        <v>1</v>
      </c>
      <c r="E2010" s="1">
        <f t="shared" si="247"/>
        <v>0</v>
      </c>
      <c r="F2010" s="31">
        <f t="shared" si="245"/>
        <v>14.6</v>
      </c>
      <c r="G2010" s="31">
        <f t="shared" ca="1" si="249"/>
        <v>14.6</v>
      </c>
      <c r="H2010" s="30">
        <f t="shared" ca="1" si="250"/>
        <v>0</v>
      </c>
      <c r="I2010" s="31">
        <f t="shared" ca="1" si="251"/>
        <v>14.6</v>
      </c>
      <c r="Q2010" s="80"/>
      <c r="R2010" s="42"/>
      <c r="S2010" s="90">
        <f t="shared" si="248"/>
        <v>195.1999999999932</v>
      </c>
      <c r="T2010" s="42"/>
      <c r="U2010" s="42"/>
      <c r="V2010" s="42"/>
      <c r="W2010" s="42"/>
      <c r="X2010" s="81"/>
    </row>
    <row r="2011" spans="2:24" x14ac:dyDescent="0.25">
      <c r="B2011" s="2">
        <v>1</v>
      </c>
      <c r="C2011" s="1">
        <f t="shared" si="246"/>
        <v>11.823529411764568</v>
      </c>
      <c r="D2011" s="1">
        <f t="shared" si="244"/>
        <v>1</v>
      </c>
      <c r="E2011" s="1">
        <f t="shared" si="247"/>
        <v>0</v>
      </c>
      <c r="F2011" s="31">
        <f t="shared" si="245"/>
        <v>14.6</v>
      </c>
      <c r="G2011" s="31">
        <f t="shared" ca="1" si="249"/>
        <v>14.6</v>
      </c>
      <c r="H2011" s="30">
        <f t="shared" ca="1" si="250"/>
        <v>0</v>
      </c>
      <c r="I2011" s="31">
        <f t="shared" ca="1" si="251"/>
        <v>14.6</v>
      </c>
      <c r="Q2011" s="80"/>
      <c r="R2011" s="42"/>
      <c r="S2011" s="90">
        <f t="shared" si="248"/>
        <v>195.29999999999319</v>
      </c>
      <c r="T2011" s="42"/>
      <c r="U2011" s="42"/>
      <c r="V2011" s="42"/>
      <c r="W2011" s="42"/>
      <c r="X2011" s="81"/>
    </row>
    <row r="2012" spans="2:24" x14ac:dyDescent="0.25">
      <c r="B2012" s="2">
        <v>1</v>
      </c>
      <c r="C2012" s="1">
        <f t="shared" si="246"/>
        <v>12.823529411764568</v>
      </c>
      <c r="D2012" s="1">
        <f t="shared" si="244"/>
        <v>1</v>
      </c>
      <c r="E2012" s="1">
        <f t="shared" si="247"/>
        <v>0</v>
      </c>
      <c r="F2012" s="31">
        <f t="shared" si="245"/>
        <v>14.6</v>
      </c>
      <c r="G2012" s="31">
        <f t="shared" ca="1" si="249"/>
        <v>14.6</v>
      </c>
      <c r="H2012" s="30">
        <f t="shared" ca="1" si="250"/>
        <v>0</v>
      </c>
      <c r="I2012" s="31">
        <f t="shared" ca="1" si="251"/>
        <v>14.6</v>
      </c>
      <c r="Q2012" s="80"/>
      <c r="R2012" s="42"/>
      <c r="S2012" s="90">
        <f t="shared" si="248"/>
        <v>195.39999999999318</v>
      </c>
      <c r="T2012" s="42"/>
      <c r="U2012" s="42"/>
      <c r="V2012" s="42"/>
      <c r="W2012" s="42"/>
      <c r="X2012" s="81"/>
    </row>
    <row r="2013" spans="2:24" x14ac:dyDescent="0.25">
      <c r="B2013" s="2">
        <v>1</v>
      </c>
      <c r="C2013" s="1">
        <f t="shared" si="246"/>
        <v>13.823529411764568</v>
      </c>
      <c r="D2013" s="1">
        <f t="shared" si="244"/>
        <v>1</v>
      </c>
      <c r="E2013" s="1">
        <f t="shared" si="247"/>
        <v>0</v>
      </c>
      <c r="F2013" s="31">
        <f t="shared" si="245"/>
        <v>14.6</v>
      </c>
      <c r="G2013" s="31">
        <f t="shared" ca="1" si="249"/>
        <v>14.6</v>
      </c>
      <c r="H2013" s="30">
        <f t="shared" ca="1" si="250"/>
        <v>0</v>
      </c>
      <c r="I2013" s="31">
        <f t="shared" ca="1" si="251"/>
        <v>14.6</v>
      </c>
      <c r="Q2013" s="80"/>
      <c r="R2013" s="42"/>
      <c r="S2013" s="90">
        <f t="shared" si="248"/>
        <v>195.49999999999318</v>
      </c>
      <c r="T2013" s="42"/>
      <c r="U2013" s="42"/>
      <c r="V2013" s="42"/>
      <c r="W2013" s="42"/>
      <c r="X2013" s="81"/>
    </row>
    <row r="2014" spans="2:24" x14ac:dyDescent="0.25">
      <c r="B2014" s="2">
        <v>1</v>
      </c>
      <c r="C2014" s="1">
        <f t="shared" si="246"/>
        <v>14.823529411764568</v>
      </c>
      <c r="D2014" s="1">
        <f t="shared" si="244"/>
        <v>1</v>
      </c>
      <c r="E2014" s="1">
        <f t="shared" si="247"/>
        <v>0</v>
      </c>
      <c r="F2014" s="31">
        <f t="shared" si="245"/>
        <v>14.6</v>
      </c>
      <c r="G2014" s="31">
        <f t="shared" ca="1" si="249"/>
        <v>14.6</v>
      </c>
      <c r="H2014" s="30">
        <f t="shared" ca="1" si="250"/>
        <v>0</v>
      </c>
      <c r="I2014" s="31">
        <f t="shared" ca="1" si="251"/>
        <v>14.6</v>
      </c>
      <c r="Q2014" s="80"/>
      <c r="R2014" s="42"/>
      <c r="S2014" s="90">
        <f t="shared" si="248"/>
        <v>195.59999999999317</v>
      </c>
      <c r="T2014" s="42"/>
      <c r="U2014" s="42"/>
      <c r="V2014" s="42"/>
      <c r="W2014" s="42"/>
      <c r="X2014" s="81"/>
    </row>
    <row r="2015" spans="2:24" x14ac:dyDescent="0.25">
      <c r="B2015" s="2">
        <v>1</v>
      </c>
      <c r="C2015" s="1">
        <f t="shared" si="246"/>
        <v>15.823529411764568</v>
      </c>
      <c r="D2015" s="1">
        <f t="shared" si="244"/>
        <v>1</v>
      </c>
      <c r="E2015" s="1">
        <f t="shared" si="247"/>
        <v>0</v>
      </c>
      <c r="F2015" s="31">
        <f t="shared" si="245"/>
        <v>14.6</v>
      </c>
      <c r="G2015" s="31">
        <f t="shared" ca="1" si="249"/>
        <v>14.6</v>
      </c>
      <c r="H2015" s="30">
        <f t="shared" ca="1" si="250"/>
        <v>0</v>
      </c>
      <c r="I2015" s="31">
        <f t="shared" ca="1" si="251"/>
        <v>14.6</v>
      </c>
      <c r="Q2015" s="80"/>
      <c r="R2015" s="42"/>
      <c r="S2015" s="90">
        <f t="shared" si="248"/>
        <v>195.69999999999317</v>
      </c>
      <c r="T2015" s="42"/>
      <c r="U2015" s="42"/>
      <c r="V2015" s="42"/>
      <c r="W2015" s="42"/>
      <c r="X2015" s="81"/>
    </row>
    <row r="2016" spans="2:24" x14ac:dyDescent="0.25">
      <c r="B2016" s="2">
        <v>1</v>
      </c>
      <c r="C2016" s="1">
        <f t="shared" si="246"/>
        <v>16.823529411764568</v>
      </c>
      <c r="D2016" s="1">
        <f t="shared" si="244"/>
        <v>1</v>
      </c>
      <c r="E2016" s="1">
        <f t="shared" si="247"/>
        <v>0</v>
      </c>
      <c r="F2016" s="31">
        <f t="shared" si="245"/>
        <v>14.6</v>
      </c>
      <c r="G2016" s="31">
        <f t="shared" ca="1" si="249"/>
        <v>14.6</v>
      </c>
      <c r="H2016" s="30">
        <f t="shared" ca="1" si="250"/>
        <v>0</v>
      </c>
      <c r="I2016" s="31">
        <f t="shared" ca="1" si="251"/>
        <v>14.6</v>
      </c>
      <c r="Q2016" s="80"/>
      <c r="R2016" s="42"/>
      <c r="S2016" s="90">
        <f t="shared" si="248"/>
        <v>195.79999999999316</v>
      </c>
      <c r="T2016" s="42"/>
      <c r="U2016" s="42"/>
      <c r="V2016" s="42"/>
      <c r="W2016" s="42"/>
      <c r="X2016" s="81"/>
    </row>
    <row r="2017" spans="2:24" x14ac:dyDescent="0.25">
      <c r="B2017" s="2">
        <v>1</v>
      </c>
      <c r="C2017" s="1">
        <f t="shared" si="246"/>
        <v>17.823529411764568</v>
      </c>
      <c r="D2017" s="1">
        <f t="shared" si="244"/>
        <v>1</v>
      </c>
      <c r="E2017" s="1">
        <f t="shared" si="247"/>
        <v>0</v>
      </c>
      <c r="F2017" s="31">
        <f t="shared" si="245"/>
        <v>14.6</v>
      </c>
      <c r="G2017" s="31">
        <f t="shared" ca="1" si="249"/>
        <v>14.6</v>
      </c>
      <c r="H2017" s="30">
        <f t="shared" ca="1" si="250"/>
        <v>0</v>
      </c>
      <c r="I2017" s="31">
        <f t="shared" ca="1" si="251"/>
        <v>14.6</v>
      </c>
      <c r="Q2017" s="80"/>
      <c r="R2017" s="42"/>
      <c r="S2017" s="90">
        <f t="shared" si="248"/>
        <v>195.89999999999316</v>
      </c>
      <c r="T2017" s="42"/>
      <c r="U2017" s="42"/>
      <c r="V2017" s="42"/>
      <c r="W2017" s="42"/>
      <c r="X2017" s="81"/>
    </row>
    <row r="2018" spans="2:24" x14ac:dyDescent="0.25">
      <c r="B2018" s="2">
        <v>1</v>
      </c>
      <c r="C2018" s="1">
        <f t="shared" si="246"/>
        <v>18.823529411764568</v>
      </c>
      <c r="D2018" s="1">
        <f t="shared" si="244"/>
        <v>1</v>
      </c>
      <c r="E2018" s="1">
        <f t="shared" si="247"/>
        <v>0</v>
      </c>
      <c r="F2018" s="31">
        <f t="shared" si="245"/>
        <v>14.6</v>
      </c>
      <c r="G2018" s="31">
        <f t="shared" ca="1" si="249"/>
        <v>14.6</v>
      </c>
      <c r="H2018" s="30">
        <f t="shared" ca="1" si="250"/>
        <v>0</v>
      </c>
      <c r="I2018" s="31">
        <f t="shared" ca="1" si="251"/>
        <v>14.6</v>
      </c>
      <c r="Q2018" s="80"/>
      <c r="R2018" s="42"/>
      <c r="S2018" s="90">
        <f t="shared" si="248"/>
        <v>195.99999999999315</v>
      </c>
      <c r="T2018" s="42"/>
      <c r="U2018" s="42"/>
      <c r="V2018" s="42"/>
      <c r="W2018" s="42"/>
      <c r="X2018" s="81"/>
    </row>
    <row r="2019" spans="2:24" x14ac:dyDescent="0.25">
      <c r="B2019" s="2">
        <v>1</v>
      </c>
      <c r="C2019" s="1">
        <f t="shared" si="246"/>
        <v>19.823529411764568</v>
      </c>
      <c r="D2019" s="1">
        <f t="shared" si="244"/>
        <v>1</v>
      </c>
      <c r="E2019" s="1">
        <f t="shared" si="247"/>
        <v>0</v>
      </c>
      <c r="F2019" s="31">
        <f t="shared" si="245"/>
        <v>14.6</v>
      </c>
      <c r="G2019" s="31">
        <f t="shared" ca="1" si="249"/>
        <v>14.6</v>
      </c>
      <c r="H2019" s="30">
        <f t="shared" ca="1" si="250"/>
        <v>0</v>
      </c>
      <c r="I2019" s="31">
        <f t="shared" ca="1" si="251"/>
        <v>14.6</v>
      </c>
      <c r="Q2019" s="80"/>
      <c r="R2019" s="42"/>
      <c r="S2019" s="90">
        <f t="shared" si="248"/>
        <v>196.09999999999314</v>
      </c>
      <c r="T2019" s="42"/>
      <c r="U2019" s="42"/>
      <c r="V2019" s="42"/>
      <c r="W2019" s="42"/>
      <c r="X2019" s="81"/>
    </row>
    <row r="2020" spans="2:24" x14ac:dyDescent="0.25">
      <c r="B2020" s="2">
        <v>1</v>
      </c>
      <c r="C2020" s="1">
        <f t="shared" si="246"/>
        <v>20.823529411764568</v>
      </c>
      <c r="D2020" s="1">
        <f t="shared" si="244"/>
        <v>1</v>
      </c>
      <c r="E2020" s="1">
        <f t="shared" si="247"/>
        <v>0</v>
      </c>
      <c r="F2020" s="31">
        <f t="shared" si="245"/>
        <v>14.6</v>
      </c>
      <c r="G2020" s="31">
        <f t="shared" ca="1" si="249"/>
        <v>14.6</v>
      </c>
      <c r="H2020" s="30">
        <f t="shared" ca="1" si="250"/>
        <v>0</v>
      </c>
      <c r="I2020" s="31">
        <f t="shared" ca="1" si="251"/>
        <v>14.6</v>
      </c>
      <c r="Q2020" s="80"/>
      <c r="R2020" s="42"/>
      <c r="S2020" s="90">
        <f t="shared" si="248"/>
        <v>196.19999999999314</v>
      </c>
      <c r="T2020" s="42"/>
      <c r="U2020" s="42"/>
      <c r="V2020" s="42"/>
      <c r="W2020" s="42"/>
      <c r="X2020" s="81"/>
    </row>
    <row r="2021" spans="2:24" x14ac:dyDescent="0.25">
      <c r="B2021" s="2">
        <v>1</v>
      </c>
      <c r="C2021" s="1">
        <f t="shared" si="246"/>
        <v>21.823529411764568</v>
      </c>
      <c r="D2021" s="1">
        <f t="shared" si="244"/>
        <v>1</v>
      </c>
      <c r="E2021" s="1">
        <f t="shared" si="247"/>
        <v>0</v>
      </c>
      <c r="F2021" s="31">
        <f t="shared" si="245"/>
        <v>14.6</v>
      </c>
      <c r="G2021" s="31">
        <f t="shared" ca="1" si="249"/>
        <v>14.6</v>
      </c>
      <c r="H2021" s="30">
        <f t="shared" ca="1" si="250"/>
        <v>0</v>
      </c>
      <c r="I2021" s="31">
        <f t="shared" ca="1" si="251"/>
        <v>14.6</v>
      </c>
      <c r="Q2021" s="80"/>
      <c r="R2021" s="42"/>
      <c r="S2021" s="90">
        <f t="shared" si="248"/>
        <v>196.29999999999313</v>
      </c>
      <c r="T2021" s="42"/>
      <c r="U2021" s="42"/>
      <c r="V2021" s="42"/>
      <c r="W2021" s="42"/>
      <c r="X2021" s="81"/>
    </row>
    <row r="2022" spans="2:24" x14ac:dyDescent="0.25">
      <c r="B2022" s="2">
        <v>1</v>
      </c>
      <c r="C2022" s="1">
        <f t="shared" si="246"/>
        <v>22.823529411764568</v>
      </c>
      <c r="D2022" s="1">
        <f t="shared" si="244"/>
        <v>0</v>
      </c>
      <c r="E2022" s="1">
        <f t="shared" si="247"/>
        <v>1</v>
      </c>
      <c r="F2022" s="31">
        <f t="shared" si="245"/>
        <v>6.4</v>
      </c>
      <c r="G2022" s="31">
        <f t="shared" ca="1" si="249"/>
        <v>0</v>
      </c>
      <c r="H2022" s="30">
        <f t="shared" ca="1" si="250"/>
        <v>14.6</v>
      </c>
      <c r="I2022" s="31">
        <f t="shared" ca="1" si="251"/>
        <v>14.6</v>
      </c>
      <c r="Q2022" s="80"/>
      <c r="R2022" s="42"/>
      <c r="S2022" s="90">
        <f t="shared" si="248"/>
        <v>196.39999999999313</v>
      </c>
      <c r="T2022" s="42"/>
      <c r="U2022" s="42"/>
      <c r="V2022" s="42"/>
      <c r="W2022" s="42"/>
      <c r="X2022" s="81"/>
    </row>
    <row r="2023" spans="2:24" x14ac:dyDescent="0.25">
      <c r="B2023" s="2">
        <v>1</v>
      </c>
      <c r="C2023" s="1">
        <f t="shared" si="246"/>
        <v>23.823529411764568</v>
      </c>
      <c r="D2023" s="1">
        <f t="shared" si="244"/>
        <v>0</v>
      </c>
      <c r="E2023" s="1">
        <f t="shared" si="247"/>
        <v>1</v>
      </c>
      <c r="F2023" s="31">
        <f t="shared" si="245"/>
        <v>6.4</v>
      </c>
      <c r="G2023" s="31">
        <f t="shared" ca="1" si="249"/>
        <v>0</v>
      </c>
      <c r="H2023" s="30">
        <f t="shared" ca="1" si="250"/>
        <v>6.4</v>
      </c>
      <c r="I2023" s="31">
        <f t="shared" ca="1" si="251"/>
        <v>6.4</v>
      </c>
      <c r="Q2023" s="80"/>
      <c r="R2023" s="42"/>
      <c r="S2023" s="90">
        <f t="shared" si="248"/>
        <v>196.49999999999312</v>
      </c>
      <c r="T2023" s="42"/>
      <c r="U2023" s="42"/>
      <c r="V2023" s="42"/>
      <c r="W2023" s="42"/>
      <c r="X2023" s="81"/>
    </row>
    <row r="2024" spans="2:24" x14ac:dyDescent="0.25">
      <c r="B2024" s="2">
        <v>1</v>
      </c>
      <c r="C2024" s="1">
        <f t="shared" si="246"/>
        <v>24.823529411764568</v>
      </c>
      <c r="D2024" s="1">
        <f t="shared" si="244"/>
        <v>0</v>
      </c>
      <c r="E2024" s="1">
        <f t="shared" si="247"/>
        <v>1</v>
      </c>
      <c r="F2024" s="31">
        <f t="shared" si="245"/>
        <v>6.4</v>
      </c>
      <c r="G2024" s="31">
        <f t="shared" ca="1" si="249"/>
        <v>0</v>
      </c>
      <c r="H2024" s="30">
        <f t="shared" ca="1" si="250"/>
        <v>6.4</v>
      </c>
      <c r="I2024" s="31">
        <f t="shared" ca="1" si="251"/>
        <v>6.4</v>
      </c>
      <c r="Q2024" s="80"/>
      <c r="R2024" s="42"/>
      <c r="S2024" s="90">
        <f t="shared" si="248"/>
        <v>196.59999999999312</v>
      </c>
      <c r="T2024" s="42"/>
      <c r="U2024" s="42"/>
      <c r="V2024" s="42"/>
      <c r="W2024" s="42"/>
      <c r="X2024" s="81"/>
    </row>
    <row r="2025" spans="2:24" x14ac:dyDescent="0.25">
      <c r="B2025" s="2">
        <v>1</v>
      </c>
      <c r="C2025" s="1">
        <f t="shared" si="246"/>
        <v>25.823529411764568</v>
      </c>
      <c r="D2025" s="1">
        <f t="shared" si="244"/>
        <v>0</v>
      </c>
      <c r="E2025" s="1">
        <f t="shared" si="247"/>
        <v>1</v>
      </c>
      <c r="F2025" s="31">
        <f t="shared" si="245"/>
        <v>6.4</v>
      </c>
      <c r="G2025" s="31">
        <f t="shared" ca="1" si="249"/>
        <v>0</v>
      </c>
      <c r="H2025" s="30">
        <f t="shared" ca="1" si="250"/>
        <v>6.4</v>
      </c>
      <c r="I2025" s="31">
        <f t="shared" ca="1" si="251"/>
        <v>6.4</v>
      </c>
      <c r="Q2025" s="80"/>
      <c r="R2025" s="42"/>
      <c r="S2025" s="90">
        <f t="shared" si="248"/>
        <v>196.69999999999311</v>
      </c>
      <c r="T2025" s="42"/>
      <c r="U2025" s="42"/>
      <c r="V2025" s="42"/>
      <c r="W2025" s="42"/>
      <c r="X2025" s="81"/>
    </row>
    <row r="2026" spans="2:24" x14ac:dyDescent="0.25">
      <c r="B2026" s="2">
        <v>1</v>
      </c>
      <c r="C2026" s="1">
        <f t="shared" si="246"/>
        <v>26.823529411764568</v>
      </c>
      <c r="D2026" s="1">
        <f t="shared" si="244"/>
        <v>0</v>
      </c>
      <c r="E2026" s="1">
        <f t="shared" si="247"/>
        <v>1</v>
      </c>
      <c r="F2026" s="31">
        <f t="shared" si="245"/>
        <v>6.4</v>
      </c>
      <c r="G2026" s="31">
        <f t="shared" ca="1" si="249"/>
        <v>0</v>
      </c>
      <c r="H2026" s="30">
        <f t="shared" ca="1" si="250"/>
        <v>6.4</v>
      </c>
      <c r="I2026" s="31">
        <f t="shared" ca="1" si="251"/>
        <v>6.4</v>
      </c>
      <c r="Q2026" s="80"/>
      <c r="R2026" s="42"/>
      <c r="S2026" s="90">
        <f t="shared" si="248"/>
        <v>196.7999999999931</v>
      </c>
      <c r="T2026" s="42"/>
      <c r="U2026" s="42"/>
      <c r="V2026" s="42"/>
      <c r="W2026" s="42"/>
      <c r="X2026" s="81"/>
    </row>
    <row r="2027" spans="2:24" x14ac:dyDescent="0.25">
      <c r="B2027" s="2">
        <v>1</v>
      </c>
      <c r="C2027" s="1">
        <f t="shared" si="246"/>
        <v>27.823529411764568</v>
      </c>
      <c r="D2027" s="1">
        <f t="shared" si="244"/>
        <v>0</v>
      </c>
      <c r="E2027" s="1">
        <f t="shared" si="247"/>
        <v>1</v>
      </c>
      <c r="F2027" s="31">
        <f t="shared" si="245"/>
        <v>6.4</v>
      </c>
      <c r="G2027" s="31">
        <f t="shared" ca="1" si="249"/>
        <v>0</v>
      </c>
      <c r="H2027" s="30">
        <f t="shared" ca="1" si="250"/>
        <v>6.4</v>
      </c>
      <c r="I2027" s="31">
        <f t="shared" ca="1" si="251"/>
        <v>6.4</v>
      </c>
      <c r="Q2027" s="80"/>
      <c r="R2027" s="42"/>
      <c r="S2027" s="90">
        <f t="shared" si="248"/>
        <v>196.8999999999931</v>
      </c>
      <c r="T2027" s="42"/>
      <c r="U2027" s="42"/>
      <c r="V2027" s="42"/>
      <c r="W2027" s="42"/>
      <c r="X2027" s="81"/>
    </row>
    <row r="2028" spans="2:24" x14ac:dyDescent="0.25">
      <c r="B2028" s="2">
        <v>1</v>
      </c>
      <c r="C2028" s="1">
        <f t="shared" si="246"/>
        <v>28.823529411764568</v>
      </c>
      <c r="D2028" s="1">
        <f t="shared" si="244"/>
        <v>0</v>
      </c>
      <c r="E2028" s="1">
        <f t="shared" si="247"/>
        <v>1</v>
      </c>
      <c r="F2028" s="31">
        <f t="shared" si="245"/>
        <v>6.4</v>
      </c>
      <c r="G2028" s="31">
        <f t="shared" ca="1" si="249"/>
        <v>0</v>
      </c>
      <c r="H2028" s="30">
        <f t="shared" ca="1" si="250"/>
        <v>6.4</v>
      </c>
      <c r="I2028" s="31">
        <f t="shared" ca="1" si="251"/>
        <v>6.4</v>
      </c>
      <c r="Q2028" s="80"/>
      <c r="R2028" s="42"/>
      <c r="S2028" s="90">
        <f t="shared" si="248"/>
        <v>196.99999999999309</v>
      </c>
      <c r="T2028" s="42"/>
      <c r="U2028" s="42"/>
      <c r="V2028" s="42"/>
      <c r="W2028" s="42"/>
      <c r="X2028" s="81"/>
    </row>
    <row r="2029" spans="2:24" x14ac:dyDescent="0.25">
      <c r="B2029" s="2">
        <v>1</v>
      </c>
      <c r="C2029" s="1">
        <f t="shared" si="246"/>
        <v>29.823529411764568</v>
      </c>
      <c r="D2029" s="1">
        <f t="shared" si="244"/>
        <v>0</v>
      </c>
      <c r="E2029" s="1">
        <f t="shared" si="247"/>
        <v>1</v>
      </c>
      <c r="F2029" s="31">
        <f t="shared" si="245"/>
        <v>6.4</v>
      </c>
      <c r="G2029" s="31">
        <f t="shared" ca="1" si="249"/>
        <v>0</v>
      </c>
      <c r="H2029" s="30">
        <f t="shared" ca="1" si="250"/>
        <v>6.4</v>
      </c>
      <c r="I2029" s="31">
        <f t="shared" ca="1" si="251"/>
        <v>6.4</v>
      </c>
      <c r="Q2029" s="80"/>
      <c r="R2029" s="42"/>
      <c r="S2029" s="90">
        <f t="shared" si="248"/>
        <v>197.09999999999309</v>
      </c>
      <c r="T2029" s="42"/>
      <c r="U2029" s="42"/>
      <c r="V2029" s="42"/>
      <c r="W2029" s="42"/>
      <c r="X2029" s="81"/>
    </row>
    <row r="2030" spans="2:24" x14ac:dyDescent="0.25">
      <c r="B2030" s="2">
        <v>1</v>
      </c>
      <c r="C2030" s="1">
        <f t="shared" si="246"/>
        <v>30.823529411764568</v>
      </c>
      <c r="D2030" s="1">
        <f t="shared" si="244"/>
        <v>0</v>
      </c>
      <c r="E2030" s="1">
        <f t="shared" si="247"/>
        <v>1</v>
      </c>
      <c r="F2030" s="31">
        <f t="shared" si="245"/>
        <v>6.4</v>
      </c>
      <c r="G2030" s="31">
        <f t="shared" ca="1" si="249"/>
        <v>0</v>
      </c>
      <c r="H2030" s="30">
        <f t="shared" ca="1" si="250"/>
        <v>6.4</v>
      </c>
      <c r="I2030" s="31">
        <f t="shared" ca="1" si="251"/>
        <v>6.4</v>
      </c>
      <c r="Q2030" s="80"/>
      <c r="R2030" s="42"/>
      <c r="S2030" s="90">
        <f t="shared" si="248"/>
        <v>197.19999999999308</v>
      </c>
      <c r="T2030" s="42"/>
      <c r="U2030" s="42"/>
      <c r="V2030" s="42"/>
      <c r="W2030" s="42"/>
      <c r="X2030" s="81"/>
    </row>
    <row r="2031" spans="2:24" x14ac:dyDescent="0.25">
      <c r="B2031" s="2">
        <v>1</v>
      </c>
      <c r="C2031" s="1">
        <f t="shared" si="246"/>
        <v>31.823529411764568</v>
      </c>
      <c r="D2031" s="1">
        <f t="shared" si="244"/>
        <v>0</v>
      </c>
      <c r="E2031" s="1">
        <f t="shared" si="247"/>
        <v>1</v>
      </c>
      <c r="F2031" s="31">
        <f t="shared" si="245"/>
        <v>6.4</v>
      </c>
      <c r="G2031" s="31">
        <f t="shared" ca="1" si="249"/>
        <v>0</v>
      </c>
      <c r="H2031" s="30">
        <f t="shared" ca="1" si="250"/>
        <v>6.4</v>
      </c>
      <c r="I2031" s="31">
        <f t="shared" ca="1" si="251"/>
        <v>6.4</v>
      </c>
      <c r="Q2031" s="80"/>
      <c r="R2031" s="42"/>
      <c r="S2031" s="90">
        <f t="shared" si="248"/>
        <v>197.29999999999308</v>
      </c>
      <c r="T2031" s="42"/>
      <c r="U2031" s="42"/>
      <c r="V2031" s="42"/>
      <c r="W2031" s="42"/>
      <c r="X2031" s="81"/>
    </row>
    <row r="2032" spans="2:24" x14ac:dyDescent="0.25">
      <c r="B2032" s="2">
        <v>1</v>
      </c>
      <c r="C2032" s="1">
        <f t="shared" si="246"/>
        <v>32.823529411764568</v>
      </c>
      <c r="D2032" s="1">
        <f t="shared" si="244"/>
        <v>0</v>
      </c>
      <c r="E2032" s="1">
        <f t="shared" si="247"/>
        <v>1</v>
      </c>
      <c r="F2032" s="31">
        <f t="shared" si="245"/>
        <v>6.4</v>
      </c>
      <c r="G2032" s="31">
        <f t="shared" ca="1" si="249"/>
        <v>0</v>
      </c>
      <c r="H2032" s="30">
        <f t="shared" ca="1" si="250"/>
        <v>6.4</v>
      </c>
      <c r="I2032" s="31">
        <f t="shared" ca="1" si="251"/>
        <v>6.4</v>
      </c>
      <c r="Q2032" s="80"/>
      <c r="R2032" s="42"/>
      <c r="S2032" s="90">
        <f t="shared" si="248"/>
        <v>197.39999999999307</v>
      </c>
      <c r="T2032" s="42"/>
      <c r="U2032" s="42"/>
      <c r="V2032" s="42"/>
      <c r="W2032" s="42"/>
      <c r="X2032" s="81"/>
    </row>
    <row r="2033" spans="2:24" x14ac:dyDescent="0.25">
      <c r="B2033" s="2">
        <v>1</v>
      </c>
      <c r="C2033" s="1">
        <f t="shared" si="246"/>
        <v>33.823529411764568</v>
      </c>
      <c r="D2033" s="1">
        <f t="shared" si="244"/>
        <v>0</v>
      </c>
      <c r="E2033" s="1">
        <f t="shared" si="247"/>
        <v>1</v>
      </c>
      <c r="F2033" s="31">
        <f t="shared" si="245"/>
        <v>6.4</v>
      </c>
      <c r="G2033" s="31">
        <f t="shared" ca="1" si="249"/>
        <v>0</v>
      </c>
      <c r="H2033" s="30">
        <f t="shared" ca="1" si="250"/>
        <v>6.4</v>
      </c>
      <c r="I2033" s="31">
        <f t="shared" ca="1" si="251"/>
        <v>6.4</v>
      </c>
      <c r="Q2033" s="80"/>
      <c r="R2033" s="42"/>
      <c r="S2033" s="90">
        <f t="shared" si="248"/>
        <v>197.49999999999307</v>
      </c>
      <c r="T2033" s="42"/>
      <c r="U2033" s="42"/>
      <c r="V2033" s="42"/>
      <c r="W2033" s="42"/>
      <c r="X2033" s="81"/>
    </row>
    <row r="2034" spans="2:24" x14ac:dyDescent="0.25">
      <c r="B2034" s="2">
        <v>1</v>
      </c>
      <c r="C2034" s="1">
        <f t="shared" si="246"/>
        <v>34.823529411764568</v>
      </c>
      <c r="D2034" s="1">
        <f t="shared" si="244"/>
        <v>0</v>
      </c>
      <c r="E2034" s="1">
        <f t="shared" si="247"/>
        <v>1</v>
      </c>
      <c r="F2034" s="31">
        <f t="shared" si="245"/>
        <v>6.4</v>
      </c>
      <c r="G2034" s="31">
        <f t="shared" ca="1" si="249"/>
        <v>0</v>
      </c>
      <c r="H2034" s="30">
        <f t="shared" ca="1" si="250"/>
        <v>6.4</v>
      </c>
      <c r="I2034" s="31">
        <f t="shared" ca="1" si="251"/>
        <v>6.4</v>
      </c>
      <c r="Q2034" s="80"/>
      <c r="R2034" s="42"/>
      <c r="S2034" s="90">
        <f t="shared" si="248"/>
        <v>197.59999999999306</v>
      </c>
      <c r="T2034" s="42"/>
      <c r="U2034" s="42"/>
      <c r="V2034" s="42"/>
      <c r="W2034" s="42"/>
      <c r="X2034" s="81"/>
    </row>
    <row r="2035" spans="2:24" x14ac:dyDescent="0.25">
      <c r="B2035" s="2">
        <v>1</v>
      </c>
      <c r="C2035" s="1">
        <f t="shared" si="246"/>
        <v>0.52941176470574192</v>
      </c>
      <c r="D2035" s="1">
        <f t="shared" si="244"/>
        <v>1</v>
      </c>
      <c r="E2035" s="1">
        <f t="shared" si="247"/>
        <v>0</v>
      </c>
      <c r="F2035" s="31">
        <f t="shared" si="245"/>
        <v>14.6</v>
      </c>
      <c r="G2035" s="31">
        <f t="shared" ca="1" si="249"/>
        <v>6.4</v>
      </c>
      <c r="H2035" s="30">
        <f t="shared" ca="1" si="250"/>
        <v>0</v>
      </c>
      <c r="I2035" s="31">
        <f t="shared" ca="1" si="251"/>
        <v>6.4</v>
      </c>
      <c r="Q2035" s="80"/>
      <c r="R2035" s="42"/>
      <c r="S2035" s="90">
        <f t="shared" si="248"/>
        <v>197.69999999999305</v>
      </c>
      <c r="T2035" s="42"/>
      <c r="U2035" s="42"/>
      <c r="V2035" s="42"/>
      <c r="W2035" s="42"/>
      <c r="X2035" s="81"/>
    </row>
    <row r="2036" spans="2:24" x14ac:dyDescent="0.25">
      <c r="B2036" s="2">
        <v>1</v>
      </c>
      <c r="C2036" s="1">
        <f t="shared" si="246"/>
        <v>1.5294117647057419</v>
      </c>
      <c r="D2036" s="1">
        <f t="shared" si="244"/>
        <v>1</v>
      </c>
      <c r="E2036" s="1">
        <f t="shared" si="247"/>
        <v>0</v>
      </c>
      <c r="F2036" s="31">
        <f t="shared" si="245"/>
        <v>14.6</v>
      </c>
      <c r="G2036" s="31">
        <f t="shared" ca="1" si="249"/>
        <v>8.4500000000000011</v>
      </c>
      <c r="H2036" s="30">
        <f t="shared" ca="1" si="250"/>
        <v>0</v>
      </c>
      <c r="I2036" s="31">
        <f t="shared" ca="1" si="251"/>
        <v>8.4500000000000011</v>
      </c>
      <c r="Q2036" s="80"/>
      <c r="R2036" s="42"/>
      <c r="S2036" s="90">
        <f t="shared" si="248"/>
        <v>197.79999999999305</v>
      </c>
      <c r="T2036" s="42"/>
      <c r="U2036" s="42"/>
      <c r="V2036" s="42"/>
      <c r="W2036" s="42"/>
      <c r="X2036" s="81"/>
    </row>
    <row r="2037" spans="2:24" x14ac:dyDescent="0.25">
      <c r="B2037" s="2">
        <v>1</v>
      </c>
      <c r="C2037" s="1">
        <f t="shared" si="246"/>
        <v>2.5294117647057419</v>
      </c>
      <c r="D2037" s="1">
        <f t="shared" si="244"/>
        <v>1</v>
      </c>
      <c r="E2037" s="1">
        <f t="shared" si="247"/>
        <v>0</v>
      </c>
      <c r="F2037" s="31">
        <f t="shared" si="245"/>
        <v>14.6</v>
      </c>
      <c r="G2037" s="31">
        <f t="shared" ca="1" si="249"/>
        <v>10.5</v>
      </c>
      <c r="H2037" s="30">
        <f t="shared" ca="1" si="250"/>
        <v>0</v>
      </c>
      <c r="I2037" s="31">
        <f t="shared" ca="1" si="251"/>
        <v>10.5</v>
      </c>
      <c r="Q2037" s="80"/>
      <c r="R2037" s="42"/>
      <c r="S2037" s="90">
        <f t="shared" si="248"/>
        <v>197.89999999999304</v>
      </c>
      <c r="T2037" s="42"/>
      <c r="U2037" s="42"/>
      <c r="V2037" s="42"/>
      <c r="W2037" s="42"/>
      <c r="X2037" s="81"/>
    </row>
    <row r="2038" spans="2:24" x14ac:dyDescent="0.25">
      <c r="B2038" s="2">
        <v>1</v>
      </c>
      <c r="C2038" s="1">
        <f t="shared" si="246"/>
        <v>3.5294117647057419</v>
      </c>
      <c r="D2038" s="1">
        <f t="shared" si="244"/>
        <v>1</v>
      </c>
      <c r="E2038" s="1">
        <f t="shared" si="247"/>
        <v>0</v>
      </c>
      <c r="F2038" s="31">
        <f t="shared" si="245"/>
        <v>14.6</v>
      </c>
      <c r="G2038" s="31">
        <f t="shared" ca="1" si="249"/>
        <v>12.55</v>
      </c>
      <c r="H2038" s="30">
        <f t="shared" ca="1" si="250"/>
        <v>0</v>
      </c>
      <c r="I2038" s="31">
        <f t="shared" ca="1" si="251"/>
        <v>12.55</v>
      </c>
      <c r="Q2038" s="80"/>
      <c r="R2038" s="42"/>
      <c r="S2038" s="90">
        <f t="shared" si="248"/>
        <v>197.99999999999304</v>
      </c>
      <c r="T2038" s="42"/>
      <c r="U2038" s="42"/>
      <c r="V2038" s="42"/>
      <c r="W2038" s="42"/>
      <c r="X2038" s="81"/>
    </row>
    <row r="2039" spans="2:24" x14ac:dyDescent="0.25">
      <c r="B2039" s="2">
        <v>1</v>
      </c>
      <c r="C2039" s="1">
        <f t="shared" si="246"/>
        <v>4.5294117647057419</v>
      </c>
      <c r="D2039" s="1">
        <f t="shared" si="244"/>
        <v>1</v>
      </c>
      <c r="E2039" s="1">
        <f t="shared" si="247"/>
        <v>0</v>
      </c>
      <c r="F2039" s="31">
        <f t="shared" si="245"/>
        <v>14.6</v>
      </c>
      <c r="G2039" s="31">
        <f t="shared" ca="1" si="249"/>
        <v>14.6</v>
      </c>
      <c r="H2039" s="30">
        <f t="shared" ca="1" si="250"/>
        <v>0</v>
      </c>
      <c r="I2039" s="31">
        <f t="shared" ca="1" si="251"/>
        <v>14.6</v>
      </c>
      <c r="Q2039" s="80"/>
      <c r="R2039" s="42"/>
      <c r="S2039" s="90">
        <f t="shared" si="248"/>
        <v>198.09999999999303</v>
      </c>
      <c r="T2039" s="42"/>
      <c r="U2039" s="42"/>
      <c r="V2039" s="42"/>
      <c r="W2039" s="42"/>
      <c r="X2039" s="81"/>
    </row>
    <row r="2040" spans="2:24" x14ac:dyDescent="0.25">
      <c r="B2040" s="2">
        <v>1</v>
      </c>
      <c r="C2040" s="1">
        <f t="shared" si="246"/>
        <v>5.5294117647057419</v>
      </c>
      <c r="D2040" s="1">
        <f t="shared" si="244"/>
        <v>1</v>
      </c>
      <c r="E2040" s="1">
        <f t="shared" si="247"/>
        <v>0</v>
      </c>
      <c r="F2040" s="31">
        <f t="shared" si="245"/>
        <v>14.6</v>
      </c>
      <c r="G2040" s="31">
        <f t="shared" ca="1" si="249"/>
        <v>14.6</v>
      </c>
      <c r="H2040" s="30">
        <f t="shared" ca="1" si="250"/>
        <v>0</v>
      </c>
      <c r="I2040" s="31">
        <f t="shared" ca="1" si="251"/>
        <v>14.6</v>
      </c>
      <c r="Q2040" s="80"/>
      <c r="R2040" s="42"/>
      <c r="S2040" s="90">
        <f t="shared" si="248"/>
        <v>198.19999999999303</v>
      </c>
      <c r="T2040" s="42"/>
      <c r="U2040" s="42"/>
      <c r="V2040" s="42"/>
      <c r="W2040" s="42"/>
      <c r="X2040" s="81"/>
    </row>
    <row r="2041" spans="2:24" x14ac:dyDescent="0.25">
      <c r="B2041" s="2">
        <v>1</v>
      </c>
      <c r="C2041" s="1">
        <f t="shared" si="246"/>
        <v>6.5294117647057419</v>
      </c>
      <c r="D2041" s="1">
        <f t="shared" si="244"/>
        <v>1</v>
      </c>
      <c r="E2041" s="1">
        <f t="shared" si="247"/>
        <v>0</v>
      </c>
      <c r="F2041" s="31">
        <f t="shared" si="245"/>
        <v>14.6</v>
      </c>
      <c r="G2041" s="31">
        <f t="shared" ca="1" si="249"/>
        <v>14.6</v>
      </c>
      <c r="H2041" s="30">
        <f t="shared" ca="1" si="250"/>
        <v>0</v>
      </c>
      <c r="I2041" s="31">
        <f t="shared" ca="1" si="251"/>
        <v>14.6</v>
      </c>
      <c r="Q2041" s="80"/>
      <c r="R2041" s="42"/>
      <c r="S2041" s="90">
        <f t="shared" si="248"/>
        <v>198.29999999999302</v>
      </c>
      <c r="T2041" s="42"/>
      <c r="U2041" s="42"/>
      <c r="V2041" s="42"/>
      <c r="W2041" s="42"/>
      <c r="X2041" s="81"/>
    </row>
    <row r="2042" spans="2:24" x14ac:dyDescent="0.25">
      <c r="B2042" s="2">
        <v>1</v>
      </c>
      <c r="C2042" s="1">
        <f t="shared" si="246"/>
        <v>7.5294117647057419</v>
      </c>
      <c r="D2042" s="1">
        <f t="shared" ref="D2042:D2105" si="252">IF(C2042&lt;=Inhelation_Time_RT,1,0)</f>
        <v>1</v>
      </c>
      <c r="E2042" s="1">
        <f t="shared" si="247"/>
        <v>0</v>
      </c>
      <c r="F2042" s="31">
        <f t="shared" ref="F2042:F2105" si="253">(D2042*Inspiratory_pressure_level) + (E2042*PEEP)</f>
        <v>14.6</v>
      </c>
      <c r="G2042" s="31">
        <f t="shared" ca="1" si="249"/>
        <v>14.6</v>
      </c>
      <c r="H2042" s="30">
        <f t="shared" ca="1" si="250"/>
        <v>0</v>
      </c>
      <c r="I2042" s="31">
        <f t="shared" ca="1" si="251"/>
        <v>14.6</v>
      </c>
      <c r="Q2042" s="80"/>
      <c r="R2042" s="42"/>
      <c r="S2042" s="90">
        <f t="shared" si="248"/>
        <v>198.39999999999301</v>
      </c>
      <c r="T2042" s="42"/>
      <c r="U2042" s="42"/>
      <c r="V2042" s="42"/>
      <c r="W2042" s="42"/>
      <c r="X2042" s="81"/>
    </row>
    <row r="2043" spans="2:24" x14ac:dyDescent="0.25">
      <c r="B2043" s="2">
        <v>1</v>
      </c>
      <c r="C2043" s="1">
        <f t="shared" ref="C2043:C2106" si="254">MOD(C2042+B2043,time_for_breath_RT)</f>
        <v>8.5294117647057419</v>
      </c>
      <c r="D2043" s="1">
        <f t="shared" si="252"/>
        <v>1</v>
      </c>
      <c r="E2043" s="1">
        <f t="shared" ref="E2043:E2106" si="255">IF(D2043=1,0,1)</f>
        <v>0</v>
      </c>
      <c r="F2043" s="31">
        <f t="shared" si="253"/>
        <v>14.6</v>
      </c>
      <c r="G2043" s="31">
        <f t="shared" ca="1" si="249"/>
        <v>14.6</v>
      </c>
      <c r="H2043" s="30">
        <f t="shared" ca="1" si="250"/>
        <v>0</v>
      </c>
      <c r="I2043" s="31">
        <f t="shared" ca="1" si="251"/>
        <v>14.6</v>
      </c>
      <c r="Q2043" s="80"/>
      <c r="R2043" s="42"/>
      <c r="S2043" s="90">
        <f t="shared" ref="S2043:S2106" si="256">S2042+(B2042 / RTC_to_seconds)</f>
        <v>198.49999999999301</v>
      </c>
      <c r="T2043" s="42"/>
      <c r="U2043" s="42"/>
      <c r="V2043" s="42"/>
      <c r="W2043" s="42"/>
      <c r="X2043" s="81"/>
    </row>
    <row r="2044" spans="2:24" x14ac:dyDescent="0.25">
      <c r="B2044" s="2">
        <v>1</v>
      </c>
      <c r="C2044" s="1">
        <f t="shared" si="254"/>
        <v>9.5294117647057419</v>
      </c>
      <c r="D2044" s="1">
        <f t="shared" si="252"/>
        <v>1</v>
      </c>
      <c r="E2044" s="1">
        <f t="shared" si="255"/>
        <v>0</v>
      </c>
      <c r="F2044" s="31">
        <f t="shared" si="253"/>
        <v>14.6</v>
      </c>
      <c r="G2044" s="31">
        <f t="shared" ca="1" si="249"/>
        <v>14.6</v>
      </c>
      <c r="H2044" s="30">
        <f t="shared" ca="1" si="250"/>
        <v>0</v>
      </c>
      <c r="I2044" s="31">
        <f t="shared" ca="1" si="251"/>
        <v>14.6</v>
      </c>
      <c r="Q2044" s="80"/>
      <c r="R2044" s="42"/>
      <c r="S2044" s="90">
        <f t="shared" si="256"/>
        <v>198.599999999993</v>
      </c>
      <c r="T2044" s="42"/>
      <c r="U2044" s="42"/>
      <c r="V2044" s="42"/>
      <c r="W2044" s="42"/>
      <c r="X2044" s="81"/>
    </row>
    <row r="2045" spans="2:24" x14ac:dyDescent="0.25">
      <c r="B2045" s="2">
        <v>1</v>
      </c>
      <c r="C2045" s="1">
        <f t="shared" si="254"/>
        <v>10.529411764705742</v>
      </c>
      <c r="D2045" s="1">
        <f t="shared" si="252"/>
        <v>1</v>
      </c>
      <c r="E2045" s="1">
        <f t="shared" si="255"/>
        <v>0</v>
      </c>
      <c r="F2045" s="31">
        <f t="shared" si="253"/>
        <v>14.6</v>
      </c>
      <c r="G2045" s="31">
        <f t="shared" ca="1" si="249"/>
        <v>14.6</v>
      </c>
      <c r="H2045" s="30">
        <f t="shared" ca="1" si="250"/>
        <v>0</v>
      </c>
      <c r="I2045" s="31">
        <f t="shared" ca="1" si="251"/>
        <v>14.6</v>
      </c>
      <c r="Q2045" s="80"/>
      <c r="R2045" s="42"/>
      <c r="S2045" s="90">
        <f t="shared" si="256"/>
        <v>198.699999999993</v>
      </c>
      <c r="T2045" s="42"/>
      <c r="U2045" s="42"/>
      <c r="V2045" s="42"/>
      <c r="W2045" s="42"/>
      <c r="X2045" s="81"/>
    </row>
    <row r="2046" spans="2:24" x14ac:dyDescent="0.25">
      <c r="B2046" s="2">
        <v>1</v>
      </c>
      <c r="C2046" s="1">
        <f t="shared" si="254"/>
        <v>11.529411764705742</v>
      </c>
      <c r="D2046" s="1">
        <f t="shared" si="252"/>
        <v>1</v>
      </c>
      <c r="E2046" s="1">
        <f t="shared" si="255"/>
        <v>0</v>
      </c>
      <c r="F2046" s="31">
        <f t="shared" si="253"/>
        <v>14.6</v>
      </c>
      <c r="G2046" s="31">
        <f t="shared" ca="1" si="249"/>
        <v>14.6</v>
      </c>
      <c r="H2046" s="30">
        <f t="shared" ca="1" si="250"/>
        <v>0</v>
      </c>
      <c r="I2046" s="31">
        <f t="shared" ca="1" si="251"/>
        <v>14.6</v>
      </c>
      <c r="Q2046" s="80"/>
      <c r="R2046" s="42"/>
      <c r="S2046" s="90">
        <f t="shared" si="256"/>
        <v>198.79999999999299</v>
      </c>
      <c r="T2046" s="42"/>
      <c r="U2046" s="42"/>
      <c r="V2046" s="42"/>
      <c r="W2046" s="42"/>
      <c r="X2046" s="81"/>
    </row>
    <row r="2047" spans="2:24" x14ac:dyDescent="0.25">
      <c r="B2047" s="2">
        <v>1</v>
      </c>
      <c r="C2047" s="1">
        <f t="shared" si="254"/>
        <v>12.529411764705742</v>
      </c>
      <c r="D2047" s="1">
        <f t="shared" si="252"/>
        <v>1</v>
      </c>
      <c r="E2047" s="1">
        <f t="shared" si="255"/>
        <v>0</v>
      </c>
      <c r="F2047" s="31">
        <f t="shared" si="253"/>
        <v>14.6</v>
      </c>
      <c r="G2047" s="31">
        <f t="shared" ca="1" si="249"/>
        <v>14.6</v>
      </c>
      <c r="H2047" s="30">
        <f t="shared" ca="1" si="250"/>
        <v>0</v>
      </c>
      <c r="I2047" s="31">
        <f t="shared" ca="1" si="251"/>
        <v>14.6</v>
      </c>
      <c r="Q2047" s="80"/>
      <c r="R2047" s="42"/>
      <c r="S2047" s="90">
        <f t="shared" si="256"/>
        <v>198.89999999999299</v>
      </c>
      <c r="T2047" s="42"/>
      <c r="U2047" s="42"/>
      <c r="V2047" s="42"/>
      <c r="W2047" s="42"/>
      <c r="X2047" s="81"/>
    </row>
    <row r="2048" spans="2:24" x14ac:dyDescent="0.25">
      <c r="B2048" s="2">
        <v>1</v>
      </c>
      <c r="C2048" s="1">
        <f t="shared" si="254"/>
        <v>13.529411764705742</v>
      </c>
      <c r="D2048" s="1">
        <f t="shared" si="252"/>
        <v>1</v>
      </c>
      <c r="E2048" s="1">
        <f t="shared" si="255"/>
        <v>0</v>
      </c>
      <c r="F2048" s="31">
        <f t="shared" si="253"/>
        <v>14.6</v>
      </c>
      <c r="G2048" s="31">
        <f t="shared" ca="1" si="249"/>
        <v>14.6</v>
      </c>
      <c r="H2048" s="30">
        <f t="shared" ca="1" si="250"/>
        <v>0</v>
      </c>
      <c r="I2048" s="31">
        <f t="shared" ca="1" si="251"/>
        <v>14.6</v>
      </c>
      <c r="Q2048" s="80"/>
      <c r="R2048" s="42"/>
      <c r="S2048" s="90">
        <f t="shared" si="256"/>
        <v>198.99999999999298</v>
      </c>
      <c r="T2048" s="42"/>
      <c r="U2048" s="42"/>
      <c r="V2048" s="42"/>
      <c r="W2048" s="42"/>
      <c r="X2048" s="81"/>
    </row>
    <row r="2049" spans="2:24" x14ac:dyDescent="0.25">
      <c r="B2049" s="2">
        <v>1</v>
      </c>
      <c r="C2049" s="1">
        <f t="shared" si="254"/>
        <v>14.529411764705742</v>
      </c>
      <c r="D2049" s="1">
        <f t="shared" si="252"/>
        <v>1</v>
      </c>
      <c r="E2049" s="1">
        <f t="shared" si="255"/>
        <v>0</v>
      </c>
      <c r="F2049" s="31">
        <f t="shared" si="253"/>
        <v>14.6</v>
      </c>
      <c r="G2049" s="31">
        <f t="shared" ca="1" si="249"/>
        <v>14.6</v>
      </c>
      <c r="H2049" s="30">
        <f t="shared" ca="1" si="250"/>
        <v>0</v>
      </c>
      <c r="I2049" s="31">
        <f t="shared" ca="1" si="251"/>
        <v>14.6</v>
      </c>
      <c r="Q2049" s="80"/>
      <c r="R2049" s="42"/>
      <c r="S2049" s="90">
        <f t="shared" si="256"/>
        <v>199.09999999999297</v>
      </c>
      <c r="T2049" s="42"/>
      <c r="U2049" s="42"/>
      <c r="V2049" s="42"/>
      <c r="W2049" s="42"/>
      <c r="X2049" s="81"/>
    </row>
    <row r="2050" spans="2:24" x14ac:dyDescent="0.25">
      <c r="B2050" s="2">
        <v>1</v>
      </c>
      <c r="C2050" s="1">
        <f t="shared" si="254"/>
        <v>15.529411764705742</v>
      </c>
      <c r="D2050" s="1">
        <f t="shared" si="252"/>
        <v>1</v>
      </c>
      <c r="E2050" s="1">
        <f t="shared" si="255"/>
        <v>0</v>
      </c>
      <c r="F2050" s="31">
        <f t="shared" si="253"/>
        <v>14.6</v>
      </c>
      <c r="G2050" s="31">
        <f t="shared" ca="1" si="249"/>
        <v>14.6</v>
      </c>
      <c r="H2050" s="30">
        <f t="shared" ca="1" si="250"/>
        <v>0</v>
      </c>
      <c r="I2050" s="31">
        <f t="shared" ca="1" si="251"/>
        <v>14.6</v>
      </c>
      <c r="Q2050" s="80"/>
      <c r="R2050" s="42"/>
      <c r="S2050" s="90">
        <f t="shared" si="256"/>
        <v>199.19999999999297</v>
      </c>
      <c r="T2050" s="42"/>
      <c r="U2050" s="42"/>
      <c r="V2050" s="42"/>
      <c r="W2050" s="42"/>
      <c r="X2050" s="81"/>
    </row>
    <row r="2051" spans="2:24" x14ac:dyDescent="0.25">
      <c r="B2051" s="2">
        <v>1</v>
      </c>
      <c r="C2051" s="1">
        <f t="shared" si="254"/>
        <v>16.529411764705742</v>
      </c>
      <c r="D2051" s="1">
        <f t="shared" si="252"/>
        <v>1</v>
      </c>
      <c r="E2051" s="1">
        <f t="shared" si="255"/>
        <v>0</v>
      </c>
      <c r="F2051" s="31">
        <f t="shared" si="253"/>
        <v>14.6</v>
      </c>
      <c r="G2051" s="31">
        <f t="shared" ca="1" si="249"/>
        <v>14.6</v>
      </c>
      <c r="H2051" s="30">
        <f t="shared" ca="1" si="250"/>
        <v>0</v>
      </c>
      <c r="I2051" s="31">
        <f t="shared" ca="1" si="251"/>
        <v>14.6</v>
      </c>
      <c r="Q2051" s="80"/>
      <c r="R2051" s="42"/>
      <c r="S2051" s="90">
        <f t="shared" si="256"/>
        <v>199.29999999999296</v>
      </c>
      <c r="T2051" s="42"/>
      <c r="U2051" s="42"/>
      <c r="V2051" s="42"/>
      <c r="W2051" s="42"/>
      <c r="X2051" s="81"/>
    </row>
    <row r="2052" spans="2:24" x14ac:dyDescent="0.25">
      <c r="B2052" s="2">
        <v>1</v>
      </c>
      <c r="C2052" s="1">
        <f t="shared" si="254"/>
        <v>17.529411764705742</v>
      </c>
      <c r="D2052" s="1">
        <f t="shared" si="252"/>
        <v>1</v>
      </c>
      <c r="E2052" s="1">
        <f t="shared" si="255"/>
        <v>0</v>
      </c>
      <c r="F2052" s="31">
        <f t="shared" si="253"/>
        <v>14.6</v>
      </c>
      <c r="G2052" s="31">
        <f t="shared" ca="1" si="249"/>
        <v>14.6</v>
      </c>
      <c r="H2052" s="30">
        <f t="shared" ca="1" si="250"/>
        <v>0</v>
      </c>
      <c r="I2052" s="31">
        <f t="shared" ca="1" si="251"/>
        <v>14.6</v>
      </c>
      <c r="Q2052" s="80"/>
      <c r="R2052" s="42"/>
      <c r="S2052" s="90">
        <f t="shared" si="256"/>
        <v>199.39999999999296</v>
      </c>
      <c r="T2052" s="42"/>
      <c r="U2052" s="42"/>
      <c r="V2052" s="42"/>
      <c r="W2052" s="42"/>
      <c r="X2052" s="81"/>
    </row>
    <row r="2053" spans="2:24" x14ac:dyDescent="0.25">
      <c r="B2053" s="2">
        <v>1</v>
      </c>
      <c r="C2053" s="1">
        <f t="shared" si="254"/>
        <v>18.529411764705742</v>
      </c>
      <c r="D2053" s="1">
        <f t="shared" si="252"/>
        <v>1</v>
      </c>
      <c r="E2053" s="1">
        <f t="shared" si="255"/>
        <v>0</v>
      </c>
      <c r="F2053" s="31">
        <f t="shared" si="253"/>
        <v>14.6</v>
      </c>
      <c r="G2053" s="31">
        <f t="shared" ca="1" si="249"/>
        <v>14.6</v>
      </c>
      <c r="H2053" s="30">
        <f t="shared" ca="1" si="250"/>
        <v>0</v>
      </c>
      <c r="I2053" s="31">
        <f t="shared" ca="1" si="251"/>
        <v>14.6</v>
      </c>
      <c r="Q2053" s="80"/>
      <c r="R2053" s="42"/>
      <c r="S2053" s="90">
        <f t="shared" si="256"/>
        <v>199.49999999999295</v>
      </c>
      <c r="T2053" s="42"/>
      <c r="U2053" s="42"/>
      <c r="V2053" s="42"/>
      <c r="W2053" s="42"/>
      <c r="X2053" s="81"/>
    </row>
    <row r="2054" spans="2:24" x14ac:dyDescent="0.25">
      <c r="B2054" s="2">
        <v>1</v>
      </c>
      <c r="C2054" s="1">
        <f t="shared" si="254"/>
        <v>19.529411764705742</v>
      </c>
      <c r="D2054" s="1">
        <f t="shared" si="252"/>
        <v>1</v>
      </c>
      <c r="E2054" s="1">
        <f t="shared" si="255"/>
        <v>0</v>
      </c>
      <c r="F2054" s="31">
        <f t="shared" si="253"/>
        <v>14.6</v>
      </c>
      <c r="G2054" s="31">
        <f t="shared" ca="1" si="249"/>
        <v>14.6</v>
      </c>
      <c r="H2054" s="30">
        <f t="shared" ca="1" si="250"/>
        <v>0</v>
      </c>
      <c r="I2054" s="31">
        <f t="shared" ca="1" si="251"/>
        <v>14.6</v>
      </c>
      <c r="Q2054" s="80"/>
      <c r="R2054" s="42"/>
      <c r="S2054" s="90">
        <f t="shared" si="256"/>
        <v>199.59999999999295</v>
      </c>
      <c r="T2054" s="42"/>
      <c r="U2054" s="42"/>
      <c r="V2054" s="42"/>
      <c r="W2054" s="42"/>
      <c r="X2054" s="81"/>
    </row>
    <row r="2055" spans="2:24" x14ac:dyDescent="0.25">
      <c r="B2055" s="2">
        <v>1</v>
      </c>
      <c r="C2055" s="1">
        <f t="shared" si="254"/>
        <v>20.529411764705742</v>
      </c>
      <c r="D2055" s="1">
        <f t="shared" si="252"/>
        <v>1</v>
      </c>
      <c r="E2055" s="1">
        <f t="shared" si="255"/>
        <v>0</v>
      </c>
      <c r="F2055" s="31">
        <f t="shared" si="253"/>
        <v>14.6</v>
      </c>
      <c r="G2055" s="31">
        <f t="shared" ca="1" si="249"/>
        <v>14.6</v>
      </c>
      <c r="H2055" s="30">
        <f t="shared" ca="1" si="250"/>
        <v>0</v>
      </c>
      <c r="I2055" s="31">
        <f t="shared" ca="1" si="251"/>
        <v>14.6</v>
      </c>
      <c r="Q2055" s="80"/>
      <c r="R2055" s="42"/>
      <c r="S2055" s="90">
        <f t="shared" si="256"/>
        <v>199.69999999999294</v>
      </c>
      <c r="T2055" s="42"/>
      <c r="U2055" s="42"/>
      <c r="V2055" s="42"/>
      <c r="W2055" s="42"/>
      <c r="X2055" s="81"/>
    </row>
    <row r="2056" spans="2:24" x14ac:dyDescent="0.25">
      <c r="B2056" s="2">
        <v>1</v>
      </c>
      <c r="C2056" s="1">
        <f t="shared" si="254"/>
        <v>21.529411764705742</v>
      </c>
      <c r="D2056" s="1">
        <f t="shared" si="252"/>
        <v>1</v>
      </c>
      <c r="E2056" s="1">
        <f t="shared" si="255"/>
        <v>0</v>
      </c>
      <c r="F2056" s="31">
        <f t="shared" si="253"/>
        <v>14.6</v>
      </c>
      <c r="G2056" s="31">
        <f t="shared" ca="1" si="249"/>
        <v>14.6</v>
      </c>
      <c r="H2056" s="30">
        <f t="shared" ca="1" si="250"/>
        <v>0</v>
      </c>
      <c r="I2056" s="31">
        <f t="shared" ca="1" si="251"/>
        <v>14.6</v>
      </c>
      <c r="Q2056" s="80"/>
      <c r="R2056" s="42"/>
      <c r="S2056" s="90">
        <f t="shared" si="256"/>
        <v>199.79999999999293</v>
      </c>
      <c r="T2056" s="42"/>
      <c r="U2056" s="42"/>
      <c r="V2056" s="42"/>
      <c r="W2056" s="42"/>
      <c r="X2056" s="81"/>
    </row>
    <row r="2057" spans="2:24" x14ac:dyDescent="0.25">
      <c r="B2057" s="2">
        <v>1</v>
      </c>
      <c r="C2057" s="1">
        <f t="shared" si="254"/>
        <v>22.529411764705742</v>
      </c>
      <c r="D2057" s="1">
        <f t="shared" si="252"/>
        <v>1</v>
      </c>
      <c r="E2057" s="1">
        <f t="shared" si="255"/>
        <v>0</v>
      </c>
      <c r="F2057" s="31">
        <f t="shared" si="253"/>
        <v>14.6</v>
      </c>
      <c r="G2057" s="31">
        <f t="shared" ca="1" si="249"/>
        <v>14.6</v>
      </c>
      <c r="H2057" s="30">
        <f t="shared" ca="1" si="250"/>
        <v>0</v>
      </c>
      <c r="I2057" s="31">
        <f t="shared" ca="1" si="251"/>
        <v>14.6</v>
      </c>
      <c r="Q2057" s="80"/>
      <c r="R2057" s="42"/>
      <c r="S2057" s="90">
        <f t="shared" si="256"/>
        <v>199.89999999999293</v>
      </c>
      <c r="T2057" s="42"/>
      <c r="U2057" s="42"/>
      <c r="V2057" s="42"/>
      <c r="W2057" s="42"/>
      <c r="X2057" s="81"/>
    </row>
    <row r="2058" spans="2:24" x14ac:dyDescent="0.25">
      <c r="B2058" s="2">
        <v>1</v>
      </c>
      <c r="C2058" s="1">
        <f t="shared" si="254"/>
        <v>23.529411764705742</v>
      </c>
      <c r="D2058" s="1">
        <f t="shared" si="252"/>
        <v>0</v>
      </c>
      <c r="E2058" s="1">
        <f t="shared" si="255"/>
        <v>1</v>
      </c>
      <c r="F2058" s="31">
        <f t="shared" si="253"/>
        <v>6.4</v>
      </c>
      <c r="G2058" s="31">
        <f t="shared" ca="1" si="249"/>
        <v>0</v>
      </c>
      <c r="H2058" s="30">
        <f t="shared" ca="1" si="250"/>
        <v>14.6</v>
      </c>
      <c r="I2058" s="31">
        <f t="shared" ca="1" si="251"/>
        <v>14.6</v>
      </c>
      <c r="Q2058" s="80"/>
      <c r="R2058" s="42"/>
      <c r="S2058" s="90">
        <f t="shared" si="256"/>
        <v>199.99999999999292</v>
      </c>
      <c r="T2058" s="42"/>
      <c r="U2058" s="42"/>
      <c r="V2058" s="42"/>
      <c r="W2058" s="42"/>
      <c r="X2058" s="81"/>
    </row>
    <row r="2059" spans="2:24" x14ac:dyDescent="0.25">
      <c r="B2059" s="2">
        <v>1</v>
      </c>
      <c r="C2059" s="1">
        <f t="shared" si="254"/>
        <v>24.529411764705742</v>
      </c>
      <c r="D2059" s="1">
        <f t="shared" si="252"/>
        <v>0</v>
      </c>
      <c r="E2059" s="1">
        <f t="shared" si="255"/>
        <v>1</v>
      </c>
      <c r="F2059" s="31">
        <f t="shared" si="253"/>
        <v>6.4</v>
      </c>
      <c r="G2059" s="31">
        <f t="shared" ref="G2059:G2118" ca="1" si="257">IF(D2059=1, AVERAGE(OFFSET(F2059,-$L$27,0,$L$27,1)),0)</f>
        <v>0</v>
      </c>
      <c r="H2059" s="30">
        <f t="shared" ref="H2059:H2118" ca="1" si="258">IF(D2059=0, AVERAGE(OFFSET(F2059,-$L$28,0,$L$28,1)),0)</f>
        <v>6.4</v>
      </c>
      <c r="I2059" s="31">
        <f t="shared" ref="I2059:I2118" ca="1" si="259">G2059+H2059</f>
        <v>6.4</v>
      </c>
      <c r="Q2059" s="80"/>
      <c r="R2059" s="42"/>
      <c r="S2059" s="90">
        <f t="shared" si="256"/>
        <v>200.09999999999292</v>
      </c>
      <c r="T2059" s="42"/>
      <c r="U2059" s="42"/>
      <c r="V2059" s="42"/>
      <c r="W2059" s="42"/>
      <c r="X2059" s="81"/>
    </row>
    <row r="2060" spans="2:24" x14ac:dyDescent="0.25">
      <c r="B2060" s="2">
        <v>1</v>
      </c>
      <c r="C2060" s="1">
        <f t="shared" si="254"/>
        <v>25.529411764705742</v>
      </c>
      <c r="D2060" s="1">
        <f t="shared" si="252"/>
        <v>0</v>
      </c>
      <c r="E2060" s="1">
        <f t="shared" si="255"/>
        <v>1</v>
      </c>
      <c r="F2060" s="31">
        <f t="shared" si="253"/>
        <v>6.4</v>
      </c>
      <c r="G2060" s="31">
        <f t="shared" ca="1" si="257"/>
        <v>0</v>
      </c>
      <c r="H2060" s="30">
        <f t="shared" ca="1" si="258"/>
        <v>6.4</v>
      </c>
      <c r="I2060" s="31">
        <f t="shared" ca="1" si="259"/>
        <v>6.4</v>
      </c>
      <c r="Q2060" s="80"/>
      <c r="R2060" s="42"/>
      <c r="S2060" s="90">
        <f t="shared" si="256"/>
        <v>200.19999999999291</v>
      </c>
      <c r="T2060" s="42"/>
      <c r="U2060" s="42"/>
      <c r="V2060" s="42"/>
      <c r="W2060" s="42"/>
      <c r="X2060" s="81"/>
    </row>
    <row r="2061" spans="2:24" x14ac:dyDescent="0.25">
      <c r="B2061" s="2">
        <v>1</v>
      </c>
      <c r="C2061" s="1">
        <f t="shared" si="254"/>
        <v>26.529411764705742</v>
      </c>
      <c r="D2061" s="1">
        <f t="shared" si="252"/>
        <v>0</v>
      </c>
      <c r="E2061" s="1">
        <f t="shared" si="255"/>
        <v>1</v>
      </c>
      <c r="F2061" s="31">
        <f t="shared" si="253"/>
        <v>6.4</v>
      </c>
      <c r="G2061" s="31">
        <f t="shared" ca="1" si="257"/>
        <v>0</v>
      </c>
      <c r="H2061" s="30">
        <f t="shared" ca="1" si="258"/>
        <v>6.4</v>
      </c>
      <c r="I2061" s="31">
        <f t="shared" ca="1" si="259"/>
        <v>6.4</v>
      </c>
      <c r="Q2061" s="80"/>
      <c r="R2061" s="42"/>
      <c r="S2061" s="90">
        <f t="shared" si="256"/>
        <v>200.29999999999291</v>
      </c>
      <c r="T2061" s="42"/>
      <c r="U2061" s="42"/>
      <c r="V2061" s="42"/>
      <c r="W2061" s="42"/>
      <c r="X2061" s="81"/>
    </row>
    <row r="2062" spans="2:24" x14ac:dyDescent="0.25">
      <c r="B2062" s="2">
        <v>1</v>
      </c>
      <c r="C2062" s="1">
        <f t="shared" si="254"/>
        <v>27.529411764705742</v>
      </c>
      <c r="D2062" s="1">
        <f t="shared" si="252"/>
        <v>0</v>
      </c>
      <c r="E2062" s="1">
        <f t="shared" si="255"/>
        <v>1</v>
      </c>
      <c r="F2062" s="31">
        <f t="shared" si="253"/>
        <v>6.4</v>
      </c>
      <c r="G2062" s="31">
        <f t="shared" ca="1" si="257"/>
        <v>0</v>
      </c>
      <c r="H2062" s="30">
        <f t="shared" ca="1" si="258"/>
        <v>6.4</v>
      </c>
      <c r="I2062" s="31">
        <f t="shared" ca="1" si="259"/>
        <v>6.4</v>
      </c>
      <c r="Q2062" s="80"/>
      <c r="R2062" s="42"/>
      <c r="S2062" s="90">
        <f t="shared" si="256"/>
        <v>200.3999999999929</v>
      </c>
      <c r="T2062" s="42"/>
      <c r="U2062" s="42"/>
      <c r="V2062" s="42"/>
      <c r="W2062" s="42"/>
      <c r="X2062" s="81"/>
    </row>
    <row r="2063" spans="2:24" x14ac:dyDescent="0.25">
      <c r="B2063" s="2">
        <v>1</v>
      </c>
      <c r="C2063" s="1">
        <f t="shared" si="254"/>
        <v>28.529411764705742</v>
      </c>
      <c r="D2063" s="1">
        <f t="shared" si="252"/>
        <v>0</v>
      </c>
      <c r="E2063" s="1">
        <f t="shared" si="255"/>
        <v>1</v>
      </c>
      <c r="F2063" s="31">
        <f t="shared" si="253"/>
        <v>6.4</v>
      </c>
      <c r="G2063" s="31">
        <f t="shared" ca="1" si="257"/>
        <v>0</v>
      </c>
      <c r="H2063" s="30">
        <f t="shared" ca="1" si="258"/>
        <v>6.4</v>
      </c>
      <c r="I2063" s="31">
        <f t="shared" ca="1" si="259"/>
        <v>6.4</v>
      </c>
      <c r="Q2063" s="80"/>
      <c r="R2063" s="42"/>
      <c r="S2063" s="90">
        <f t="shared" si="256"/>
        <v>200.49999999999289</v>
      </c>
      <c r="T2063" s="42"/>
      <c r="U2063" s="42"/>
      <c r="V2063" s="42"/>
      <c r="W2063" s="42"/>
      <c r="X2063" s="81"/>
    </row>
    <row r="2064" spans="2:24" x14ac:dyDescent="0.25">
      <c r="B2064" s="2">
        <v>1</v>
      </c>
      <c r="C2064" s="1">
        <f t="shared" si="254"/>
        <v>29.529411764705742</v>
      </c>
      <c r="D2064" s="1">
        <f t="shared" si="252"/>
        <v>0</v>
      </c>
      <c r="E2064" s="1">
        <f t="shared" si="255"/>
        <v>1</v>
      </c>
      <c r="F2064" s="31">
        <f t="shared" si="253"/>
        <v>6.4</v>
      </c>
      <c r="G2064" s="31">
        <f t="shared" ca="1" si="257"/>
        <v>0</v>
      </c>
      <c r="H2064" s="30">
        <f t="shared" ca="1" si="258"/>
        <v>6.4</v>
      </c>
      <c r="I2064" s="31">
        <f t="shared" ca="1" si="259"/>
        <v>6.4</v>
      </c>
      <c r="Q2064" s="80"/>
      <c r="R2064" s="42"/>
      <c r="S2064" s="90">
        <f t="shared" si="256"/>
        <v>200.59999999999289</v>
      </c>
      <c r="T2064" s="42"/>
      <c r="U2064" s="42"/>
      <c r="V2064" s="42"/>
      <c r="W2064" s="42"/>
      <c r="X2064" s="81"/>
    </row>
    <row r="2065" spans="2:24" x14ac:dyDescent="0.25">
      <c r="B2065" s="2">
        <v>1</v>
      </c>
      <c r="C2065" s="1">
        <f t="shared" si="254"/>
        <v>30.529411764705742</v>
      </c>
      <c r="D2065" s="1">
        <f t="shared" si="252"/>
        <v>0</v>
      </c>
      <c r="E2065" s="1">
        <f t="shared" si="255"/>
        <v>1</v>
      </c>
      <c r="F2065" s="31">
        <f t="shared" si="253"/>
        <v>6.4</v>
      </c>
      <c r="G2065" s="31">
        <f t="shared" ca="1" si="257"/>
        <v>0</v>
      </c>
      <c r="H2065" s="30">
        <f t="shared" ca="1" si="258"/>
        <v>6.4</v>
      </c>
      <c r="I2065" s="31">
        <f t="shared" ca="1" si="259"/>
        <v>6.4</v>
      </c>
      <c r="Q2065" s="80"/>
      <c r="R2065" s="42"/>
      <c r="S2065" s="90">
        <f t="shared" si="256"/>
        <v>200.69999999999288</v>
      </c>
      <c r="T2065" s="42"/>
      <c r="U2065" s="42"/>
      <c r="V2065" s="42"/>
      <c r="W2065" s="42"/>
      <c r="X2065" s="81"/>
    </row>
    <row r="2066" spans="2:24" x14ac:dyDescent="0.25">
      <c r="B2066" s="2">
        <v>1</v>
      </c>
      <c r="C2066" s="1">
        <f t="shared" si="254"/>
        <v>31.529411764705742</v>
      </c>
      <c r="D2066" s="1">
        <f t="shared" si="252"/>
        <v>0</v>
      </c>
      <c r="E2066" s="1">
        <f t="shared" si="255"/>
        <v>1</v>
      </c>
      <c r="F2066" s="31">
        <f t="shared" si="253"/>
        <v>6.4</v>
      </c>
      <c r="G2066" s="31">
        <f t="shared" ca="1" si="257"/>
        <v>0</v>
      </c>
      <c r="H2066" s="30">
        <f t="shared" ca="1" si="258"/>
        <v>6.4</v>
      </c>
      <c r="I2066" s="31">
        <f t="shared" ca="1" si="259"/>
        <v>6.4</v>
      </c>
      <c r="Q2066" s="80"/>
      <c r="R2066" s="42"/>
      <c r="S2066" s="90">
        <f t="shared" si="256"/>
        <v>200.79999999999288</v>
      </c>
      <c r="T2066" s="42"/>
      <c r="U2066" s="42"/>
      <c r="V2066" s="42"/>
      <c r="W2066" s="42"/>
      <c r="X2066" s="81"/>
    </row>
    <row r="2067" spans="2:24" x14ac:dyDescent="0.25">
      <c r="B2067" s="2">
        <v>1</v>
      </c>
      <c r="C2067" s="1">
        <f t="shared" si="254"/>
        <v>32.529411764705742</v>
      </c>
      <c r="D2067" s="1">
        <f t="shared" si="252"/>
        <v>0</v>
      </c>
      <c r="E2067" s="1">
        <f t="shared" si="255"/>
        <v>1</v>
      </c>
      <c r="F2067" s="31">
        <f t="shared" si="253"/>
        <v>6.4</v>
      </c>
      <c r="G2067" s="31">
        <f t="shared" ca="1" si="257"/>
        <v>0</v>
      </c>
      <c r="H2067" s="30">
        <f t="shared" ca="1" si="258"/>
        <v>6.4</v>
      </c>
      <c r="I2067" s="31">
        <f t="shared" ca="1" si="259"/>
        <v>6.4</v>
      </c>
      <c r="Q2067" s="80"/>
      <c r="R2067" s="42"/>
      <c r="S2067" s="90">
        <f t="shared" si="256"/>
        <v>200.89999999999287</v>
      </c>
      <c r="T2067" s="42"/>
      <c r="U2067" s="42"/>
      <c r="V2067" s="42"/>
      <c r="W2067" s="42"/>
      <c r="X2067" s="81"/>
    </row>
    <row r="2068" spans="2:24" x14ac:dyDescent="0.25">
      <c r="B2068" s="2">
        <v>1</v>
      </c>
      <c r="C2068" s="1">
        <f t="shared" si="254"/>
        <v>33.529411764705742</v>
      </c>
      <c r="D2068" s="1">
        <f t="shared" si="252"/>
        <v>0</v>
      </c>
      <c r="E2068" s="1">
        <f t="shared" si="255"/>
        <v>1</v>
      </c>
      <c r="F2068" s="31">
        <f t="shared" si="253"/>
        <v>6.4</v>
      </c>
      <c r="G2068" s="31">
        <f t="shared" ca="1" si="257"/>
        <v>0</v>
      </c>
      <c r="H2068" s="30">
        <f t="shared" ca="1" si="258"/>
        <v>6.4</v>
      </c>
      <c r="I2068" s="31">
        <f t="shared" ca="1" si="259"/>
        <v>6.4</v>
      </c>
      <c r="Q2068" s="80"/>
      <c r="R2068" s="42"/>
      <c r="S2068" s="90">
        <f t="shared" si="256"/>
        <v>200.99999999999287</v>
      </c>
      <c r="T2068" s="42"/>
      <c r="U2068" s="42"/>
      <c r="V2068" s="42"/>
      <c r="W2068" s="42"/>
      <c r="X2068" s="81"/>
    </row>
    <row r="2069" spans="2:24" x14ac:dyDescent="0.25">
      <c r="B2069" s="2">
        <v>1</v>
      </c>
      <c r="C2069" s="1">
        <f t="shared" si="254"/>
        <v>34.529411764705742</v>
      </c>
      <c r="D2069" s="1">
        <f t="shared" si="252"/>
        <v>0</v>
      </c>
      <c r="E2069" s="1">
        <f t="shared" si="255"/>
        <v>1</v>
      </c>
      <c r="F2069" s="31">
        <f t="shared" si="253"/>
        <v>6.4</v>
      </c>
      <c r="G2069" s="31">
        <f t="shared" ca="1" si="257"/>
        <v>0</v>
      </c>
      <c r="H2069" s="30">
        <f t="shared" ca="1" si="258"/>
        <v>6.4</v>
      </c>
      <c r="I2069" s="31">
        <f t="shared" ca="1" si="259"/>
        <v>6.4</v>
      </c>
      <c r="Q2069" s="80"/>
      <c r="R2069" s="42"/>
      <c r="S2069" s="90">
        <f t="shared" si="256"/>
        <v>201.09999999999286</v>
      </c>
      <c r="T2069" s="42"/>
      <c r="U2069" s="42"/>
      <c r="V2069" s="42"/>
      <c r="W2069" s="42"/>
      <c r="X2069" s="81"/>
    </row>
    <row r="2070" spans="2:24" x14ac:dyDescent="0.25">
      <c r="B2070" s="2">
        <v>1</v>
      </c>
      <c r="C2070" s="1">
        <f t="shared" si="254"/>
        <v>0.23529411764691588</v>
      </c>
      <c r="D2070" s="1">
        <f t="shared" si="252"/>
        <v>1</v>
      </c>
      <c r="E2070" s="1">
        <f t="shared" si="255"/>
        <v>0</v>
      </c>
      <c r="F2070" s="31">
        <f t="shared" si="253"/>
        <v>14.6</v>
      </c>
      <c r="G2070" s="31">
        <f t="shared" ca="1" si="257"/>
        <v>6.4</v>
      </c>
      <c r="H2070" s="30">
        <f t="shared" ca="1" si="258"/>
        <v>0</v>
      </c>
      <c r="I2070" s="31">
        <f t="shared" ca="1" si="259"/>
        <v>6.4</v>
      </c>
      <c r="Q2070" s="80"/>
      <c r="R2070" s="42"/>
      <c r="S2070" s="90">
        <f t="shared" si="256"/>
        <v>201.19999999999285</v>
      </c>
      <c r="T2070" s="42"/>
      <c r="U2070" s="42"/>
      <c r="V2070" s="42"/>
      <c r="W2070" s="42"/>
      <c r="X2070" s="81"/>
    </row>
    <row r="2071" spans="2:24" x14ac:dyDescent="0.25">
      <c r="B2071" s="2">
        <v>1</v>
      </c>
      <c r="C2071" s="1">
        <f t="shared" si="254"/>
        <v>1.2352941176469159</v>
      </c>
      <c r="D2071" s="1">
        <f t="shared" si="252"/>
        <v>1</v>
      </c>
      <c r="E2071" s="1">
        <f t="shared" si="255"/>
        <v>0</v>
      </c>
      <c r="F2071" s="31">
        <f t="shared" si="253"/>
        <v>14.6</v>
      </c>
      <c r="G2071" s="31">
        <f t="shared" ca="1" si="257"/>
        <v>8.4500000000000011</v>
      </c>
      <c r="H2071" s="30">
        <f t="shared" ca="1" si="258"/>
        <v>0</v>
      </c>
      <c r="I2071" s="31">
        <f t="shared" ca="1" si="259"/>
        <v>8.4500000000000011</v>
      </c>
      <c r="Q2071" s="80"/>
      <c r="R2071" s="42"/>
      <c r="S2071" s="90">
        <f t="shared" si="256"/>
        <v>201.29999999999285</v>
      </c>
      <c r="T2071" s="42"/>
      <c r="U2071" s="42"/>
      <c r="V2071" s="42"/>
      <c r="W2071" s="42"/>
      <c r="X2071" s="81"/>
    </row>
    <row r="2072" spans="2:24" x14ac:dyDescent="0.25">
      <c r="B2072" s="2">
        <v>1</v>
      </c>
      <c r="C2072" s="1">
        <f t="shared" si="254"/>
        <v>2.2352941176469159</v>
      </c>
      <c r="D2072" s="1">
        <f t="shared" si="252"/>
        <v>1</v>
      </c>
      <c r="E2072" s="1">
        <f t="shared" si="255"/>
        <v>0</v>
      </c>
      <c r="F2072" s="31">
        <f t="shared" si="253"/>
        <v>14.6</v>
      </c>
      <c r="G2072" s="31">
        <f t="shared" ca="1" si="257"/>
        <v>10.5</v>
      </c>
      <c r="H2072" s="30">
        <f t="shared" ca="1" si="258"/>
        <v>0</v>
      </c>
      <c r="I2072" s="31">
        <f t="shared" ca="1" si="259"/>
        <v>10.5</v>
      </c>
      <c r="Q2072" s="80"/>
      <c r="R2072" s="42"/>
      <c r="S2072" s="90">
        <f t="shared" si="256"/>
        <v>201.39999999999284</v>
      </c>
      <c r="T2072" s="42"/>
      <c r="U2072" s="42"/>
      <c r="V2072" s="42"/>
      <c r="W2072" s="42"/>
      <c r="X2072" s="81"/>
    </row>
    <row r="2073" spans="2:24" x14ac:dyDescent="0.25">
      <c r="B2073" s="2">
        <v>1</v>
      </c>
      <c r="C2073" s="1">
        <f t="shared" si="254"/>
        <v>3.2352941176469159</v>
      </c>
      <c r="D2073" s="1">
        <f t="shared" si="252"/>
        <v>1</v>
      </c>
      <c r="E2073" s="1">
        <f t="shared" si="255"/>
        <v>0</v>
      </c>
      <c r="F2073" s="31">
        <f t="shared" si="253"/>
        <v>14.6</v>
      </c>
      <c r="G2073" s="31">
        <f t="shared" ca="1" si="257"/>
        <v>12.55</v>
      </c>
      <c r="H2073" s="30">
        <f t="shared" ca="1" si="258"/>
        <v>0</v>
      </c>
      <c r="I2073" s="31">
        <f t="shared" ca="1" si="259"/>
        <v>12.55</v>
      </c>
      <c r="Q2073" s="80"/>
      <c r="R2073" s="42"/>
      <c r="S2073" s="90">
        <f t="shared" si="256"/>
        <v>201.49999999999284</v>
      </c>
      <c r="T2073" s="42"/>
      <c r="U2073" s="42"/>
      <c r="V2073" s="42"/>
      <c r="W2073" s="42"/>
      <c r="X2073" s="81"/>
    </row>
    <row r="2074" spans="2:24" x14ac:dyDescent="0.25">
      <c r="B2074" s="2">
        <v>1</v>
      </c>
      <c r="C2074" s="1">
        <f t="shared" si="254"/>
        <v>4.2352941176469159</v>
      </c>
      <c r="D2074" s="1">
        <f t="shared" si="252"/>
        <v>1</v>
      </c>
      <c r="E2074" s="1">
        <f t="shared" si="255"/>
        <v>0</v>
      </c>
      <c r="F2074" s="31">
        <f t="shared" si="253"/>
        <v>14.6</v>
      </c>
      <c r="G2074" s="31">
        <f t="shared" ca="1" si="257"/>
        <v>14.6</v>
      </c>
      <c r="H2074" s="30">
        <f t="shared" ca="1" si="258"/>
        <v>0</v>
      </c>
      <c r="I2074" s="31">
        <f t="shared" ca="1" si="259"/>
        <v>14.6</v>
      </c>
      <c r="Q2074" s="80"/>
      <c r="R2074" s="42"/>
      <c r="S2074" s="90">
        <f t="shared" si="256"/>
        <v>201.59999999999283</v>
      </c>
      <c r="T2074" s="42"/>
      <c r="U2074" s="42"/>
      <c r="V2074" s="42"/>
      <c r="W2074" s="42"/>
      <c r="X2074" s="81"/>
    </row>
    <row r="2075" spans="2:24" x14ac:dyDescent="0.25">
      <c r="B2075" s="2">
        <v>1</v>
      </c>
      <c r="C2075" s="1">
        <f t="shared" si="254"/>
        <v>5.2352941176469159</v>
      </c>
      <c r="D2075" s="1">
        <f t="shared" si="252"/>
        <v>1</v>
      </c>
      <c r="E2075" s="1">
        <f t="shared" si="255"/>
        <v>0</v>
      </c>
      <c r="F2075" s="31">
        <f t="shared" si="253"/>
        <v>14.6</v>
      </c>
      <c r="G2075" s="31">
        <f t="shared" ca="1" si="257"/>
        <v>14.6</v>
      </c>
      <c r="H2075" s="30">
        <f t="shared" ca="1" si="258"/>
        <v>0</v>
      </c>
      <c r="I2075" s="31">
        <f t="shared" ca="1" si="259"/>
        <v>14.6</v>
      </c>
      <c r="Q2075" s="80"/>
      <c r="R2075" s="42"/>
      <c r="S2075" s="90">
        <f t="shared" si="256"/>
        <v>201.69999999999283</v>
      </c>
      <c r="T2075" s="42"/>
      <c r="U2075" s="42"/>
      <c r="V2075" s="42"/>
      <c r="W2075" s="42"/>
      <c r="X2075" s="81"/>
    </row>
    <row r="2076" spans="2:24" x14ac:dyDescent="0.25">
      <c r="B2076" s="2">
        <v>1</v>
      </c>
      <c r="C2076" s="1">
        <f t="shared" si="254"/>
        <v>6.2352941176469159</v>
      </c>
      <c r="D2076" s="1">
        <f t="shared" si="252"/>
        <v>1</v>
      </c>
      <c r="E2076" s="1">
        <f t="shared" si="255"/>
        <v>0</v>
      </c>
      <c r="F2076" s="31">
        <f t="shared" si="253"/>
        <v>14.6</v>
      </c>
      <c r="G2076" s="31">
        <f t="shared" ca="1" si="257"/>
        <v>14.6</v>
      </c>
      <c r="H2076" s="30">
        <f t="shared" ca="1" si="258"/>
        <v>0</v>
      </c>
      <c r="I2076" s="31">
        <f t="shared" ca="1" si="259"/>
        <v>14.6</v>
      </c>
      <c r="Q2076" s="80"/>
      <c r="R2076" s="42"/>
      <c r="S2076" s="90">
        <f t="shared" si="256"/>
        <v>201.79999999999282</v>
      </c>
      <c r="T2076" s="42"/>
      <c r="U2076" s="42"/>
      <c r="V2076" s="42"/>
      <c r="W2076" s="42"/>
      <c r="X2076" s="81"/>
    </row>
    <row r="2077" spans="2:24" x14ac:dyDescent="0.25">
      <c r="B2077" s="2">
        <v>1</v>
      </c>
      <c r="C2077" s="1">
        <f t="shared" si="254"/>
        <v>7.2352941176469159</v>
      </c>
      <c r="D2077" s="1">
        <f t="shared" si="252"/>
        <v>1</v>
      </c>
      <c r="E2077" s="1">
        <f t="shared" si="255"/>
        <v>0</v>
      </c>
      <c r="F2077" s="31">
        <f t="shared" si="253"/>
        <v>14.6</v>
      </c>
      <c r="G2077" s="31">
        <f t="shared" ca="1" si="257"/>
        <v>14.6</v>
      </c>
      <c r="H2077" s="30">
        <f t="shared" ca="1" si="258"/>
        <v>0</v>
      </c>
      <c r="I2077" s="31">
        <f t="shared" ca="1" si="259"/>
        <v>14.6</v>
      </c>
      <c r="Q2077" s="80"/>
      <c r="R2077" s="42"/>
      <c r="S2077" s="90">
        <f t="shared" si="256"/>
        <v>201.89999999999281</v>
      </c>
      <c r="T2077" s="42"/>
      <c r="U2077" s="42"/>
      <c r="V2077" s="42"/>
      <c r="W2077" s="42"/>
      <c r="X2077" s="81"/>
    </row>
    <row r="2078" spans="2:24" x14ac:dyDescent="0.25">
      <c r="B2078" s="2">
        <v>1</v>
      </c>
      <c r="C2078" s="1">
        <f t="shared" si="254"/>
        <v>8.2352941176469159</v>
      </c>
      <c r="D2078" s="1">
        <f t="shared" si="252"/>
        <v>1</v>
      </c>
      <c r="E2078" s="1">
        <f t="shared" si="255"/>
        <v>0</v>
      </c>
      <c r="F2078" s="31">
        <f t="shared" si="253"/>
        <v>14.6</v>
      </c>
      <c r="G2078" s="31">
        <f t="shared" ca="1" si="257"/>
        <v>14.6</v>
      </c>
      <c r="H2078" s="30">
        <f t="shared" ca="1" si="258"/>
        <v>0</v>
      </c>
      <c r="I2078" s="31">
        <f t="shared" ca="1" si="259"/>
        <v>14.6</v>
      </c>
      <c r="Q2078" s="80"/>
      <c r="R2078" s="42"/>
      <c r="S2078" s="90">
        <f t="shared" si="256"/>
        <v>201.99999999999281</v>
      </c>
      <c r="T2078" s="42"/>
      <c r="U2078" s="42"/>
      <c r="V2078" s="42"/>
      <c r="W2078" s="42"/>
      <c r="X2078" s="81"/>
    </row>
    <row r="2079" spans="2:24" x14ac:dyDescent="0.25">
      <c r="B2079" s="2">
        <v>1</v>
      </c>
      <c r="C2079" s="1">
        <f t="shared" si="254"/>
        <v>9.2352941176469159</v>
      </c>
      <c r="D2079" s="1">
        <f t="shared" si="252"/>
        <v>1</v>
      </c>
      <c r="E2079" s="1">
        <f t="shared" si="255"/>
        <v>0</v>
      </c>
      <c r="F2079" s="31">
        <f t="shared" si="253"/>
        <v>14.6</v>
      </c>
      <c r="G2079" s="31">
        <f t="shared" ca="1" si="257"/>
        <v>14.6</v>
      </c>
      <c r="H2079" s="30">
        <f t="shared" ca="1" si="258"/>
        <v>0</v>
      </c>
      <c r="I2079" s="31">
        <f t="shared" ca="1" si="259"/>
        <v>14.6</v>
      </c>
      <c r="Q2079" s="80"/>
      <c r="R2079" s="42"/>
      <c r="S2079" s="90">
        <f t="shared" si="256"/>
        <v>202.0999999999928</v>
      </c>
      <c r="T2079" s="42"/>
      <c r="U2079" s="42"/>
      <c r="V2079" s="42"/>
      <c r="W2079" s="42"/>
      <c r="X2079" s="81"/>
    </row>
    <row r="2080" spans="2:24" x14ac:dyDescent="0.25">
      <c r="B2080" s="2">
        <v>1</v>
      </c>
      <c r="C2080" s="1">
        <f t="shared" si="254"/>
        <v>10.235294117646916</v>
      </c>
      <c r="D2080" s="1">
        <f t="shared" si="252"/>
        <v>1</v>
      </c>
      <c r="E2080" s="1">
        <f t="shared" si="255"/>
        <v>0</v>
      </c>
      <c r="F2080" s="31">
        <f t="shared" si="253"/>
        <v>14.6</v>
      </c>
      <c r="G2080" s="31">
        <f t="shared" ca="1" si="257"/>
        <v>14.6</v>
      </c>
      <c r="H2080" s="30">
        <f t="shared" ca="1" si="258"/>
        <v>0</v>
      </c>
      <c r="I2080" s="31">
        <f t="shared" ca="1" si="259"/>
        <v>14.6</v>
      </c>
      <c r="Q2080" s="80"/>
      <c r="R2080" s="42"/>
      <c r="S2080" s="90">
        <f t="shared" si="256"/>
        <v>202.1999999999928</v>
      </c>
      <c r="T2080" s="42"/>
      <c r="U2080" s="42"/>
      <c r="V2080" s="42"/>
      <c r="W2080" s="42"/>
      <c r="X2080" s="81"/>
    </row>
    <row r="2081" spans="2:24" x14ac:dyDescent="0.25">
      <c r="B2081" s="2">
        <v>1</v>
      </c>
      <c r="C2081" s="1">
        <f t="shared" si="254"/>
        <v>11.235294117646916</v>
      </c>
      <c r="D2081" s="1">
        <f t="shared" si="252"/>
        <v>1</v>
      </c>
      <c r="E2081" s="1">
        <f t="shared" si="255"/>
        <v>0</v>
      </c>
      <c r="F2081" s="31">
        <f t="shared" si="253"/>
        <v>14.6</v>
      </c>
      <c r="G2081" s="31">
        <f t="shared" ca="1" si="257"/>
        <v>14.6</v>
      </c>
      <c r="H2081" s="30">
        <f t="shared" ca="1" si="258"/>
        <v>0</v>
      </c>
      <c r="I2081" s="31">
        <f t="shared" ca="1" si="259"/>
        <v>14.6</v>
      </c>
      <c r="Q2081" s="80"/>
      <c r="R2081" s="42"/>
      <c r="S2081" s="90">
        <f t="shared" si="256"/>
        <v>202.29999999999279</v>
      </c>
      <c r="T2081" s="42"/>
      <c r="U2081" s="42"/>
      <c r="V2081" s="42"/>
      <c r="W2081" s="42"/>
      <c r="X2081" s="81"/>
    </row>
    <row r="2082" spans="2:24" x14ac:dyDescent="0.25">
      <c r="B2082" s="2">
        <v>1</v>
      </c>
      <c r="C2082" s="1">
        <f t="shared" si="254"/>
        <v>12.235294117646916</v>
      </c>
      <c r="D2082" s="1">
        <f t="shared" si="252"/>
        <v>1</v>
      </c>
      <c r="E2082" s="1">
        <f t="shared" si="255"/>
        <v>0</v>
      </c>
      <c r="F2082" s="31">
        <f t="shared" si="253"/>
        <v>14.6</v>
      </c>
      <c r="G2082" s="31">
        <f t="shared" ca="1" si="257"/>
        <v>14.6</v>
      </c>
      <c r="H2082" s="30">
        <f t="shared" ca="1" si="258"/>
        <v>0</v>
      </c>
      <c r="I2082" s="31">
        <f t="shared" ca="1" si="259"/>
        <v>14.6</v>
      </c>
      <c r="Q2082" s="80"/>
      <c r="R2082" s="42"/>
      <c r="S2082" s="90">
        <f t="shared" si="256"/>
        <v>202.39999999999279</v>
      </c>
      <c r="T2082" s="42"/>
      <c r="U2082" s="42"/>
      <c r="V2082" s="42"/>
      <c r="W2082" s="42"/>
      <c r="X2082" s="81"/>
    </row>
    <row r="2083" spans="2:24" x14ac:dyDescent="0.25">
      <c r="B2083" s="2">
        <v>1</v>
      </c>
      <c r="C2083" s="1">
        <f t="shared" si="254"/>
        <v>13.235294117646916</v>
      </c>
      <c r="D2083" s="1">
        <f t="shared" si="252"/>
        <v>1</v>
      </c>
      <c r="E2083" s="1">
        <f t="shared" si="255"/>
        <v>0</v>
      </c>
      <c r="F2083" s="31">
        <f t="shared" si="253"/>
        <v>14.6</v>
      </c>
      <c r="G2083" s="31">
        <f t="shared" ca="1" si="257"/>
        <v>14.6</v>
      </c>
      <c r="H2083" s="30">
        <f t="shared" ca="1" si="258"/>
        <v>0</v>
      </c>
      <c r="I2083" s="31">
        <f t="shared" ca="1" si="259"/>
        <v>14.6</v>
      </c>
      <c r="Q2083" s="80"/>
      <c r="R2083" s="42"/>
      <c r="S2083" s="90">
        <f t="shared" si="256"/>
        <v>202.49999999999278</v>
      </c>
      <c r="T2083" s="42"/>
      <c r="U2083" s="42"/>
      <c r="V2083" s="42"/>
      <c r="W2083" s="42"/>
      <c r="X2083" s="81"/>
    </row>
    <row r="2084" spans="2:24" x14ac:dyDescent="0.25">
      <c r="B2084" s="2">
        <v>1</v>
      </c>
      <c r="C2084" s="1">
        <f t="shared" si="254"/>
        <v>14.235294117646916</v>
      </c>
      <c r="D2084" s="1">
        <f t="shared" si="252"/>
        <v>1</v>
      </c>
      <c r="E2084" s="1">
        <f t="shared" si="255"/>
        <v>0</v>
      </c>
      <c r="F2084" s="31">
        <f t="shared" si="253"/>
        <v>14.6</v>
      </c>
      <c r="G2084" s="31">
        <f t="shared" ca="1" si="257"/>
        <v>14.6</v>
      </c>
      <c r="H2084" s="30">
        <f t="shared" ca="1" si="258"/>
        <v>0</v>
      </c>
      <c r="I2084" s="31">
        <f t="shared" ca="1" si="259"/>
        <v>14.6</v>
      </c>
      <c r="Q2084" s="80"/>
      <c r="R2084" s="42"/>
      <c r="S2084" s="90">
        <f t="shared" si="256"/>
        <v>202.59999999999278</v>
      </c>
      <c r="T2084" s="42"/>
      <c r="U2084" s="42"/>
      <c r="V2084" s="42"/>
      <c r="W2084" s="42"/>
      <c r="X2084" s="81"/>
    </row>
    <row r="2085" spans="2:24" x14ac:dyDescent="0.25">
      <c r="B2085" s="2">
        <v>1</v>
      </c>
      <c r="C2085" s="1">
        <f t="shared" si="254"/>
        <v>15.235294117646916</v>
      </c>
      <c r="D2085" s="1">
        <f t="shared" si="252"/>
        <v>1</v>
      </c>
      <c r="E2085" s="1">
        <f t="shared" si="255"/>
        <v>0</v>
      </c>
      <c r="F2085" s="31">
        <f t="shared" si="253"/>
        <v>14.6</v>
      </c>
      <c r="G2085" s="31">
        <f t="shared" ca="1" si="257"/>
        <v>14.6</v>
      </c>
      <c r="H2085" s="30">
        <f t="shared" ca="1" si="258"/>
        <v>0</v>
      </c>
      <c r="I2085" s="31">
        <f t="shared" ca="1" si="259"/>
        <v>14.6</v>
      </c>
      <c r="Q2085" s="80"/>
      <c r="R2085" s="42"/>
      <c r="S2085" s="90">
        <f t="shared" si="256"/>
        <v>202.69999999999277</v>
      </c>
      <c r="T2085" s="42"/>
      <c r="U2085" s="42"/>
      <c r="V2085" s="42"/>
      <c r="W2085" s="42"/>
      <c r="X2085" s="81"/>
    </row>
    <row r="2086" spans="2:24" x14ac:dyDescent="0.25">
      <c r="B2086" s="2">
        <v>1</v>
      </c>
      <c r="C2086" s="1">
        <f t="shared" si="254"/>
        <v>16.235294117646916</v>
      </c>
      <c r="D2086" s="1">
        <f t="shared" si="252"/>
        <v>1</v>
      </c>
      <c r="E2086" s="1">
        <f t="shared" si="255"/>
        <v>0</v>
      </c>
      <c r="F2086" s="31">
        <f t="shared" si="253"/>
        <v>14.6</v>
      </c>
      <c r="G2086" s="31">
        <f t="shared" ca="1" si="257"/>
        <v>14.6</v>
      </c>
      <c r="H2086" s="30">
        <f t="shared" ca="1" si="258"/>
        <v>0</v>
      </c>
      <c r="I2086" s="31">
        <f t="shared" ca="1" si="259"/>
        <v>14.6</v>
      </c>
      <c r="Q2086" s="80"/>
      <c r="R2086" s="42"/>
      <c r="S2086" s="90">
        <f t="shared" si="256"/>
        <v>202.79999999999276</v>
      </c>
      <c r="T2086" s="42"/>
      <c r="U2086" s="42"/>
      <c r="V2086" s="42"/>
      <c r="W2086" s="42"/>
      <c r="X2086" s="81"/>
    </row>
    <row r="2087" spans="2:24" x14ac:dyDescent="0.25">
      <c r="B2087" s="2">
        <v>1</v>
      </c>
      <c r="C2087" s="1">
        <f t="shared" si="254"/>
        <v>17.235294117646916</v>
      </c>
      <c r="D2087" s="1">
        <f t="shared" si="252"/>
        <v>1</v>
      </c>
      <c r="E2087" s="1">
        <f t="shared" si="255"/>
        <v>0</v>
      </c>
      <c r="F2087" s="31">
        <f t="shared" si="253"/>
        <v>14.6</v>
      </c>
      <c r="G2087" s="31">
        <f t="shared" ca="1" si="257"/>
        <v>14.6</v>
      </c>
      <c r="H2087" s="30">
        <f t="shared" ca="1" si="258"/>
        <v>0</v>
      </c>
      <c r="I2087" s="31">
        <f t="shared" ca="1" si="259"/>
        <v>14.6</v>
      </c>
      <c r="Q2087" s="80"/>
      <c r="R2087" s="42"/>
      <c r="S2087" s="90">
        <f t="shared" si="256"/>
        <v>202.89999999999276</v>
      </c>
      <c r="T2087" s="42"/>
      <c r="U2087" s="42"/>
      <c r="V2087" s="42"/>
      <c r="W2087" s="42"/>
      <c r="X2087" s="81"/>
    </row>
    <row r="2088" spans="2:24" x14ac:dyDescent="0.25">
      <c r="B2088" s="2">
        <v>1</v>
      </c>
      <c r="C2088" s="1">
        <f t="shared" si="254"/>
        <v>18.235294117646916</v>
      </c>
      <c r="D2088" s="1">
        <f t="shared" si="252"/>
        <v>1</v>
      </c>
      <c r="E2088" s="1">
        <f t="shared" si="255"/>
        <v>0</v>
      </c>
      <c r="F2088" s="31">
        <f t="shared" si="253"/>
        <v>14.6</v>
      </c>
      <c r="G2088" s="31">
        <f t="shared" ca="1" si="257"/>
        <v>14.6</v>
      </c>
      <c r="H2088" s="30">
        <f t="shared" ca="1" si="258"/>
        <v>0</v>
      </c>
      <c r="I2088" s="31">
        <f t="shared" ca="1" si="259"/>
        <v>14.6</v>
      </c>
      <c r="Q2088" s="80"/>
      <c r="R2088" s="42"/>
      <c r="S2088" s="90">
        <f t="shared" si="256"/>
        <v>202.99999999999275</v>
      </c>
      <c r="T2088" s="42"/>
      <c r="U2088" s="42"/>
      <c r="V2088" s="42"/>
      <c r="W2088" s="42"/>
      <c r="X2088" s="81"/>
    </row>
    <row r="2089" spans="2:24" x14ac:dyDescent="0.25">
      <c r="B2089" s="2">
        <v>1</v>
      </c>
      <c r="C2089" s="1">
        <f t="shared" si="254"/>
        <v>19.235294117646916</v>
      </c>
      <c r="D2089" s="1">
        <f t="shared" si="252"/>
        <v>1</v>
      </c>
      <c r="E2089" s="1">
        <f t="shared" si="255"/>
        <v>0</v>
      </c>
      <c r="F2089" s="31">
        <f t="shared" si="253"/>
        <v>14.6</v>
      </c>
      <c r="G2089" s="31">
        <f t="shared" ca="1" si="257"/>
        <v>14.6</v>
      </c>
      <c r="H2089" s="30">
        <f t="shared" ca="1" si="258"/>
        <v>0</v>
      </c>
      <c r="I2089" s="31">
        <f t="shared" ca="1" si="259"/>
        <v>14.6</v>
      </c>
      <c r="Q2089" s="80"/>
      <c r="R2089" s="42"/>
      <c r="S2089" s="90">
        <f t="shared" si="256"/>
        <v>203.09999999999275</v>
      </c>
      <c r="T2089" s="42"/>
      <c r="U2089" s="42"/>
      <c r="V2089" s="42"/>
      <c r="W2089" s="42"/>
      <c r="X2089" s="81"/>
    </row>
    <row r="2090" spans="2:24" x14ac:dyDescent="0.25">
      <c r="B2090" s="2">
        <v>1</v>
      </c>
      <c r="C2090" s="1">
        <f t="shared" si="254"/>
        <v>20.235294117646916</v>
      </c>
      <c r="D2090" s="1">
        <f t="shared" si="252"/>
        <v>1</v>
      </c>
      <c r="E2090" s="1">
        <f t="shared" si="255"/>
        <v>0</v>
      </c>
      <c r="F2090" s="31">
        <f t="shared" si="253"/>
        <v>14.6</v>
      </c>
      <c r="G2090" s="31">
        <f t="shared" ca="1" si="257"/>
        <v>14.6</v>
      </c>
      <c r="H2090" s="30">
        <f t="shared" ca="1" si="258"/>
        <v>0</v>
      </c>
      <c r="I2090" s="31">
        <f t="shared" ca="1" si="259"/>
        <v>14.6</v>
      </c>
      <c r="Q2090" s="80"/>
      <c r="R2090" s="42"/>
      <c r="S2090" s="90">
        <f t="shared" si="256"/>
        <v>203.19999999999274</v>
      </c>
      <c r="T2090" s="42"/>
      <c r="U2090" s="42"/>
      <c r="V2090" s="42"/>
      <c r="W2090" s="42"/>
      <c r="X2090" s="81"/>
    </row>
    <row r="2091" spans="2:24" x14ac:dyDescent="0.25">
      <c r="B2091" s="2">
        <v>1</v>
      </c>
      <c r="C2091" s="1">
        <f t="shared" si="254"/>
        <v>21.235294117646916</v>
      </c>
      <c r="D2091" s="1">
        <f t="shared" si="252"/>
        <v>1</v>
      </c>
      <c r="E2091" s="1">
        <f t="shared" si="255"/>
        <v>0</v>
      </c>
      <c r="F2091" s="31">
        <f t="shared" si="253"/>
        <v>14.6</v>
      </c>
      <c r="G2091" s="31">
        <f t="shared" ca="1" si="257"/>
        <v>14.6</v>
      </c>
      <c r="H2091" s="30">
        <f t="shared" ca="1" si="258"/>
        <v>0</v>
      </c>
      <c r="I2091" s="31">
        <f t="shared" ca="1" si="259"/>
        <v>14.6</v>
      </c>
      <c r="Q2091" s="80"/>
      <c r="R2091" s="42"/>
      <c r="S2091" s="90">
        <f t="shared" si="256"/>
        <v>203.29999999999274</v>
      </c>
      <c r="T2091" s="42"/>
      <c r="U2091" s="42"/>
      <c r="V2091" s="42"/>
      <c r="W2091" s="42"/>
      <c r="X2091" s="81"/>
    </row>
    <row r="2092" spans="2:24" x14ac:dyDescent="0.25">
      <c r="B2092" s="2">
        <v>1</v>
      </c>
      <c r="C2092" s="1">
        <f t="shared" si="254"/>
        <v>22.235294117646916</v>
      </c>
      <c r="D2092" s="1">
        <f t="shared" si="252"/>
        <v>1</v>
      </c>
      <c r="E2092" s="1">
        <f t="shared" si="255"/>
        <v>0</v>
      </c>
      <c r="F2092" s="31">
        <f t="shared" si="253"/>
        <v>14.6</v>
      </c>
      <c r="G2092" s="31">
        <f t="shared" ca="1" si="257"/>
        <v>14.6</v>
      </c>
      <c r="H2092" s="30">
        <f t="shared" ca="1" si="258"/>
        <v>0</v>
      </c>
      <c r="I2092" s="31">
        <f t="shared" ca="1" si="259"/>
        <v>14.6</v>
      </c>
      <c r="Q2092" s="80"/>
      <c r="R2092" s="42"/>
      <c r="S2092" s="90">
        <f t="shared" si="256"/>
        <v>203.39999999999273</v>
      </c>
      <c r="T2092" s="42"/>
      <c r="U2092" s="42"/>
      <c r="V2092" s="42"/>
      <c r="W2092" s="42"/>
      <c r="X2092" s="81"/>
    </row>
    <row r="2093" spans="2:24" x14ac:dyDescent="0.25">
      <c r="B2093" s="2">
        <v>1</v>
      </c>
      <c r="C2093" s="1">
        <f t="shared" si="254"/>
        <v>23.235294117646916</v>
      </c>
      <c r="D2093" s="1">
        <f t="shared" si="252"/>
        <v>0</v>
      </c>
      <c r="E2093" s="1">
        <f t="shared" si="255"/>
        <v>1</v>
      </c>
      <c r="F2093" s="31">
        <f t="shared" si="253"/>
        <v>6.4</v>
      </c>
      <c r="G2093" s="31">
        <f t="shared" ca="1" si="257"/>
        <v>0</v>
      </c>
      <c r="H2093" s="30">
        <f t="shared" ca="1" si="258"/>
        <v>14.6</v>
      </c>
      <c r="I2093" s="31">
        <f t="shared" ca="1" si="259"/>
        <v>14.6</v>
      </c>
      <c r="Q2093" s="80"/>
      <c r="R2093" s="42"/>
      <c r="S2093" s="90">
        <f t="shared" si="256"/>
        <v>203.49999999999272</v>
      </c>
      <c r="T2093" s="42"/>
      <c r="U2093" s="42"/>
      <c r="V2093" s="42"/>
      <c r="W2093" s="42"/>
      <c r="X2093" s="81"/>
    </row>
    <row r="2094" spans="2:24" x14ac:dyDescent="0.25">
      <c r="B2094" s="2">
        <v>1</v>
      </c>
      <c r="C2094" s="1">
        <f t="shared" si="254"/>
        <v>24.235294117646916</v>
      </c>
      <c r="D2094" s="1">
        <f t="shared" si="252"/>
        <v>0</v>
      </c>
      <c r="E2094" s="1">
        <f t="shared" si="255"/>
        <v>1</v>
      </c>
      <c r="F2094" s="31">
        <f t="shared" si="253"/>
        <v>6.4</v>
      </c>
      <c r="G2094" s="31">
        <f t="shared" ca="1" si="257"/>
        <v>0</v>
      </c>
      <c r="H2094" s="30">
        <f t="shared" ca="1" si="258"/>
        <v>6.4</v>
      </c>
      <c r="I2094" s="31">
        <f t="shared" ca="1" si="259"/>
        <v>6.4</v>
      </c>
      <c r="Q2094" s="80"/>
      <c r="R2094" s="42"/>
      <c r="S2094" s="90">
        <f t="shared" si="256"/>
        <v>203.59999999999272</v>
      </c>
      <c r="T2094" s="42"/>
      <c r="U2094" s="42"/>
      <c r="V2094" s="42"/>
      <c r="W2094" s="42"/>
      <c r="X2094" s="81"/>
    </row>
    <row r="2095" spans="2:24" x14ac:dyDescent="0.25">
      <c r="B2095" s="2">
        <v>1</v>
      </c>
      <c r="C2095" s="1">
        <f t="shared" si="254"/>
        <v>25.235294117646916</v>
      </c>
      <c r="D2095" s="1">
        <f t="shared" si="252"/>
        <v>0</v>
      </c>
      <c r="E2095" s="1">
        <f t="shared" si="255"/>
        <v>1</v>
      </c>
      <c r="F2095" s="31">
        <f t="shared" si="253"/>
        <v>6.4</v>
      </c>
      <c r="G2095" s="31">
        <f t="shared" ca="1" si="257"/>
        <v>0</v>
      </c>
      <c r="H2095" s="30">
        <f t="shared" ca="1" si="258"/>
        <v>6.4</v>
      </c>
      <c r="I2095" s="31">
        <f t="shared" ca="1" si="259"/>
        <v>6.4</v>
      </c>
      <c r="Q2095" s="80"/>
      <c r="R2095" s="42"/>
      <c r="S2095" s="90">
        <f t="shared" si="256"/>
        <v>203.69999999999271</v>
      </c>
      <c r="T2095" s="42"/>
      <c r="U2095" s="42"/>
      <c r="V2095" s="42"/>
      <c r="W2095" s="42"/>
      <c r="X2095" s="81"/>
    </row>
    <row r="2096" spans="2:24" x14ac:dyDescent="0.25">
      <c r="B2096" s="2">
        <v>1</v>
      </c>
      <c r="C2096" s="1">
        <f t="shared" si="254"/>
        <v>26.235294117646916</v>
      </c>
      <c r="D2096" s="1">
        <f t="shared" si="252"/>
        <v>0</v>
      </c>
      <c r="E2096" s="1">
        <f t="shared" si="255"/>
        <v>1</v>
      </c>
      <c r="F2096" s="31">
        <f t="shared" si="253"/>
        <v>6.4</v>
      </c>
      <c r="G2096" s="31">
        <f t="shared" ca="1" si="257"/>
        <v>0</v>
      </c>
      <c r="H2096" s="30">
        <f t="shared" ca="1" si="258"/>
        <v>6.4</v>
      </c>
      <c r="I2096" s="31">
        <f t="shared" ca="1" si="259"/>
        <v>6.4</v>
      </c>
      <c r="Q2096" s="80"/>
      <c r="R2096" s="42"/>
      <c r="S2096" s="90">
        <f t="shared" si="256"/>
        <v>203.79999999999271</v>
      </c>
      <c r="T2096" s="42"/>
      <c r="U2096" s="42"/>
      <c r="V2096" s="42"/>
      <c r="W2096" s="42"/>
      <c r="X2096" s="81"/>
    </row>
    <row r="2097" spans="2:24" x14ac:dyDescent="0.25">
      <c r="B2097" s="2">
        <v>1</v>
      </c>
      <c r="C2097" s="1">
        <f t="shared" si="254"/>
        <v>27.235294117646916</v>
      </c>
      <c r="D2097" s="1">
        <f t="shared" si="252"/>
        <v>0</v>
      </c>
      <c r="E2097" s="1">
        <f t="shared" si="255"/>
        <v>1</v>
      </c>
      <c r="F2097" s="31">
        <f t="shared" si="253"/>
        <v>6.4</v>
      </c>
      <c r="G2097" s="31">
        <f t="shared" ca="1" si="257"/>
        <v>0</v>
      </c>
      <c r="H2097" s="30">
        <f t="shared" ca="1" si="258"/>
        <v>6.4</v>
      </c>
      <c r="I2097" s="31">
        <f t="shared" ca="1" si="259"/>
        <v>6.4</v>
      </c>
      <c r="Q2097" s="80"/>
      <c r="R2097" s="42"/>
      <c r="S2097" s="90">
        <f t="shared" si="256"/>
        <v>203.8999999999927</v>
      </c>
      <c r="T2097" s="42"/>
      <c r="U2097" s="42"/>
      <c r="V2097" s="42"/>
      <c r="W2097" s="42"/>
      <c r="X2097" s="81"/>
    </row>
    <row r="2098" spans="2:24" x14ac:dyDescent="0.25">
      <c r="B2098" s="2">
        <v>1</v>
      </c>
      <c r="C2098" s="1">
        <f t="shared" si="254"/>
        <v>28.235294117646916</v>
      </c>
      <c r="D2098" s="1">
        <f t="shared" si="252"/>
        <v>0</v>
      </c>
      <c r="E2098" s="1">
        <f t="shared" si="255"/>
        <v>1</v>
      </c>
      <c r="F2098" s="31">
        <f t="shared" si="253"/>
        <v>6.4</v>
      </c>
      <c r="G2098" s="31">
        <f t="shared" ca="1" si="257"/>
        <v>0</v>
      </c>
      <c r="H2098" s="30">
        <f t="shared" ca="1" si="258"/>
        <v>6.4</v>
      </c>
      <c r="I2098" s="31">
        <f t="shared" ca="1" si="259"/>
        <v>6.4</v>
      </c>
      <c r="Q2098" s="80"/>
      <c r="R2098" s="42"/>
      <c r="S2098" s="90">
        <f t="shared" si="256"/>
        <v>203.9999999999927</v>
      </c>
      <c r="T2098" s="42"/>
      <c r="U2098" s="42"/>
      <c r="V2098" s="42"/>
      <c r="W2098" s="42"/>
      <c r="X2098" s="81"/>
    </row>
    <row r="2099" spans="2:24" x14ac:dyDescent="0.25">
      <c r="B2099" s="2">
        <v>1</v>
      </c>
      <c r="C2099" s="1">
        <f t="shared" si="254"/>
        <v>29.235294117646916</v>
      </c>
      <c r="D2099" s="1">
        <f t="shared" si="252"/>
        <v>0</v>
      </c>
      <c r="E2099" s="1">
        <f t="shared" si="255"/>
        <v>1</v>
      </c>
      <c r="F2099" s="31">
        <f t="shared" si="253"/>
        <v>6.4</v>
      </c>
      <c r="G2099" s="31">
        <f t="shared" ca="1" si="257"/>
        <v>0</v>
      </c>
      <c r="H2099" s="30">
        <f t="shared" ca="1" si="258"/>
        <v>6.4</v>
      </c>
      <c r="I2099" s="31">
        <f t="shared" ca="1" si="259"/>
        <v>6.4</v>
      </c>
      <c r="Q2099" s="80"/>
      <c r="R2099" s="42"/>
      <c r="S2099" s="90">
        <f t="shared" si="256"/>
        <v>204.09999999999269</v>
      </c>
      <c r="T2099" s="42"/>
      <c r="U2099" s="42"/>
      <c r="V2099" s="42"/>
      <c r="W2099" s="42"/>
      <c r="X2099" s="81"/>
    </row>
    <row r="2100" spans="2:24" x14ac:dyDescent="0.25">
      <c r="B2100" s="2">
        <v>1</v>
      </c>
      <c r="C2100" s="1">
        <f t="shared" si="254"/>
        <v>30.235294117646916</v>
      </c>
      <c r="D2100" s="1">
        <f t="shared" si="252"/>
        <v>0</v>
      </c>
      <c r="E2100" s="1">
        <f t="shared" si="255"/>
        <v>1</v>
      </c>
      <c r="F2100" s="31">
        <f t="shared" si="253"/>
        <v>6.4</v>
      </c>
      <c r="G2100" s="31">
        <f t="shared" ca="1" si="257"/>
        <v>0</v>
      </c>
      <c r="H2100" s="30">
        <f t="shared" ca="1" si="258"/>
        <v>6.4</v>
      </c>
      <c r="I2100" s="31">
        <f t="shared" ca="1" si="259"/>
        <v>6.4</v>
      </c>
      <c r="Q2100" s="80"/>
      <c r="R2100" s="42"/>
      <c r="S2100" s="90">
        <f t="shared" si="256"/>
        <v>204.19999999999268</v>
      </c>
      <c r="T2100" s="42"/>
      <c r="U2100" s="42"/>
      <c r="V2100" s="42"/>
      <c r="W2100" s="42"/>
      <c r="X2100" s="81"/>
    </row>
    <row r="2101" spans="2:24" x14ac:dyDescent="0.25">
      <c r="B2101" s="2">
        <v>1</v>
      </c>
      <c r="C2101" s="1">
        <f t="shared" si="254"/>
        <v>31.235294117646916</v>
      </c>
      <c r="D2101" s="1">
        <f t="shared" si="252"/>
        <v>0</v>
      </c>
      <c r="E2101" s="1">
        <f t="shared" si="255"/>
        <v>1</v>
      </c>
      <c r="F2101" s="31">
        <f t="shared" si="253"/>
        <v>6.4</v>
      </c>
      <c r="G2101" s="31">
        <f t="shared" ca="1" si="257"/>
        <v>0</v>
      </c>
      <c r="H2101" s="30">
        <f t="shared" ca="1" si="258"/>
        <v>6.4</v>
      </c>
      <c r="I2101" s="31">
        <f t="shared" ca="1" si="259"/>
        <v>6.4</v>
      </c>
      <c r="Q2101" s="80"/>
      <c r="R2101" s="42"/>
      <c r="S2101" s="90">
        <f t="shared" si="256"/>
        <v>204.29999999999268</v>
      </c>
      <c r="T2101" s="42"/>
      <c r="U2101" s="42"/>
      <c r="V2101" s="42"/>
      <c r="W2101" s="42"/>
      <c r="X2101" s="81"/>
    </row>
    <row r="2102" spans="2:24" x14ac:dyDescent="0.25">
      <c r="B2102" s="2">
        <v>1</v>
      </c>
      <c r="C2102" s="1">
        <f t="shared" si="254"/>
        <v>32.235294117646916</v>
      </c>
      <c r="D2102" s="1">
        <f t="shared" si="252"/>
        <v>0</v>
      </c>
      <c r="E2102" s="1">
        <f t="shared" si="255"/>
        <v>1</v>
      </c>
      <c r="F2102" s="31">
        <f t="shared" si="253"/>
        <v>6.4</v>
      </c>
      <c r="G2102" s="31">
        <f t="shared" ca="1" si="257"/>
        <v>0</v>
      </c>
      <c r="H2102" s="30">
        <f t="shared" ca="1" si="258"/>
        <v>6.4</v>
      </c>
      <c r="I2102" s="31">
        <f t="shared" ca="1" si="259"/>
        <v>6.4</v>
      </c>
      <c r="Q2102" s="80"/>
      <c r="R2102" s="42"/>
      <c r="S2102" s="90">
        <f t="shared" si="256"/>
        <v>204.39999999999267</v>
      </c>
      <c r="T2102" s="42"/>
      <c r="U2102" s="42"/>
      <c r="V2102" s="42"/>
      <c r="W2102" s="42"/>
      <c r="X2102" s="81"/>
    </row>
    <row r="2103" spans="2:24" x14ac:dyDescent="0.25">
      <c r="B2103" s="2">
        <v>1</v>
      </c>
      <c r="C2103" s="1">
        <f t="shared" si="254"/>
        <v>33.235294117646916</v>
      </c>
      <c r="D2103" s="1">
        <f t="shared" si="252"/>
        <v>0</v>
      </c>
      <c r="E2103" s="1">
        <f t="shared" si="255"/>
        <v>1</v>
      </c>
      <c r="F2103" s="31">
        <f t="shared" si="253"/>
        <v>6.4</v>
      </c>
      <c r="G2103" s="31">
        <f t="shared" ca="1" si="257"/>
        <v>0</v>
      </c>
      <c r="H2103" s="30">
        <f t="shared" ca="1" si="258"/>
        <v>6.4</v>
      </c>
      <c r="I2103" s="31">
        <f t="shared" ca="1" si="259"/>
        <v>6.4</v>
      </c>
      <c r="Q2103" s="80"/>
      <c r="R2103" s="42"/>
      <c r="S2103" s="90">
        <f t="shared" si="256"/>
        <v>204.49999999999267</v>
      </c>
      <c r="T2103" s="42"/>
      <c r="U2103" s="42"/>
      <c r="V2103" s="42"/>
      <c r="W2103" s="42"/>
      <c r="X2103" s="81"/>
    </row>
    <row r="2104" spans="2:24" x14ac:dyDescent="0.25">
      <c r="B2104" s="2">
        <v>1</v>
      </c>
      <c r="C2104" s="1">
        <f t="shared" si="254"/>
        <v>34.235294117646916</v>
      </c>
      <c r="D2104" s="1">
        <f t="shared" si="252"/>
        <v>0</v>
      </c>
      <c r="E2104" s="1">
        <f t="shared" si="255"/>
        <v>1</v>
      </c>
      <c r="F2104" s="31">
        <f t="shared" si="253"/>
        <v>6.4</v>
      </c>
      <c r="G2104" s="31">
        <f t="shared" ca="1" si="257"/>
        <v>0</v>
      </c>
      <c r="H2104" s="30">
        <f t="shared" ca="1" si="258"/>
        <v>6.4</v>
      </c>
      <c r="I2104" s="31">
        <f t="shared" ca="1" si="259"/>
        <v>6.4</v>
      </c>
      <c r="Q2104" s="80"/>
      <c r="R2104" s="42"/>
      <c r="S2104" s="90">
        <f t="shared" si="256"/>
        <v>204.59999999999266</v>
      </c>
      <c r="T2104" s="42"/>
      <c r="U2104" s="42"/>
      <c r="V2104" s="42"/>
      <c r="W2104" s="42"/>
      <c r="X2104" s="81"/>
    </row>
    <row r="2105" spans="2:24" x14ac:dyDescent="0.25">
      <c r="B2105" s="2">
        <v>1</v>
      </c>
      <c r="C2105" s="1">
        <f t="shared" si="254"/>
        <v>35.235294117646916</v>
      </c>
      <c r="D2105" s="1">
        <f t="shared" si="252"/>
        <v>0</v>
      </c>
      <c r="E2105" s="1">
        <f t="shared" si="255"/>
        <v>1</v>
      </c>
      <c r="F2105" s="31">
        <f t="shared" si="253"/>
        <v>6.4</v>
      </c>
      <c r="G2105" s="31">
        <f t="shared" ca="1" si="257"/>
        <v>0</v>
      </c>
      <c r="H2105" s="30">
        <f t="shared" ca="1" si="258"/>
        <v>6.4</v>
      </c>
      <c r="I2105" s="31">
        <f t="shared" ca="1" si="259"/>
        <v>6.4</v>
      </c>
      <c r="Q2105" s="80"/>
      <c r="R2105" s="42"/>
      <c r="S2105" s="90">
        <f t="shared" si="256"/>
        <v>204.69999999999266</v>
      </c>
      <c r="T2105" s="42"/>
      <c r="U2105" s="42"/>
      <c r="V2105" s="42"/>
      <c r="W2105" s="42"/>
      <c r="X2105" s="81"/>
    </row>
    <row r="2106" spans="2:24" x14ac:dyDescent="0.25">
      <c r="B2106" s="2">
        <v>1</v>
      </c>
      <c r="C2106" s="1">
        <f t="shared" si="254"/>
        <v>0.94117647058808984</v>
      </c>
      <c r="D2106" s="1">
        <f t="shared" ref="D2106:D2118" si="260">IF(C2106&lt;=Inhelation_Time_RT,1,0)</f>
        <v>1</v>
      </c>
      <c r="E2106" s="1">
        <f t="shared" si="255"/>
        <v>0</v>
      </c>
      <c r="F2106" s="31">
        <f t="shared" ref="F2106:F2118" si="261">(D2106*Inspiratory_pressure_level) + (E2106*PEEP)</f>
        <v>14.6</v>
      </c>
      <c r="G2106" s="31">
        <f t="shared" ca="1" si="257"/>
        <v>6.4</v>
      </c>
      <c r="H2106" s="30">
        <f t="shared" ca="1" si="258"/>
        <v>0</v>
      </c>
      <c r="I2106" s="31">
        <f t="shared" ca="1" si="259"/>
        <v>6.4</v>
      </c>
      <c r="Q2106" s="80"/>
      <c r="R2106" s="42"/>
      <c r="S2106" s="90">
        <f t="shared" si="256"/>
        <v>204.79999999999265</v>
      </c>
      <c r="T2106" s="42"/>
      <c r="U2106" s="42"/>
      <c r="V2106" s="42"/>
      <c r="W2106" s="42"/>
      <c r="X2106" s="81"/>
    </row>
    <row r="2107" spans="2:24" x14ac:dyDescent="0.25">
      <c r="B2107" s="2">
        <v>1</v>
      </c>
      <c r="C2107" s="1">
        <f t="shared" ref="C2107:C2118" si="262">MOD(C2106+B2107,time_for_breath_RT)</f>
        <v>1.9411764705880898</v>
      </c>
      <c r="D2107" s="1">
        <f t="shared" si="260"/>
        <v>1</v>
      </c>
      <c r="E2107" s="1">
        <f t="shared" ref="E2107:E2118" si="263">IF(D2107=1,0,1)</f>
        <v>0</v>
      </c>
      <c r="F2107" s="31">
        <f t="shared" si="261"/>
        <v>14.6</v>
      </c>
      <c r="G2107" s="31">
        <f t="shared" ca="1" si="257"/>
        <v>8.4500000000000011</v>
      </c>
      <c r="H2107" s="30">
        <f t="shared" ca="1" si="258"/>
        <v>0</v>
      </c>
      <c r="I2107" s="31">
        <f t="shared" ca="1" si="259"/>
        <v>8.4500000000000011</v>
      </c>
      <c r="Q2107" s="80"/>
      <c r="R2107" s="42"/>
      <c r="S2107" s="90">
        <f t="shared" ref="S2107:S2118" si="264">S2106+(B2106 / RTC_to_seconds)</f>
        <v>204.89999999999264</v>
      </c>
      <c r="T2107" s="42"/>
      <c r="U2107" s="42"/>
      <c r="V2107" s="42"/>
      <c r="W2107" s="42"/>
      <c r="X2107" s="81"/>
    </row>
    <row r="2108" spans="2:24" x14ac:dyDescent="0.25">
      <c r="B2108" s="2">
        <v>1</v>
      </c>
      <c r="C2108" s="1">
        <f t="shared" si="262"/>
        <v>2.9411764705880898</v>
      </c>
      <c r="D2108" s="1">
        <f t="shared" si="260"/>
        <v>1</v>
      </c>
      <c r="E2108" s="1">
        <f t="shared" si="263"/>
        <v>0</v>
      </c>
      <c r="F2108" s="31">
        <f t="shared" si="261"/>
        <v>14.6</v>
      </c>
      <c r="G2108" s="31">
        <f t="shared" ca="1" si="257"/>
        <v>10.5</v>
      </c>
      <c r="H2108" s="30">
        <f t="shared" ca="1" si="258"/>
        <v>0</v>
      </c>
      <c r="I2108" s="31">
        <f t="shared" ca="1" si="259"/>
        <v>10.5</v>
      </c>
      <c r="Q2108" s="80"/>
      <c r="R2108" s="42"/>
      <c r="S2108" s="90">
        <f t="shared" si="264"/>
        <v>204.99999999999264</v>
      </c>
      <c r="T2108" s="42"/>
      <c r="U2108" s="42"/>
      <c r="V2108" s="42"/>
      <c r="W2108" s="42"/>
      <c r="X2108" s="81"/>
    </row>
    <row r="2109" spans="2:24" x14ac:dyDescent="0.25">
      <c r="B2109" s="2">
        <v>1</v>
      </c>
      <c r="C2109" s="1">
        <f t="shared" si="262"/>
        <v>3.9411764705880898</v>
      </c>
      <c r="D2109" s="1">
        <f t="shared" si="260"/>
        <v>1</v>
      </c>
      <c r="E2109" s="1">
        <f t="shared" si="263"/>
        <v>0</v>
      </c>
      <c r="F2109" s="31">
        <f t="shared" si="261"/>
        <v>14.6</v>
      </c>
      <c r="G2109" s="31">
        <f t="shared" ca="1" si="257"/>
        <v>12.55</v>
      </c>
      <c r="H2109" s="30">
        <f t="shared" ca="1" si="258"/>
        <v>0</v>
      </c>
      <c r="I2109" s="31">
        <f t="shared" ca="1" si="259"/>
        <v>12.55</v>
      </c>
      <c r="Q2109" s="80"/>
      <c r="R2109" s="42"/>
      <c r="S2109" s="90">
        <f t="shared" si="264"/>
        <v>205.09999999999263</v>
      </c>
      <c r="T2109" s="42"/>
      <c r="U2109" s="42"/>
      <c r="V2109" s="42"/>
      <c r="W2109" s="42"/>
      <c r="X2109" s="81"/>
    </row>
    <row r="2110" spans="2:24" x14ac:dyDescent="0.25">
      <c r="B2110" s="2">
        <v>1</v>
      </c>
      <c r="C2110" s="1">
        <f t="shared" si="262"/>
        <v>4.9411764705880898</v>
      </c>
      <c r="D2110" s="1">
        <f t="shared" si="260"/>
        <v>1</v>
      </c>
      <c r="E2110" s="1">
        <f t="shared" si="263"/>
        <v>0</v>
      </c>
      <c r="F2110" s="31">
        <f t="shared" si="261"/>
        <v>14.6</v>
      </c>
      <c r="G2110" s="31">
        <f t="shared" ca="1" si="257"/>
        <v>14.6</v>
      </c>
      <c r="H2110" s="30">
        <f t="shared" ca="1" si="258"/>
        <v>0</v>
      </c>
      <c r="I2110" s="31">
        <f t="shared" ca="1" si="259"/>
        <v>14.6</v>
      </c>
      <c r="Q2110" s="80"/>
      <c r="R2110" s="42"/>
      <c r="S2110" s="90">
        <f t="shared" si="264"/>
        <v>205.19999999999263</v>
      </c>
      <c r="T2110" s="42"/>
      <c r="U2110" s="42"/>
      <c r="V2110" s="42"/>
      <c r="W2110" s="42"/>
      <c r="X2110" s="81"/>
    </row>
    <row r="2111" spans="2:24" x14ac:dyDescent="0.25">
      <c r="B2111" s="2">
        <v>1</v>
      </c>
      <c r="C2111" s="1">
        <f t="shared" si="262"/>
        <v>5.9411764705880898</v>
      </c>
      <c r="D2111" s="1">
        <f t="shared" si="260"/>
        <v>1</v>
      </c>
      <c r="E2111" s="1">
        <f t="shared" si="263"/>
        <v>0</v>
      </c>
      <c r="F2111" s="31">
        <f t="shared" si="261"/>
        <v>14.6</v>
      </c>
      <c r="G2111" s="31">
        <f t="shared" ca="1" si="257"/>
        <v>14.6</v>
      </c>
      <c r="H2111" s="30">
        <f t="shared" ca="1" si="258"/>
        <v>0</v>
      </c>
      <c r="I2111" s="31">
        <f t="shared" ca="1" si="259"/>
        <v>14.6</v>
      </c>
      <c r="Q2111" s="80"/>
      <c r="R2111" s="42"/>
      <c r="S2111" s="90">
        <f t="shared" si="264"/>
        <v>205.29999999999262</v>
      </c>
      <c r="T2111" s="42"/>
      <c r="U2111" s="42"/>
      <c r="V2111" s="42"/>
      <c r="W2111" s="42"/>
      <c r="X2111" s="81"/>
    </row>
    <row r="2112" spans="2:24" x14ac:dyDescent="0.25">
      <c r="B2112" s="2">
        <v>1</v>
      </c>
      <c r="C2112" s="1">
        <f t="shared" si="262"/>
        <v>6.9411764705880898</v>
      </c>
      <c r="D2112" s="1">
        <f t="shared" si="260"/>
        <v>1</v>
      </c>
      <c r="E2112" s="1">
        <f t="shared" si="263"/>
        <v>0</v>
      </c>
      <c r="F2112" s="31">
        <f t="shared" si="261"/>
        <v>14.6</v>
      </c>
      <c r="G2112" s="31">
        <f t="shared" ca="1" si="257"/>
        <v>14.6</v>
      </c>
      <c r="H2112" s="30">
        <f t="shared" ca="1" si="258"/>
        <v>0</v>
      </c>
      <c r="I2112" s="31">
        <f t="shared" ca="1" si="259"/>
        <v>14.6</v>
      </c>
      <c r="Q2112" s="80"/>
      <c r="R2112" s="42"/>
      <c r="S2112" s="90">
        <f t="shared" si="264"/>
        <v>205.39999999999262</v>
      </c>
      <c r="T2112" s="42"/>
      <c r="U2112" s="42"/>
      <c r="V2112" s="42"/>
      <c r="W2112" s="42"/>
      <c r="X2112" s="81"/>
    </row>
    <row r="2113" spans="2:24" x14ac:dyDescent="0.25">
      <c r="B2113" s="2">
        <v>1</v>
      </c>
      <c r="C2113" s="1">
        <f t="shared" si="262"/>
        <v>7.9411764705880898</v>
      </c>
      <c r="D2113" s="1">
        <f t="shared" si="260"/>
        <v>1</v>
      </c>
      <c r="E2113" s="1">
        <f t="shared" si="263"/>
        <v>0</v>
      </c>
      <c r="F2113" s="31">
        <f t="shared" si="261"/>
        <v>14.6</v>
      </c>
      <c r="G2113" s="31">
        <f t="shared" ca="1" si="257"/>
        <v>14.6</v>
      </c>
      <c r="H2113" s="30">
        <f t="shared" ca="1" si="258"/>
        <v>0</v>
      </c>
      <c r="I2113" s="31">
        <f t="shared" ca="1" si="259"/>
        <v>14.6</v>
      </c>
      <c r="Q2113" s="80"/>
      <c r="R2113" s="42"/>
      <c r="S2113" s="90">
        <f t="shared" si="264"/>
        <v>205.49999999999261</v>
      </c>
      <c r="T2113" s="42"/>
      <c r="U2113" s="42"/>
      <c r="V2113" s="42"/>
      <c r="W2113" s="42"/>
      <c r="X2113" s="81"/>
    </row>
    <row r="2114" spans="2:24" x14ac:dyDescent="0.25">
      <c r="B2114" s="2">
        <v>1</v>
      </c>
      <c r="C2114" s="1">
        <f t="shared" si="262"/>
        <v>8.9411764705880898</v>
      </c>
      <c r="D2114" s="1">
        <f t="shared" si="260"/>
        <v>1</v>
      </c>
      <c r="E2114" s="1">
        <f t="shared" si="263"/>
        <v>0</v>
      </c>
      <c r="F2114" s="31">
        <f t="shared" si="261"/>
        <v>14.6</v>
      </c>
      <c r="G2114" s="31">
        <f t="shared" ca="1" si="257"/>
        <v>14.6</v>
      </c>
      <c r="H2114" s="30">
        <f t="shared" ca="1" si="258"/>
        <v>0</v>
      </c>
      <c r="I2114" s="31">
        <f t="shared" ca="1" si="259"/>
        <v>14.6</v>
      </c>
      <c r="Q2114" s="80"/>
      <c r="R2114" s="42"/>
      <c r="S2114" s="90">
        <f t="shared" si="264"/>
        <v>205.5999999999926</v>
      </c>
      <c r="T2114" s="42"/>
      <c r="U2114" s="42"/>
      <c r="V2114" s="42"/>
      <c r="W2114" s="42"/>
      <c r="X2114" s="81"/>
    </row>
    <row r="2115" spans="2:24" x14ac:dyDescent="0.25">
      <c r="B2115" s="2">
        <v>1</v>
      </c>
      <c r="C2115" s="1">
        <f t="shared" si="262"/>
        <v>9.9411764705880898</v>
      </c>
      <c r="D2115" s="1">
        <f t="shared" si="260"/>
        <v>1</v>
      </c>
      <c r="E2115" s="1">
        <f t="shared" si="263"/>
        <v>0</v>
      </c>
      <c r="F2115" s="31">
        <f t="shared" si="261"/>
        <v>14.6</v>
      </c>
      <c r="G2115" s="31">
        <f t="shared" ca="1" si="257"/>
        <v>14.6</v>
      </c>
      <c r="H2115" s="30">
        <f t="shared" ca="1" si="258"/>
        <v>0</v>
      </c>
      <c r="I2115" s="31">
        <f t="shared" ca="1" si="259"/>
        <v>14.6</v>
      </c>
      <c r="Q2115" s="80"/>
      <c r="R2115" s="42"/>
      <c r="S2115" s="90">
        <f t="shared" si="264"/>
        <v>205.6999999999926</v>
      </c>
      <c r="T2115" s="42"/>
      <c r="U2115" s="42"/>
      <c r="V2115" s="42"/>
      <c r="W2115" s="42"/>
      <c r="X2115" s="81"/>
    </row>
    <row r="2116" spans="2:24" x14ac:dyDescent="0.25">
      <c r="B2116" s="2">
        <v>1</v>
      </c>
      <c r="C2116" s="1">
        <f t="shared" si="262"/>
        <v>10.94117647058809</v>
      </c>
      <c r="D2116" s="1">
        <f t="shared" si="260"/>
        <v>1</v>
      </c>
      <c r="E2116" s="1">
        <f t="shared" si="263"/>
        <v>0</v>
      </c>
      <c r="F2116" s="31">
        <f t="shared" si="261"/>
        <v>14.6</v>
      </c>
      <c r="G2116" s="31">
        <f t="shared" ca="1" si="257"/>
        <v>14.6</v>
      </c>
      <c r="H2116" s="30">
        <f t="shared" ca="1" si="258"/>
        <v>0</v>
      </c>
      <c r="I2116" s="31">
        <f t="shared" ca="1" si="259"/>
        <v>14.6</v>
      </c>
      <c r="Q2116" s="80"/>
      <c r="R2116" s="42"/>
      <c r="S2116" s="90">
        <f t="shared" si="264"/>
        <v>205.79999999999259</v>
      </c>
      <c r="T2116" s="42"/>
      <c r="U2116" s="42"/>
      <c r="V2116" s="42"/>
      <c r="W2116" s="42"/>
      <c r="X2116" s="81"/>
    </row>
    <row r="2117" spans="2:24" x14ac:dyDescent="0.25">
      <c r="B2117" s="2">
        <v>1</v>
      </c>
      <c r="C2117" s="1">
        <f t="shared" si="262"/>
        <v>11.94117647058809</v>
      </c>
      <c r="D2117" s="1">
        <f t="shared" si="260"/>
        <v>1</v>
      </c>
      <c r="E2117" s="1">
        <f t="shared" si="263"/>
        <v>0</v>
      </c>
      <c r="F2117" s="31">
        <f t="shared" si="261"/>
        <v>14.6</v>
      </c>
      <c r="G2117" s="31">
        <f t="shared" ca="1" si="257"/>
        <v>14.6</v>
      </c>
      <c r="H2117" s="30">
        <f t="shared" ca="1" si="258"/>
        <v>0</v>
      </c>
      <c r="I2117" s="31">
        <f t="shared" ca="1" si="259"/>
        <v>14.6</v>
      </c>
      <c r="Q2117" s="80"/>
      <c r="R2117" s="42"/>
      <c r="S2117" s="90">
        <f t="shared" si="264"/>
        <v>205.89999999999259</v>
      </c>
      <c r="T2117" s="42"/>
      <c r="U2117" s="42"/>
      <c r="V2117" s="42"/>
      <c r="W2117" s="42"/>
      <c r="X2117" s="81"/>
    </row>
    <row r="2118" spans="2:24" x14ac:dyDescent="0.25">
      <c r="B2118" s="2">
        <v>1</v>
      </c>
      <c r="C2118" s="1">
        <f t="shared" si="262"/>
        <v>12.94117647058809</v>
      </c>
      <c r="D2118" s="1">
        <f t="shared" si="260"/>
        <v>1</v>
      </c>
      <c r="E2118" s="1">
        <f t="shared" si="263"/>
        <v>0</v>
      </c>
      <c r="F2118" s="31">
        <f t="shared" si="261"/>
        <v>14.6</v>
      </c>
      <c r="G2118" s="31">
        <f t="shared" ca="1" si="257"/>
        <v>14.6</v>
      </c>
      <c r="H2118" s="30">
        <f t="shared" ca="1" si="258"/>
        <v>0</v>
      </c>
      <c r="I2118" s="31">
        <f t="shared" ca="1" si="259"/>
        <v>14.6</v>
      </c>
      <c r="Q2118" s="80"/>
      <c r="R2118" s="42"/>
      <c r="S2118" s="90">
        <f t="shared" si="264"/>
        <v>205.99999999999258</v>
      </c>
      <c r="T2118" s="42"/>
      <c r="U2118" s="42"/>
      <c r="V2118" s="42"/>
      <c r="W2118" s="42"/>
      <c r="X2118" s="81"/>
    </row>
    <row r="2119" spans="2:24" ht="15.75" thickBot="1" x14ac:dyDescent="0.3">
      <c r="Q2119" s="91"/>
      <c r="R2119" s="92"/>
      <c r="S2119" s="92"/>
      <c r="T2119" s="92"/>
      <c r="U2119" s="92"/>
      <c r="V2119" s="92"/>
      <c r="W2119" s="92"/>
      <c r="X2119" s="93"/>
    </row>
  </sheetData>
  <mergeCells count="23">
    <mergeCell ref="F18:M18"/>
    <mergeCell ref="F22:M22"/>
    <mergeCell ref="F23:M23"/>
    <mergeCell ref="B24:C24"/>
    <mergeCell ref="F24:M24"/>
    <mergeCell ref="B19:C19"/>
    <mergeCell ref="B20:C20"/>
    <mergeCell ref="B21:C21"/>
    <mergeCell ref="B22:C22"/>
    <mergeCell ref="B23:C23"/>
    <mergeCell ref="F19:M19"/>
    <mergeCell ref="F20:M20"/>
    <mergeCell ref="F21:M21"/>
    <mergeCell ref="B33:C33"/>
    <mergeCell ref="I31:M31"/>
    <mergeCell ref="I32:M32"/>
    <mergeCell ref="I33:M33"/>
    <mergeCell ref="B31:C31"/>
    <mergeCell ref="B27:C27"/>
    <mergeCell ref="B28:C28"/>
    <mergeCell ref="F27:K27"/>
    <mergeCell ref="F28:K28"/>
    <mergeCell ref="B32:C32"/>
  </mergeCells>
  <conditionalFormatting sqref="D58:D64">
    <cfRule type="cellIs" dxfId="10" priority="8" operator="equal">
      <formula>0</formula>
    </cfRule>
    <cfRule type="cellIs" dxfId="9" priority="9" operator="equal">
      <formula>1</formula>
    </cfRule>
  </conditionalFormatting>
  <conditionalFormatting sqref="E58:E64 E139:E921">
    <cfRule type="cellIs" dxfId="8" priority="6" operator="equal">
      <formula>0</formula>
    </cfRule>
    <cfRule type="cellIs" dxfId="7" priority="7" operator="equal">
      <formula>1</formula>
    </cfRule>
  </conditionalFormatting>
  <conditionalFormatting sqref="D65:D2118">
    <cfRule type="cellIs" dxfId="6" priority="4" operator="equal">
      <formula>0</formula>
    </cfRule>
    <cfRule type="cellIs" dxfId="5" priority="5" operator="equal">
      <formula>1</formula>
    </cfRule>
  </conditionalFormatting>
  <conditionalFormatting sqref="E65:E2118">
    <cfRule type="cellIs" dxfId="4" priority="2" operator="equal">
      <formula>0</formula>
    </cfRule>
    <cfRule type="cellIs" dxfId="3" priority="3" operator="equal">
      <formula>1</formula>
    </cfRule>
  </conditionalFormatting>
  <conditionalFormatting sqref="E27:E28">
    <cfRule type="cellIs" dxfId="2" priority="1" operator="lessThan">
      <formula>0.1</formula>
    </cfRule>
  </conditionalFormatting>
  <dataValidations disablePrompts="1" count="1">
    <dataValidation type="decimal" operator="greaterThanOrEqual" allowBlank="1" showInputMessage="1" showErrorMessage="1" promptTitle="Time for the system to react" prompt="A decimal number, greater than 0" sqref="E27:E28">
      <formula1>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2" r:id="rId4" name="Scroll Bar 16">
              <controlPr defaultSize="0" autoPict="0">
                <anchor moveWithCells="1">
                  <from>
                    <xdr:col>3</xdr:col>
                    <xdr:colOff>171450</xdr:colOff>
                    <xdr:row>1</xdr:row>
                    <xdr:rowOff>142875</xdr:rowOff>
                  </from>
                  <to>
                    <xdr:col>3</xdr:col>
                    <xdr:colOff>628650</xdr:colOff>
                    <xdr:row>8</xdr:row>
                    <xdr:rowOff>466725</xdr:rowOff>
                  </to>
                </anchor>
              </controlPr>
            </control>
          </mc:Choice>
        </mc:AlternateContent>
        <mc:AlternateContent xmlns:mc="http://schemas.openxmlformats.org/markup-compatibility/2006">
          <mc:Choice Requires="x14">
            <control shapeId="4113" r:id="rId5" name="Scroll Bar 17">
              <controlPr defaultSize="0" autoPict="0">
                <anchor moveWithCells="1">
                  <from>
                    <xdr:col>4</xdr:col>
                    <xdr:colOff>209550</xdr:colOff>
                    <xdr:row>1</xdr:row>
                    <xdr:rowOff>142875</xdr:rowOff>
                  </from>
                  <to>
                    <xdr:col>4</xdr:col>
                    <xdr:colOff>666750</xdr:colOff>
                    <xdr:row>8</xdr:row>
                    <xdr:rowOff>457200</xdr:rowOff>
                  </to>
                </anchor>
              </controlPr>
            </control>
          </mc:Choice>
        </mc:AlternateContent>
        <mc:AlternateContent xmlns:mc="http://schemas.openxmlformats.org/markup-compatibility/2006">
          <mc:Choice Requires="x14">
            <control shapeId="4114" r:id="rId6" name="Scroll Bar 18">
              <controlPr defaultSize="0" autoPict="0">
                <anchor moveWithCells="1">
                  <from>
                    <xdr:col>5</xdr:col>
                    <xdr:colOff>209550</xdr:colOff>
                    <xdr:row>1</xdr:row>
                    <xdr:rowOff>142875</xdr:rowOff>
                  </from>
                  <to>
                    <xdr:col>5</xdr:col>
                    <xdr:colOff>666750</xdr:colOff>
                    <xdr:row>8</xdr:row>
                    <xdr:rowOff>457200</xdr:rowOff>
                  </to>
                </anchor>
              </controlPr>
            </control>
          </mc:Choice>
        </mc:AlternateContent>
        <mc:AlternateContent xmlns:mc="http://schemas.openxmlformats.org/markup-compatibility/2006">
          <mc:Choice Requires="x14">
            <control shapeId="4115" r:id="rId7" name="Scroll Bar 19">
              <controlPr defaultSize="0" autoPict="0">
                <anchor moveWithCells="1">
                  <from>
                    <xdr:col>6</xdr:col>
                    <xdr:colOff>238125</xdr:colOff>
                    <xdr:row>1</xdr:row>
                    <xdr:rowOff>142875</xdr:rowOff>
                  </from>
                  <to>
                    <xdr:col>6</xdr:col>
                    <xdr:colOff>695325</xdr:colOff>
                    <xdr:row>8</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O368"/>
  <sheetViews>
    <sheetView zoomScale="70" zoomScaleNormal="70" workbookViewId="0">
      <selection activeCell="E4" sqref="E4"/>
    </sheetView>
  </sheetViews>
  <sheetFormatPr defaultRowHeight="15" x14ac:dyDescent="0.25"/>
  <cols>
    <col min="1" max="1" width="11" customWidth="1"/>
    <col min="3" max="3" width="8.85546875" style="2"/>
    <col min="4" max="4" width="13.7109375" bestFit="1" customWidth="1"/>
    <col min="5" max="5" width="15.85546875" customWidth="1"/>
    <col min="6" max="6" width="12.7109375" customWidth="1"/>
  </cols>
  <sheetData>
    <row r="4" spans="2:15" ht="14.45" x14ac:dyDescent="0.3">
      <c r="B4" s="3" t="s">
        <v>5</v>
      </c>
      <c r="E4" s="7">
        <v>5</v>
      </c>
    </row>
    <row r="6" spans="2:15" s="4" customFormat="1" ht="30" customHeight="1" x14ac:dyDescent="0.3">
      <c r="C6" s="4" t="s">
        <v>0</v>
      </c>
      <c r="D6" s="6" t="s">
        <v>4</v>
      </c>
      <c r="E6" s="4" t="s">
        <v>1</v>
      </c>
    </row>
    <row r="7" spans="2:15" s="4" customFormat="1" ht="30" customHeight="1" x14ac:dyDescent="0.3">
      <c r="B7" s="4" t="s">
        <v>2</v>
      </c>
      <c r="C7" s="5" t="s">
        <v>3</v>
      </c>
      <c r="E7" s="8" t="s">
        <v>6</v>
      </c>
      <c r="F7" s="5"/>
      <c r="G7" s="5"/>
      <c r="H7" s="5"/>
      <c r="I7" s="5"/>
      <c r="J7" s="5"/>
      <c r="K7" s="5"/>
      <c r="L7" s="5"/>
      <c r="M7" s="5"/>
      <c r="N7" s="5"/>
      <c r="O7" s="5"/>
    </row>
    <row r="8" spans="2:15" ht="14.45" x14ac:dyDescent="0.3">
      <c r="C8" s="2">
        <v>1</v>
      </c>
      <c r="D8" s="1">
        <v>1</v>
      </c>
      <c r="E8" s="1">
        <f>IF(D8=0,1,0)</f>
        <v>0</v>
      </c>
    </row>
    <row r="9" spans="2:15" ht="14.45" x14ac:dyDescent="0.3">
      <c r="C9" s="2">
        <v>1</v>
      </c>
      <c r="D9" s="1">
        <f t="shared" ref="D9:D72" si="0">MOD((C9+D8),RTC_Calibration)</f>
        <v>2</v>
      </c>
      <c r="E9" s="1">
        <f t="shared" ref="E9:E72" si="1">IF(D9=0,1,0)</f>
        <v>0</v>
      </c>
    </row>
    <row r="10" spans="2:15" ht="14.45" x14ac:dyDescent="0.3">
      <c r="C10" s="2">
        <v>1</v>
      </c>
      <c r="D10" s="1">
        <f t="shared" si="0"/>
        <v>3</v>
      </c>
      <c r="E10" s="1">
        <f t="shared" si="1"/>
        <v>0</v>
      </c>
    </row>
    <row r="11" spans="2:15" ht="14.45" x14ac:dyDescent="0.3">
      <c r="C11" s="2">
        <v>1</v>
      </c>
      <c r="D11" s="1">
        <f t="shared" si="0"/>
        <v>4</v>
      </c>
      <c r="E11" s="1">
        <f t="shared" si="1"/>
        <v>0</v>
      </c>
    </row>
    <row r="12" spans="2:15" ht="14.45" x14ac:dyDescent="0.3">
      <c r="C12" s="2">
        <v>1</v>
      </c>
      <c r="D12" s="1">
        <f t="shared" si="0"/>
        <v>0</v>
      </c>
      <c r="E12" s="1">
        <f t="shared" si="1"/>
        <v>1</v>
      </c>
    </row>
    <row r="13" spans="2:15" ht="14.45" x14ac:dyDescent="0.3">
      <c r="C13" s="2">
        <v>1</v>
      </c>
      <c r="D13" s="1">
        <f t="shared" si="0"/>
        <v>1</v>
      </c>
      <c r="E13" s="1">
        <f t="shared" si="1"/>
        <v>0</v>
      </c>
    </row>
    <row r="14" spans="2:15" ht="14.45" x14ac:dyDescent="0.3">
      <c r="C14" s="2">
        <v>1</v>
      </c>
      <c r="D14" s="1">
        <f t="shared" si="0"/>
        <v>2</v>
      </c>
      <c r="E14" s="1">
        <f t="shared" si="1"/>
        <v>0</v>
      </c>
    </row>
    <row r="15" spans="2:15" ht="14.45" x14ac:dyDescent="0.3">
      <c r="C15" s="2">
        <v>1</v>
      </c>
      <c r="D15" s="1">
        <f t="shared" si="0"/>
        <v>3</v>
      </c>
      <c r="E15" s="1">
        <f t="shared" si="1"/>
        <v>0</v>
      </c>
    </row>
    <row r="16" spans="2:15" ht="14.45" x14ac:dyDescent="0.3">
      <c r="C16" s="2">
        <v>1</v>
      </c>
      <c r="D16" s="1">
        <f t="shared" si="0"/>
        <v>4</v>
      </c>
      <c r="E16" s="1">
        <f t="shared" si="1"/>
        <v>0</v>
      </c>
    </row>
    <row r="17" spans="3:5" ht="14.45" x14ac:dyDescent="0.3">
      <c r="C17" s="2">
        <v>1</v>
      </c>
      <c r="D17" s="1">
        <f t="shared" si="0"/>
        <v>0</v>
      </c>
      <c r="E17" s="1">
        <f t="shared" si="1"/>
        <v>1</v>
      </c>
    </row>
    <row r="18" spans="3:5" ht="14.45" x14ac:dyDescent="0.3">
      <c r="C18" s="2">
        <v>1</v>
      </c>
      <c r="D18" s="1">
        <f t="shared" si="0"/>
        <v>1</v>
      </c>
      <c r="E18" s="1">
        <f t="shared" si="1"/>
        <v>0</v>
      </c>
    </row>
    <row r="19" spans="3:5" ht="14.45" x14ac:dyDescent="0.3">
      <c r="C19" s="2">
        <v>1</v>
      </c>
      <c r="D19" s="1">
        <f t="shared" si="0"/>
        <v>2</v>
      </c>
      <c r="E19" s="1">
        <f t="shared" si="1"/>
        <v>0</v>
      </c>
    </row>
    <row r="20" spans="3:5" ht="14.45" x14ac:dyDescent="0.3">
      <c r="C20" s="2">
        <v>1</v>
      </c>
      <c r="D20" s="1">
        <f t="shared" si="0"/>
        <v>3</v>
      </c>
      <c r="E20" s="1">
        <f t="shared" si="1"/>
        <v>0</v>
      </c>
    </row>
    <row r="21" spans="3:5" ht="14.45" x14ac:dyDescent="0.3">
      <c r="C21" s="2">
        <v>1</v>
      </c>
      <c r="D21" s="1">
        <f t="shared" si="0"/>
        <v>4</v>
      </c>
      <c r="E21" s="1">
        <f t="shared" si="1"/>
        <v>0</v>
      </c>
    </row>
    <row r="22" spans="3:5" ht="14.45" x14ac:dyDescent="0.3">
      <c r="C22" s="2">
        <v>1</v>
      </c>
      <c r="D22" s="1">
        <f t="shared" si="0"/>
        <v>0</v>
      </c>
      <c r="E22" s="1">
        <f t="shared" si="1"/>
        <v>1</v>
      </c>
    </row>
    <row r="23" spans="3:5" ht="14.45" x14ac:dyDescent="0.3">
      <c r="C23" s="2">
        <v>1</v>
      </c>
      <c r="D23" s="1">
        <f t="shared" si="0"/>
        <v>1</v>
      </c>
      <c r="E23" s="1">
        <f t="shared" si="1"/>
        <v>0</v>
      </c>
    </row>
    <row r="24" spans="3:5" ht="14.45" x14ac:dyDescent="0.3">
      <c r="C24" s="2">
        <v>1</v>
      </c>
      <c r="D24" s="1">
        <f t="shared" si="0"/>
        <v>2</v>
      </c>
      <c r="E24" s="1">
        <f t="shared" si="1"/>
        <v>0</v>
      </c>
    </row>
    <row r="25" spans="3:5" ht="14.45" x14ac:dyDescent="0.3">
      <c r="C25" s="2">
        <v>1</v>
      </c>
      <c r="D25" s="1">
        <f t="shared" si="0"/>
        <v>3</v>
      </c>
      <c r="E25" s="1">
        <f t="shared" si="1"/>
        <v>0</v>
      </c>
    </row>
    <row r="26" spans="3:5" ht="14.45" x14ac:dyDescent="0.3">
      <c r="C26" s="2">
        <v>1</v>
      </c>
      <c r="D26" s="1">
        <f t="shared" si="0"/>
        <v>4</v>
      </c>
      <c r="E26" s="1">
        <f t="shared" si="1"/>
        <v>0</v>
      </c>
    </row>
    <row r="27" spans="3:5" ht="14.45" x14ac:dyDescent="0.3">
      <c r="C27" s="2">
        <v>1</v>
      </c>
      <c r="D27" s="1">
        <f t="shared" si="0"/>
        <v>0</v>
      </c>
      <c r="E27" s="1">
        <f t="shared" si="1"/>
        <v>1</v>
      </c>
    </row>
    <row r="28" spans="3:5" ht="14.45" x14ac:dyDescent="0.3">
      <c r="C28" s="2">
        <v>1</v>
      </c>
      <c r="D28" s="1">
        <f t="shared" si="0"/>
        <v>1</v>
      </c>
      <c r="E28" s="1">
        <f t="shared" si="1"/>
        <v>0</v>
      </c>
    </row>
    <row r="29" spans="3:5" ht="14.45" x14ac:dyDescent="0.3">
      <c r="C29" s="2">
        <v>1</v>
      </c>
      <c r="D29" s="1">
        <f t="shared" si="0"/>
        <v>2</v>
      </c>
      <c r="E29" s="1">
        <f t="shared" si="1"/>
        <v>0</v>
      </c>
    </row>
    <row r="30" spans="3:5" ht="14.45" x14ac:dyDescent="0.3">
      <c r="C30" s="2">
        <v>1</v>
      </c>
      <c r="D30" s="1">
        <f t="shared" si="0"/>
        <v>3</v>
      </c>
      <c r="E30" s="1">
        <f t="shared" si="1"/>
        <v>0</v>
      </c>
    </row>
    <row r="31" spans="3:5" ht="14.45" x14ac:dyDescent="0.3">
      <c r="C31" s="2">
        <v>1</v>
      </c>
      <c r="D31" s="1">
        <f t="shared" si="0"/>
        <v>4</v>
      </c>
      <c r="E31" s="1">
        <f t="shared" si="1"/>
        <v>0</v>
      </c>
    </row>
    <row r="32" spans="3:5" ht="14.45" x14ac:dyDescent="0.3">
      <c r="C32" s="2">
        <v>1</v>
      </c>
      <c r="D32" s="1">
        <f t="shared" si="0"/>
        <v>0</v>
      </c>
      <c r="E32" s="1">
        <f t="shared" si="1"/>
        <v>1</v>
      </c>
    </row>
    <row r="33" spans="3:5" ht="14.45" x14ac:dyDescent="0.3">
      <c r="C33" s="2">
        <v>1</v>
      </c>
      <c r="D33" s="1">
        <f t="shared" si="0"/>
        <v>1</v>
      </c>
      <c r="E33" s="1">
        <f t="shared" si="1"/>
        <v>0</v>
      </c>
    </row>
    <row r="34" spans="3:5" ht="14.45" x14ac:dyDescent="0.3">
      <c r="C34" s="2">
        <v>1</v>
      </c>
      <c r="D34" s="1">
        <f t="shared" si="0"/>
        <v>2</v>
      </c>
      <c r="E34" s="1">
        <f t="shared" si="1"/>
        <v>0</v>
      </c>
    </row>
    <row r="35" spans="3:5" ht="14.45" x14ac:dyDescent="0.3">
      <c r="C35" s="2">
        <v>1</v>
      </c>
      <c r="D35" s="1">
        <f t="shared" si="0"/>
        <v>3</v>
      </c>
      <c r="E35" s="1">
        <f t="shared" si="1"/>
        <v>0</v>
      </c>
    </row>
    <row r="36" spans="3:5" ht="14.45" x14ac:dyDescent="0.3">
      <c r="C36" s="2">
        <v>1</v>
      </c>
      <c r="D36" s="1">
        <f t="shared" si="0"/>
        <v>4</v>
      </c>
      <c r="E36" s="1">
        <f t="shared" si="1"/>
        <v>0</v>
      </c>
    </row>
    <row r="37" spans="3:5" x14ac:dyDescent="0.25">
      <c r="C37" s="2">
        <v>1</v>
      </c>
      <c r="D37" s="1">
        <f t="shared" si="0"/>
        <v>0</v>
      </c>
      <c r="E37" s="1">
        <f t="shared" si="1"/>
        <v>1</v>
      </c>
    </row>
    <row r="38" spans="3:5" x14ac:dyDescent="0.25">
      <c r="C38" s="2">
        <v>1</v>
      </c>
      <c r="D38" s="1">
        <f t="shared" si="0"/>
        <v>1</v>
      </c>
      <c r="E38" s="1">
        <f t="shared" si="1"/>
        <v>0</v>
      </c>
    </row>
    <row r="39" spans="3:5" x14ac:dyDescent="0.25">
      <c r="C39" s="2">
        <v>1</v>
      </c>
      <c r="D39" s="1">
        <f t="shared" si="0"/>
        <v>2</v>
      </c>
      <c r="E39" s="1">
        <f t="shared" si="1"/>
        <v>0</v>
      </c>
    </row>
    <row r="40" spans="3:5" x14ac:dyDescent="0.25">
      <c r="C40" s="2">
        <v>1</v>
      </c>
      <c r="D40" s="1">
        <f t="shared" si="0"/>
        <v>3</v>
      </c>
      <c r="E40" s="1">
        <f t="shared" si="1"/>
        <v>0</v>
      </c>
    </row>
    <row r="41" spans="3:5" x14ac:dyDescent="0.25">
      <c r="C41" s="2">
        <v>1</v>
      </c>
      <c r="D41" s="1">
        <f t="shared" si="0"/>
        <v>4</v>
      </c>
      <c r="E41" s="1">
        <f t="shared" si="1"/>
        <v>0</v>
      </c>
    </row>
    <row r="42" spans="3:5" x14ac:dyDescent="0.25">
      <c r="C42" s="2">
        <v>1</v>
      </c>
      <c r="D42" s="1">
        <f t="shared" si="0"/>
        <v>0</v>
      </c>
      <c r="E42" s="1">
        <f t="shared" si="1"/>
        <v>1</v>
      </c>
    </row>
    <row r="43" spans="3:5" x14ac:dyDescent="0.25">
      <c r="C43" s="2">
        <v>1</v>
      </c>
      <c r="D43" s="1">
        <f t="shared" si="0"/>
        <v>1</v>
      </c>
      <c r="E43" s="1">
        <f t="shared" si="1"/>
        <v>0</v>
      </c>
    </row>
    <row r="44" spans="3:5" x14ac:dyDescent="0.25">
      <c r="C44" s="2">
        <v>1</v>
      </c>
      <c r="D44" s="1">
        <f t="shared" si="0"/>
        <v>2</v>
      </c>
      <c r="E44" s="1">
        <f t="shared" si="1"/>
        <v>0</v>
      </c>
    </row>
    <row r="45" spans="3:5" x14ac:dyDescent="0.25">
      <c r="C45" s="2">
        <v>1</v>
      </c>
      <c r="D45" s="1">
        <f t="shared" si="0"/>
        <v>3</v>
      </c>
      <c r="E45" s="1">
        <f t="shared" si="1"/>
        <v>0</v>
      </c>
    </row>
    <row r="46" spans="3:5" x14ac:dyDescent="0.25">
      <c r="C46" s="2">
        <v>1</v>
      </c>
      <c r="D46" s="1">
        <f t="shared" si="0"/>
        <v>4</v>
      </c>
      <c r="E46" s="1">
        <f t="shared" si="1"/>
        <v>0</v>
      </c>
    </row>
    <row r="47" spans="3:5" x14ac:dyDescent="0.25">
      <c r="C47" s="2">
        <v>1</v>
      </c>
      <c r="D47" s="1">
        <f t="shared" si="0"/>
        <v>0</v>
      </c>
      <c r="E47" s="1">
        <f t="shared" si="1"/>
        <v>1</v>
      </c>
    </row>
    <row r="48" spans="3:5" x14ac:dyDescent="0.25">
      <c r="C48" s="2">
        <v>1</v>
      </c>
      <c r="D48" s="1">
        <f t="shared" si="0"/>
        <v>1</v>
      </c>
      <c r="E48" s="1">
        <f t="shared" si="1"/>
        <v>0</v>
      </c>
    </row>
    <row r="49" spans="3:5" x14ac:dyDescent="0.25">
      <c r="C49" s="2">
        <v>1</v>
      </c>
      <c r="D49" s="1">
        <f t="shared" si="0"/>
        <v>2</v>
      </c>
      <c r="E49" s="1">
        <f t="shared" si="1"/>
        <v>0</v>
      </c>
    </row>
    <row r="50" spans="3:5" x14ac:dyDescent="0.25">
      <c r="C50" s="2">
        <v>1</v>
      </c>
      <c r="D50" s="1">
        <f t="shared" si="0"/>
        <v>3</v>
      </c>
      <c r="E50" s="1">
        <f t="shared" si="1"/>
        <v>0</v>
      </c>
    </row>
    <row r="51" spans="3:5" x14ac:dyDescent="0.25">
      <c r="C51" s="2">
        <v>1</v>
      </c>
      <c r="D51" s="1">
        <f t="shared" si="0"/>
        <v>4</v>
      </c>
      <c r="E51" s="1">
        <f t="shared" si="1"/>
        <v>0</v>
      </c>
    </row>
    <row r="52" spans="3:5" x14ac:dyDescent="0.25">
      <c r="C52" s="2">
        <v>1</v>
      </c>
      <c r="D52" s="1">
        <f t="shared" si="0"/>
        <v>0</v>
      </c>
      <c r="E52" s="1">
        <f t="shared" si="1"/>
        <v>1</v>
      </c>
    </row>
    <row r="53" spans="3:5" x14ac:dyDescent="0.25">
      <c r="C53" s="2">
        <v>1</v>
      </c>
      <c r="D53" s="1">
        <f t="shared" si="0"/>
        <v>1</v>
      </c>
      <c r="E53" s="1">
        <f t="shared" si="1"/>
        <v>0</v>
      </c>
    </row>
    <row r="54" spans="3:5" x14ac:dyDescent="0.25">
      <c r="C54" s="2">
        <v>1</v>
      </c>
      <c r="D54" s="1">
        <f t="shared" si="0"/>
        <v>2</v>
      </c>
      <c r="E54" s="1">
        <f t="shared" si="1"/>
        <v>0</v>
      </c>
    </row>
    <row r="55" spans="3:5" x14ac:dyDescent="0.25">
      <c r="C55" s="2">
        <v>1</v>
      </c>
      <c r="D55" s="1">
        <f t="shared" si="0"/>
        <v>3</v>
      </c>
      <c r="E55" s="1">
        <f t="shared" si="1"/>
        <v>0</v>
      </c>
    </row>
    <row r="56" spans="3:5" x14ac:dyDescent="0.25">
      <c r="C56" s="2">
        <v>1</v>
      </c>
      <c r="D56" s="1">
        <f t="shared" si="0"/>
        <v>4</v>
      </c>
      <c r="E56" s="1">
        <f t="shared" si="1"/>
        <v>0</v>
      </c>
    </row>
    <row r="57" spans="3:5" x14ac:dyDescent="0.25">
      <c r="C57" s="2">
        <v>1</v>
      </c>
      <c r="D57" s="1">
        <f t="shared" si="0"/>
        <v>0</v>
      </c>
      <c r="E57" s="1">
        <f t="shared" si="1"/>
        <v>1</v>
      </c>
    </row>
    <row r="58" spans="3:5" x14ac:dyDescent="0.25">
      <c r="C58" s="2">
        <v>1</v>
      </c>
      <c r="D58" s="1">
        <f t="shared" si="0"/>
        <v>1</v>
      </c>
      <c r="E58" s="1">
        <f t="shared" si="1"/>
        <v>0</v>
      </c>
    </row>
    <row r="59" spans="3:5" x14ac:dyDescent="0.25">
      <c r="C59" s="2">
        <v>1</v>
      </c>
      <c r="D59" s="1">
        <f t="shared" si="0"/>
        <v>2</v>
      </c>
      <c r="E59" s="1">
        <f t="shared" si="1"/>
        <v>0</v>
      </c>
    </row>
    <row r="60" spans="3:5" x14ac:dyDescent="0.25">
      <c r="C60" s="2">
        <v>1</v>
      </c>
      <c r="D60" s="1">
        <f t="shared" si="0"/>
        <v>3</v>
      </c>
      <c r="E60" s="1">
        <f t="shared" si="1"/>
        <v>0</v>
      </c>
    </row>
    <row r="61" spans="3:5" x14ac:dyDescent="0.25">
      <c r="C61" s="2">
        <v>1</v>
      </c>
      <c r="D61" s="1">
        <f t="shared" si="0"/>
        <v>4</v>
      </c>
      <c r="E61" s="1">
        <f t="shared" si="1"/>
        <v>0</v>
      </c>
    </row>
    <row r="62" spans="3:5" x14ac:dyDescent="0.25">
      <c r="C62" s="2">
        <v>1</v>
      </c>
      <c r="D62" s="1">
        <f t="shared" si="0"/>
        <v>0</v>
      </c>
      <c r="E62" s="1">
        <f t="shared" si="1"/>
        <v>1</v>
      </c>
    </row>
    <row r="63" spans="3:5" x14ac:dyDescent="0.25">
      <c r="C63" s="2">
        <v>1</v>
      </c>
      <c r="D63" s="1">
        <f t="shared" si="0"/>
        <v>1</v>
      </c>
      <c r="E63" s="1">
        <f t="shared" si="1"/>
        <v>0</v>
      </c>
    </row>
    <row r="64" spans="3:5" x14ac:dyDescent="0.25">
      <c r="C64" s="2">
        <v>1</v>
      </c>
      <c r="D64" s="1">
        <f t="shared" si="0"/>
        <v>2</v>
      </c>
      <c r="E64" s="1">
        <f t="shared" si="1"/>
        <v>0</v>
      </c>
    </row>
    <row r="65" spans="3:5" x14ac:dyDescent="0.25">
      <c r="C65" s="2">
        <v>1</v>
      </c>
      <c r="D65" s="1">
        <f t="shared" si="0"/>
        <v>3</v>
      </c>
      <c r="E65" s="1">
        <f t="shared" si="1"/>
        <v>0</v>
      </c>
    </row>
    <row r="66" spans="3:5" x14ac:dyDescent="0.25">
      <c r="C66" s="2">
        <v>1</v>
      </c>
      <c r="D66" s="1">
        <f t="shared" si="0"/>
        <v>4</v>
      </c>
      <c r="E66" s="1">
        <f t="shared" si="1"/>
        <v>0</v>
      </c>
    </row>
    <row r="67" spans="3:5" x14ac:dyDescent="0.25">
      <c r="C67" s="2">
        <v>1</v>
      </c>
      <c r="D67" s="1">
        <f t="shared" si="0"/>
        <v>0</v>
      </c>
      <c r="E67" s="1">
        <f t="shared" si="1"/>
        <v>1</v>
      </c>
    </row>
    <row r="68" spans="3:5" x14ac:dyDescent="0.25">
      <c r="C68" s="2">
        <v>1</v>
      </c>
      <c r="D68" s="1">
        <f t="shared" si="0"/>
        <v>1</v>
      </c>
      <c r="E68" s="1">
        <f t="shared" si="1"/>
        <v>0</v>
      </c>
    </row>
    <row r="69" spans="3:5" x14ac:dyDescent="0.25">
      <c r="C69" s="2">
        <v>1</v>
      </c>
      <c r="D69" s="1">
        <f t="shared" si="0"/>
        <v>2</v>
      </c>
      <c r="E69" s="1">
        <f t="shared" si="1"/>
        <v>0</v>
      </c>
    </row>
    <row r="70" spans="3:5" x14ac:dyDescent="0.25">
      <c r="C70" s="2">
        <v>1</v>
      </c>
      <c r="D70" s="1">
        <f t="shared" si="0"/>
        <v>3</v>
      </c>
      <c r="E70" s="1">
        <f t="shared" si="1"/>
        <v>0</v>
      </c>
    </row>
    <row r="71" spans="3:5" x14ac:dyDescent="0.25">
      <c r="C71" s="2">
        <v>1</v>
      </c>
      <c r="D71" s="1">
        <f t="shared" si="0"/>
        <v>4</v>
      </c>
      <c r="E71" s="1">
        <f t="shared" si="1"/>
        <v>0</v>
      </c>
    </row>
    <row r="72" spans="3:5" x14ac:dyDescent="0.25">
      <c r="C72" s="2">
        <v>1</v>
      </c>
      <c r="D72" s="1">
        <f t="shared" si="0"/>
        <v>0</v>
      </c>
      <c r="E72" s="1">
        <f t="shared" si="1"/>
        <v>1</v>
      </c>
    </row>
    <row r="73" spans="3:5" x14ac:dyDescent="0.25">
      <c r="C73" s="2">
        <v>1</v>
      </c>
      <c r="D73" s="1">
        <f t="shared" ref="D73:D136" si="2">MOD((C73+D72),RTC_Calibration)</f>
        <v>1</v>
      </c>
      <c r="E73" s="1">
        <f t="shared" ref="E73:E136" si="3">IF(D73=0,1,0)</f>
        <v>0</v>
      </c>
    </row>
    <row r="74" spans="3:5" x14ac:dyDescent="0.25">
      <c r="C74" s="2">
        <v>1</v>
      </c>
      <c r="D74" s="1">
        <f t="shared" si="2"/>
        <v>2</v>
      </c>
      <c r="E74" s="1">
        <f t="shared" si="3"/>
        <v>0</v>
      </c>
    </row>
    <row r="75" spans="3:5" x14ac:dyDescent="0.25">
      <c r="C75" s="2">
        <v>1</v>
      </c>
      <c r="D75" s="1">
        <f t="shared" si="2"/>
        <v>3</v>
      </c>
      <c r="E75" s="1">
        <f t="shared" si="3"/>
        <v>0</v>
      </c>
    </row>
    <row r="76" spans="3:5" x14ac:dyDescent="0.25">
      <c r="C76" s="2">
        <v>1</v>
      </c>
      <c r="D76" s="1">
        <f t="shared" si="2"/>
        <v>4</v>
      </c>
      <c r="E76" s="1">
        <f t="shared" si="3"/>
        <v>0</v>
      </c>
    </row>
    <row r="77" spans="3:5" x14ac:dyDescent="0.25">
      <c r="C77" s="2">
        <v>1</v>
      </c>
      <c r="D77" s="1">
        <f t="shared" si="2"/>
        <v>0</v>
      </c>
      <c r="E77" s="1">
        <f t="shared" si="3"/>
        <v>1</v>
      </c>
    </row>
    <row r="78" spans="3:5" x14ac:dyDescent="0.25">
      <c r="C78" s="2">
        <v>1</v>
      </c>
      <c r="D78" s="1">
        <f t="shared" si="2"/>
        <v>1</v>
      </c>
      <c r="E78" s="1">
        <f t="shared" si="3"/>
        <v>0</v>
      </c>
    </row>
    <row r="79" spans="3:5" x14ac:dyDescent="0.25">
      <c r="C79" s="2">
        <v>1</v>
      </c>
      <c r="D79" s="1">
        <f t="shared" si="2"/>
        <v>2</v>
      </c>
      <c r="E79" s="1">
        <f t="shared" si="3"/>
        <v>0</v>
      </c>
    </row>
    <row r="80" spans="3:5" x14ac:dyDescent="0.25">
      <c r="C80" s="2">
        <v>1</v>
      </c>
      <c r="D80" s="1">
        <f t="shared" si="2"/>
        <v>3</v>
      </c>
      <c r="E80" s="1">
        <f t="shared" si="3"/>
        <v>0</v>
      </c>
    </row>
    <row r="81" spans="3:5" x14ac:dyDescent="0.25">
      <c r="C81" s="2">
        <v>1</v>
      </c>
      <c r="D81" s="1">
        <f t="shared" si="2"/>
        <v>4</v>
      </c>
      <c r="E81" s="1">
        <f t="shared" si="3"/>
        <v>0</v>
      </c>
    </row>
    <row r="82" spans="3:5" x14ac:dyDescent="0.25">
      <c r="C82" s="2">
        <v>1</v>
      </c>
      <c r="D82" s="1">
        <f t="shared" si="2"/>
        <v>0</v>
      </c>
      <c r="E82" s="1">
        <f t="shared" si="3"/>
        <v>1</v>
      </c>
    </row>
    <row r="83" spans="3:5" x14ac:dyDescent="0.25">
      <c r="C83" s="2">
        <v>1</v>
      </c>
      <c r="D83" s="1">
        <f t="shared" si="2"/>
        <v>1</v>
      </c>
      <c r="E83" s="1">
        <f t="shared" si="3"/>
        <v>0</v>
      </c>
    </row>
    <row r="84" spans="3:5" x14ac:dyDescent="0.25">
      <c r="C84" s="2">
        <v>1</v>
      </c>
      <c r="D84" s="1">
        <f t="shared" si="2"/>
        <v>2</v>
      </c>
      <c r="E84" s="1">
        <f t="shared" si="3"/>
        <v>0</v>
      </c>
    </row>
    <row r="85" spans="3:5" x14ac:dyDescent="0.25">
      <c r="C85" s="2">
        <v>1</v>
      </c>
      <c r="D85" s="1">
        <f t="shared" si="2"/>
        <v>3</v>
      </c>
      <c r="E85" s="1">
        <f t="shared" si="3"/>
        <v>0</v>
      </c>
    </row>
    <row r="86" spans="3:5" x14ac:dyDescent="0.25">
      <c r="C86" s="2">
        <v>1</v>
      </c>
      <c r="D86" s="1">
        <f t="shared" si="2"/>
        <v>4</v>
      </c>
      <c r="E86" s="1">
        <f t="shared" si="3"/>
        <v>0</v>
      </c>
    </row>
    <row r="87" spans="3:5" x14ac:dyDescent="0.25">
      <c r="C87" s="2">
        <v>1</v>
      </c>
      <c r="D87" s="1">
        <f t="shared" si="2"/>
        <v>0</v>
      </c>
      <c r="E87" s="1">
        <f t="shared" si="3"/>
        <v>1</v>
      </c>
    </row>
    <row r="88" spans="3:5" x14ac:dyDescent="0.25">
      <c r="C88" s="2">
        <v>1</v>
      </c>
      <c r="D88" s="1">
        <f t="shared" si="2"/>
        <v>1</v>
      </c>
      <c r="E88" s="1">
        <f t="shared" si="3"/>
        <v>0</v>
      </c>
    </row>
    <row r="89" spans="3:5" x14ac:dyDescent="0.25">
      <c r="C89" s="2">
        <v>1</v>
      </c>
      <c r="D89" s="1">
        <f t="shared" si="2"/>
        <v>2</v>
      </c>
      <c r="E89" s="1">
        <f t="shared" si="3"/>
        <v>0</v>
      </c>
    </row>
    <row r="90" spans="3:5" x14ac:dyDescent="0.25">
      <c r="C90" s="2">
        <v>1</v>
      </c>
      <c r="D90" s="1">
        <f t="shared" si="2"/>
        <v>3</v>
      </c>
      <c r="E90" s="1">
        <f t="shared" si="3"/>
        <v>0</v>
      </c>
    </row>
    <row r="91" spans="3:5" x14ac:dyDescent="0.25">
      <c r="C91" s="2">
        <v>1</v>
      </c>
      <c r="D91" s="1">
        <f t="shared" si="2"/>
        <v>4</v>
      </c>
      <c r="E91" s="1">
        <f t="shared" si="3"/>
        <v>0</v>
      </c>
    </row>
    <row r="92" spans="3:5" x14ac:dyDescent="0.25">
      <c r="C92" s="2">
        <v>1</v>
      </c>
      <c r="D92" s="1">
        <f t="shared" si="2"/>
        <v>0</v>
      </c>
      <c r="E92" s="1">
        <f t="shared" si="3"/>
        <v>1</v>
      </c>
    </row>
    <row r="93" spans="3:5" x14ac:dyDescent="0.25">
      <c r="C93" s="2">
        <v>1</v>
      </c>
      <c r="D93" s="1">
        <f t="shared" si="2"/>
        <v>1</v>
      </c>
      <c r="E93" s="1">
        <f t="shared" si="3"/>
        <v>0</v>
      </c>
    </row>
    <row r="94" spans="3:5" x14ac:dyDescent="0.25">
      <c r="C94" s="2">
        <v>1</v>
      </c>
      <c r="D94" s="1">
        <f t="shared" si="2"/>
        <v>2</v>
      </c>
      <c r="E94" s="1">
        <f t="shared" si="3"/>
        <v>0</v>
      </c>
    </row>
    <row r="95" spans="3:5" x14ac:dyDescent="0.25">
      <c r="C95" s="2">
        <v>1</v>
      </c>
      <c r="D95" s="1">
        <f t="shared" si="2"/>
        <v>3</v>
      </c>
      <c r="E95" s="1">
        <f t="shared" si="3"/>
        <v>0</v>
      </c>
    </row>
    <row r="96" spans="3:5" x14ac:dyDescent="0.25">
      <c r="C96" s="2">
        <v>1</v>
      </c>
      <c r="D96" s="1">
        <f t="shared" si="2"/>
        <v>4</v>
      </c>
      <c r="E96" s="1">
        <f t="shared" si="3"/>
        <v>0</v>
      </c>
    </row>
    <row r="97" spans="3:5" x14ac:dyDescent="0.25">
      <c r="C97" s="2">
        <v>1</v>
      </c>
      <c r="D97" s="1">
        <f t="shared" si="2"/>
        <v>0</v>
      </c>
      <c r="E97" s="1">
        <f t="shared" si="3"/>
        <v>1</v>
      </c>
    </row>
    <row r="98" spans="3:5" x14ac:dyDescent="0.25">
      <c r="C98" s="2">
        <v>1</v>
      </c>
      <c r="D98" s="1">
        <f t="shared" si="2"/>
        <v>1</v>
      </c>
      <c r="E98" s="1">
        <f t="shared" si="3"/>
        <v>0</v>
      </c>
    </row>
    <row r="99" spans="3:5" x14ac:dyDescent="0.25">
      <c r="C99" s="2">
        <v>1</v>
      </c>
      <c r="D99" s="1">
        <f t="shared" si="2"/>
        <v>2</v>
      </c>
      <c r="E99" s="1">
        <f t="shared" si="3"/>
        <v>0</v>
      </c>
    </row>
    <row r="100" spans="3:5" x14ac:dyDescent="0.25">
      <c r="C100" s="2">
        <v>1</v>
      </c>
      <c r="D100" s="1">
        <f t="shared" si="2"/>
        <v>3</v>
      </c>
      <c r="E100" s="1">
        <f t="shared" si="3"/>
        <v>0</v>
      </c>
    </row>
    <row r="101" spans="3:5" x14ac:dyDescent="0.25">
      <c r="C101" s="2">
        <v>1</v>
      </c>
      <c r="D101" s="1">
        <f t="shared" si="2"/>
        <v>4</v>
      </c>
      <c r="E101" s="1">
        <f t="shared" si="3"/>
        <v>0</v>
      </c>
    </row>
    <row r="102" spans="3:5" x14ac:dyDescent="0.25">
      <c r="C102" s="2">
        <v>1</v>
      </c>
      <c r="D102" s="1">
        <f t="shared" si="2"/>
        <v>0</v>
      </c>
      <c r="E102" s="1">
        <f t="shared" si="3"/>
        <v>1</v>
      </c>
    </row>
    <row r="103" spans="3:5" x14ac:dyDescent="0.25">
      <c r="C103" s="2">
        <v>1</v>
      </c>
      <c r="D103" s="1">
        <f t="shared" si="2"/>
        <v>1</v>
      </c>
      <c r="E103" s="1">
        <f t="shared" si="3"/>
        <v>0</v>
      </c>
    </row>
    <row r="104" spans="3:5" x14ac:dyDescent="0.25">
      <c r="C104" s="2">
        <v>1</v>
      </c>
      <c r="D104" s="1">
        <f t="shared" si="2"/>
        <v>2</v>
      </c>
      <c r="E104" s="1">
        <f t="shared" si="3"/>
        <v>0</v>
      </c>
    </row>
    <row r="105" spans="3:5" x14ac:dyDescent="0.25">
      <c r="C105" s="2">
        <v>1</v>
      </c>
      <c r="D105" s="1">
        <f t="shared" si="2"/>
        <v>3</v>
      </c>
      <c r="E105" s="1">
        <f t="shared" si="3"/>
        <v>0</v>
      </c>
    </row>
    <row r="106" spans="3:5" x14ac:dyDescent="0.25">
      <c r="C106" s="2">
        <v>1</v>
      </c>
      <c r="D106" s="1">
        <f t="shared" si="2"/>
        <v>4</v>
      </c>
      <c r="E106" s="1">
        <f t="shared" si="3"/>
        <v>0</v>
      </c>
    </row>
    <row r="107" spans="3:5" x14ac:dyDescent="0.25">
      <c r="C107" s="2">
        <v>1</v>
      </c>
      <c r="D107" s="1">
        <f t="shared" si="2"/>
        <v>0</v>
      </c>
      <c r="E107" s="1">
        <f t="shared" si="3"/>
        <v>1</v>
      </c>
    </row>
    <row r="108" spans="3:5" x14ac:dyDescent="0.25">
      <c r="C108" s="2">
        <v>1</v>
      </c>
      <c r="D108" s="1">
        <f t="shared" si="2"/>
        <v>1</v>
      </c>
      <c r="E108" s="1">
        <f t="shared" si="3"/>
        <v>0</v>
      </c>
    </row>
    <row r="109" spans="3:5" x14ac:dyDescent="0.25">
      <c r="C109" s="2">
        <v>1</v>
      </c>
      <c r="D109" s="1">
        <f t="shared" si="2"/>
        <v>2</v>
      </c>
      <c r="E109" s="1">
        <f t="shared" si="3"/>
        <v>0</v>
      </c>
    </row>
    <row r="110" spans="3:5" x14ac:dyDescent="0.25">
      <c r="C110" s="2">
        <v>1</v>
      </c>
      <c r="D110" s="1">
        <f t="shared" si="2"/>
        <v>3</v>
      </c>
      <c r="E110" s="1">
        <f t="shared" si="3"/>
        <v>0</v>
      </c>
    </row>
    <row r="111" spans="3:5" x14ac:dyDescent="0.25">
      <c r="C111" s="2">
        <v>1</v>
      </c>
      <c r="D111" s="1">
        <f t="shared" si="2"/>
        <v>4</v>
      </c>
      <c r="E111" s="1">
        <f t="shared" si="3"/>
        <v>0</v>
      </c>
    </row>
    <row r="112" spans="3:5" x14ac:dyDescent="0.25">
      <c r="C112" s="2">
        <v>1</v>
      </c>
      <c r="D112" s="1">
        <f t="shared" si="2"/>
        <v>0</v>
      </c>
      <c r="E112" s="1">
        <f t="shared" si="3"/>
        <v>1</v>
      </c>
    </row>
    <row r="113" spans="3:5" x14ac:dyDescent="0.25">
      <c r="C113" s="2">
        <v>1</v>
      </c>
      <c r="D113" s="1">
        <f t="shared" si="2"/>
        <v>1</v>
      </c>
      <c r="E113" s="1">
        <f t="shared" si="3"/>
        <v>0</v>
      </c>
    </row>
    <row r="114" spans="3:5" x14ac:dyDescent="0.25">
      <c r="C114" s="2">
        <v>1</v>
      </c>
      <c r="D114" s="1">
        <f t="shared" si="2"/>
        <v>2</v>
      </c>
      <c r="E114" s="1">
        <f t="shared" si="3"/>
        <v>0</v>
      </c>
    </row>
    <row r="115" spans="3:5" x14ac:dyDescent="0.25">
      <c r="C115" s="2">
        <v>1</v>
      </c>
      <c r="D115" s="1">
        <f t="shared" si="2"/>
        <v>3</v>
      </c>
      <c r="E115" s="1">
        <f t="shared" si="3"/>
        <v>0</v>
      </c>
    </row>
    <row r="116" spans="3:5" x14ac:dyDescent="0.25">
      <c r="C116" s="2">
        <v>1</v>
      </c>
      <c r="D116" s="1">
        <f t="shared" si="2"/>
        <v>4</v>
      </c>
      <c r="E116" s="1">
        <f t="shared" si="3"/>
        <v>0</v>
      </c>
    </row>
    <row r="117" spans="3:5" x14ac:dyDescent="0.25">
      <c r="C117" s="2">
        <v>1</v>
      </c>
      <c r="D117" s="1">
        <f t="shared" si="2"/>
        <v>0</v>
      </c>
      <c r="E117" s="1">
        <f t="shared" si="3"/>
        <v>1</v>
      </c>
    </row>
    <row r="118" spans="3:5" x14ac:dyDescent="0.25">
      <c r="C118" s="2">
        <v>1</v>
      </c>
      <c r="D118" s="1">
        <f t="shared" si="2"/>
        <v>1</v>
      </c>
      <c r="E118" s="1">
        <f t="shared" si="3"/>
        <v>0</v>
      </c>
    </row>
    <row r="119" spans="3:5" x14ac:dyDescent="0.25">
      <c r="C119" s="2">
        <v>1</v>
      </c>
      <c r="D119" s="1">
        <f t="shared" si="2"/>
        <v>2</v>
      </c>
      <c r="E119" s="1">
        <f t="shared" si="3"/>
        <v>0</v>
      </c>
    </row>
    <row r="120" spans="3:5" x14ac:dyDescent="0.25">
      <c r="C120" s="2">
        <v>1</v>
      </c>
      <c r="D120" s="1">
        <f t="shared" si="2"/>
        <v>3</v>
      </c>
      <c r="E120" s="1">
        <f t="shared" si="3"/>
        <v>0</v>
      </c>
    </row>
    <row r="121" spans="3:5" x14ac:dyDescent="0.25">
      <c r="C121" s="2">
        <v>1</v>
      </c>
      <c r="D121" s="1">
        <f t="shared" si="2"/>
        <v>4</v>
      </c>
      <c r="E121" s="1">
        <f t="shared" si="3"/>
        <v>0</v>
      </c>
    </row>
    <row r="122" spans="3:5" x14ac:dyDescent="0.25">
      <c r="C122" s="2">
        <v>1</v>
      </c>
      <c r="D122" s="1">
        <f t="shared" si="2"/>
        <v>0</v>
      </c>
      <c r="E122" s="1">
        <f t="shared" si="3"/>
        <v>1</v>
      </c>
    </row>
    <row r="123" spans="3:5" x14ac:dyDescent="0.25">
      <c r="C123" s="2">
        <v>1</v>
      </c>
      <c r="D123" s="1">
        <f t="shared" si="2"/>
        <v>1</v>
      </c>
      <c r="E123" s="1">
        <f t="shared" si="3"/>
        <v>0</v>
      </c>
    </row>
    <row r="124" spans="3:5" x14ac:dyDescent="0.25">
      <c r="C124" s="2">
        <v>1</v>
      </c>
      <c r="D124" s="1">
        <f t="shared" si="2"/>
        <v>2</v>
      </c>
      <c r="E124" s="1">
        <f t="shared" si="3"/>
        <v>0</v>
      </c>
    </row>
    <row r="125" spans="3:5" x14ac:dyDescent="0.25">
      <c r="C125" s="2">
        <v>1</v>
      </c>
      <c r="D125" s="1">
        <f t="shared" si="2"/>
        <v>3</v>
      </c>
      <c r="E125" s="1">
        <f t="shared" si="3"/>
        <v>0</v>
      </c>
    </row>
    <row r="126" spans="3:5" x14ac:dyDescent="0.25">
      <c r="C126" s="2">
        <v>1</v>
      </c>
      <c r="D126" s="1">
        <f t="shared" si="2"/>
        <v>4</v>
      </c>
      <c r="E126" s="1">
        <f t="shared" si="3"/>
        <v>0</v>
      </c>
    </row>
    <row r="127" spans="3:5" x14ac:dyDescent="0.25">
      <c r="C127" s="2">
        <v>1</v>
      </c>
      <c r="D127" s="1">
        <f t="shared" si="2"/>
        <v>0</v>
      </c>
      <c r="E127" s="1">
        <f t="shared" si="3"/>
        <v>1</v>
      </c>
    </row>
    <row r="128" spans="3:5" x14ac:dyDescent="0.25">
      <c r="C128" s="2">
        <v>1</v>
      </c>
      <c r="D128" s="1">
        <f t="shared" si="2"/>
        <v>1</v>
      </c>
      <c r="E128" s="1">
        <f t="shared" si="3"/>
        <v>0</v>
      </c>
    </row>
    <row r="129" spans="3:5" x14ac:dyDescent="0.25">
      <c r="C129" s="2">
        <v>1</v>
      </c>
      <c r="D129" s="1">
        <f t="shared" si="2"/>
        <v>2</v>
      </c>
      <c r="E129" s="1">
        <f t="shared" si="3"/>
        <v>0</v>
      </c>
    </row>
    <row r="130" spans="3:5" x14ac:dyDescent="0.25">
      <c r="C130" s="2">
        <v>1</v>
      </c>
      <c r="D130" s="1">
        <f t="shared" si="2"/>
        <v>3</v>
      </c>
      <c r="E130" s="1">
        <f t="shared" si="3"/>
        <v>0</v>
      </c>
    </row>
    <row r="131" spans="3:5" x14ac:dyDescent="0.25">
      <c r="C131" s="2">
        <v>1</v>
      </c>
      <c r="D131" s="1">
        <f t="shared" si="2"/>
        <v>4</v>
      </c>
      <c r="E131" s="1">
        <f t="shared" si="3"/>
        <v>0</v>
      </c>
    </row>
    <row r="132" spans="3:5" x14ac:dyDescent="0.25">
      <c r="C132" s="2">
        <v>1</v>
      </c>
      <c r="D132" s="1">
        <f t="shared" si="2"/>
        <v>0</v>
      </c>
      <c r="E132" s="1">
        <f t="shared" si="3"/>
        <v>1</v>
      </c>
    </row>
    <row r="133" spans="3:5" x14ac:dyDescent="0.25">
      <c r="C133" s="2">
        <v>1</v>
      </c>
      <c r="D133" s="1">
        <f t="shared" si="2"/>
        <v>1</v>
      </c>
      <c r="E133" s="1">
        <f t="shared" si="3"/>
        <v>0</v>
      </c>
    </row>
    <row r="134" spans="3:5" x14ac:dyDescent="0.25">
      <c r="C134" s="2">
        <v>1</v>
      </c>
      <c r="D134" s="1">
        <f t="shared" si="2"/>
        <v>2</v>
      </c>
      <c r="E134" s="1">
        <f t="shared" si="3"/>
        <v>0</v>
      </c>
    </row>
    <row r="135" spans="3:5" x14ac:dyDescent="0.25">
      <c r="C135" s="2">
        <v>1</v>
      </c>
      <c r="D135" s="1">
        <f t="shared" si="2"/>
        <v>3</v>
      </c>
      <c r="E135" s="1">
        <f t="shared" si="3"/>
        <v>0</v>
      </c>
    </row>
    <row r="136" spans="3:5" x14ac:dyDescent="0.25">
      <c r="C136" s="2">
        <v>1</v>
      </c>
      <c r="D136" s="1">
        <f t="shared" si="2"/>
        <v>4</v>
      </c>
      <c r="E136" s="1">
        <f t="shared" si="3"/>
        <v>0</v>
      </c>
    </row>
    <row r="137" spans="3:5" x14ac:dyDescent="0.25">
      <c r="C137" s="2">
        <v>1</v>
      </c>
      <c r="D137" s="1">
        <f t="shared" ref="D137:D200" si="4">MOD((C137+D136),RTC_Calibration)</f>
        <v>0</v>
      </c>
      <c r="E137" s="1">
        <f t="shared" ref="E137:E200" si="5">IF(D137=0,1,0)</f>
        <v>1</v>
      </c>
    </row>
    <row r="138" spans="3:5" x14ac:dyDescent="0.25">
      <c r="C138" s="2">
        <v>1</v>
      </c>
      <c r="D138" s="1">
        <f t="shared" si="4"/>
        <v>1</v>
      </c>
      <c r="E138" s="1">
        <f t="shared" si="5"/>
        <v>0</v>
      </c>
    </row>
    <row r="139" spans="3:5" x14ac:dyDescent="0.25">
      <c r="C139" s="2">
        <v>1</v>
      </c>
      <c r="D139" s="1">
        <f t="shared" si="4"/>
        <v>2</v>
      </c>
      <c r="E139" s="1">
        <f t="shared" si="5"/>
        <v>0</v>
      </c>
    </row>
    <row r="140" spans="3:5" x14ac:dyDescent="0.25">
      <c r="C140" s="2">
        <v>1</v>
      </c>
      <c r="D140" s="1">
        <f t="shared" si="4"/>
        <v>3</v>
      </c>
      <c r="E140" s="1">
        <f t="shared" si="5"/>
        <v>0</v>
      </c>
    </row>
    <row r="141" spans="3:5" x14ac:dyDescent="0.25">
      <c r="C141" s="2">
        <v>1</v>
      </c>
      <c r="D141" s="1">
        <f t="shared" si="4"/>
        <v>4</v>
      </c>
      <c r="E141" s="1">
        <f t="shared" si="5"/>
        <v>0</v>
      </c>
    </row>
    <row r="142" spans="3:5" x14ac:dyDescent="0.25">
      <c r="C142" s="2">
        <v>1</v>
      </c>
      <c r="D142" s="1">
        <f t="shared" si="4"/>
        <v>0</v>
      </c>
      <c r="E142" s="1">
        <f t="shared" si="5"/>
        <v>1</v>
      </c>
    </row>
    <row r="143" spans="3:5" x14ac:dyDescent="0.25">
      <c r="C143" s="2">
        <v>1</v>
      </c>
      <c r="D143" s="1">
        <f t="shared" si="4"/>
        <v>1</v>
      </c>
      <c r="E143" s="1">
        <f t="shared" si="5"/>
        <v>0</v>
      </c>
    </row>
    <row r="144" spans="3:5" x14ac:dyDescent="0.25">
      <c r="C144" s="2">
        <v>1</v>
      </c>
      <c r="D144" s="1">
        <f t="shared" si="4"/>
        <v>2</v>
      </c>
      <c r="E144" s="1">
        <f t="shared" si="5"/>
        <v>0</v>
      </c>
    </row>
    <row r="145" spans="3:5" x14ac:dyDescent="0.25">
      <c r="C145" s="2">
        <v>1</v>
      </c>
      <c r="D145" s="1">
        <f t="shared" si="4"/>
        <v>3</v>
      </c>
      <c r="E145" s="1">
        <f t="shared" si="5"/>
        <v>0</v>
      </c>
    </row>
    <row r="146" spans="3:5" x14ac:dyDescent="0.25">
      <c r="C146" s="2">
        <v>1</v>
      </c>
      <c r="D146" s="1">
        <f t="shared" si="4"/>
        <v>4</v>
      </c>
      <c r="E146" s="1">
        <f t="shared" si="5"/>
        <v>0</v>
      </c>
    </row>
    <row r="147" spans="3:5" x14ac:dyDescent="0.25">
      <c r="C147" s="2">
        <v>1</v>
      </c>
      <c r="D147" s="1">
        <f t="shared" si="4"/>
        <v>0</v>
      </c>
      <c r="E147" s="1">
        <f t="shared" si="5"/>
        <v>1</v>
      </c>
    </row>
    <row r="148" spans="3:5" x14ac:dyDescent="0.25">
      <c r="C148" s="2">
        <v>1</v>
      </c>
      <c r="D148" s="1">
        <f t="shared" si="4"/>
        <v>1</v>
      </c>
      <c r="E148" s="1">
        <f t="shared" si="5"/>
        <v>0</v>
      </c>
    </row>
    <row r="149" spans="3:5" x14ac:dyDescent="0.25">
      <c r="C149" s="2">
        <v>1</v>
      </c>
      <c r="D149" s="1">
        <f t="shared" si="4"/>
        <v>2</v>
      </c>
      <c r="E149" s="1">
        <f t="shared" si="5"/>
        <v>0</v>
      </c>
    </row>
    <row r="150" spans="3:5" x14ac:dyDescent="0.25">
      <c r="C150" s="2">
        <v>1</v>
      </c>
      <c r="D150" s="1">
        <f t="shared" si="4"/>
        <v>3</v>
      </c>
      <c r="E150" s="1">
        <f t="shared" si="5"/>
        <v>0</v>
      </c>
    </row>
    <row r="151" spans="3:5" x14ac:dyDescent="0.25">
      <c r="C151" s="2">
        <v>1</v>
      </c>
      <c r="D151" s="1">
        <f t="shared" si="4"/>
        <v>4</v>
      </c>
      <c r="E151" s="1">
        <f t="shared" si="5"/>
        <v>0</v>
      </c>
    </row>
    <row r="152" spans="3:5" x14ac:dyDescent="0.25">
      <c r="C152" s="2">
        <v>1</v>
      </c>
      <c r="D152" s="1">
        <f t="shared" si="4"/>
        <v>0</v>
      </c>
      <c r="E152" s="1">
        <f t="shared" si="5"/>
        <v>1</v>
      </c>
    </row>
    <row r="153" spans="3:5" x14ac:dyDescent="0.25">
      <c r="C153" s="2">
        <v>1</v>
      </c>
      <c r="D153" s="1">
        <f t="shared" si="4"/>
        <v>1</v>
      </c>
      <c r="E153" s="1">
        <f t="shared" si="5"/>
        <v>0</v>
      </c>
    </row>
    <row r="154" spans="3:5" x14ac:dyDescent="0.25">
      <c r="C154" s="2">
        <v>1</v>
      </c>
      <c r="D154" s="1">
        <f t="shared" si="4"/>
        <v>2</v>
      </c>
      <c r="E154" s="1">
        <f t="shared" si="5"/>
        <v>0</v>
      </c>
    </row>
    <row r="155" spans="3:5" x14ac:dyDescent="0.25">
      <c r="C155" s="2">
        <v>1</v>
      </c>
      <c r="D155" s="1">
        <f t="shared" si="4"/>
        <v>3</v>
      </c>
      <c r="E155" s="1">
        <f t="shared" si="5"/>
        <v>0</v>
      </c>
    </row>
    <row r="156" spans="3:5" x14ac:dyDescent="0.25">
      <c r="C156" s="2">
        <v>1</v>
      </c>
      <c r="D156" s="1">
        <f t="shared" si="4"/>
        <v>4</v>
      </c>
      <c r="E156" s="1">
        <f t="shared" si="5"/>
        <v>0</v>
      </c>
    </row>
    <row r="157" spans="3:5" x14ac:dyDescent="0.25">
      <c r="C157" s="2">
        <v>1</v>
      </c>
      <c r="D157" s="1">
        <f t="shared" si="4"/>
        <v>0</v>
      </c>
      <c r="E157" s="1">
        <f t="shared" si="5"/>
        <v>1</v>
      </c>
    </row>
    <row r="158" spans="3:5" x14ac:dyDescent="0.25">
      <c r="C158" s="2">
        <v>1</v>
      </c>
      <c r="D158" s="1">
        <f t="shared" si="4"/>
        <v>1</v>
      </c>
      <c r="E158" s="1">
        <f t="shared" si="5"/>
        <v>0</v>
      </c>
    </row>
    <row r="159" spans="3:5" x14ac:dyDescent="0.25">
      <c r="C159" s="2">
        <v>1</v>
      </c>
      <c r="D159" s="1">
        <f t="shared" si="4"/>
        <v>2</v>
      </c>
      <c r="E159" s="1">
        <f t="shared" si="5"/>
        <v>0</v>
      </c>
    </row>
    <row r="160" spans="3:5" x14ac:dyDescent="0.25">
      <c r="C160" s="2">
        <v>1</v>
      </c>
      <c r="D160" s="1">
        <f t="shared" si="4"/>
        <v>3</v>
      </c>
      <c r="E160" s="1">
        <f t="shared" si="5"/>
        <v>0</v>
      </c>
    </row>
    <row r="161" spans="3:5" x14ac:dyDescent="0.25">
      <c r="C161" s="2">
        <v>1</v>
      </c>
      <c r="D161" s="1">
        <f t="shared" si="4"/>
        <v>4</v>
      </c>
      <c r="E161" s="1">
        <f t="shared" si="5"/>
        <v>0</v>
      </c>
    </row>
    <row r="162" spans="3:5" x14ac:dyDescent="0.25">
      <c r="C162" s="2">
        <v>1</v>
      </c>
      <c r="D162" s="1">
        <f t="shared" si="4"/>
        <v>0</v>
      </c>
      <c r="E162" s="1">
        <f t="shared" si="5"/>
        <v>1</v>
      </c>
    </row>
    <row r="163" spans="3:5" x14ac:dyDescent="0.25">
      <c r="C163" s="2">
        <v>1</v>
      </c>
      <c r="D163" s="1">
        <f t="shared" si="4"/>
        <v>1</v>
      </c>
      <c r="E163" s="1">
        <f t="shared" si="5"/>
        <v>0</v>
      </c>
    </row>
    <row r="164" spans="3:5" x14ac:dyDescent="0.25">
      <c r="C164" s="2">
        <v>1</v>
      </c>
      <c r="D164" s="1">
        <f t="shared" si="4"/>
        <v>2</v>
      </c>
      <c r="E164" s="1">
        <f t="shared" si="5"/>
        <v>0</v>
      </c>
    </row>
    <row r="165" spans="3:5" x14ac:dyDescent="0.25">
      <c r="C165" s="2">
        <v>1</v>
      </c>
      <c r="D165" s="1">
        <f t="shared" si="4"/>
        <v>3</v>
      </c>
      <c r="E165" s="1">
        <f t="shared" si="5"/>
        <v>0</v>
      </c>
    </row>
    <row r="166" spans="3:5" x14ac:dyDescent="0.25">
      <c r="C166" s="2">
        <v>1</v>
      </c>
      <c r="D166" s="1">
        <f t="shared" si="4"/>
        <v>4</v>
      </c>
      <c r="E166" s="1">
        <f t="shared" si="5"/>
        <v>0</v>
      </c>
    </row>
    <row r="167" spans="3:5" x14ac:dyDescent="0.25">
      <c r="C167" s="2">
        <v>1</v>
      </c>
      <c r="D167" s="1">
        <f t="shared" si="4"/>
        <v>0</v>
      </c>
      <c r="E167" s="1">
        <f t="shared" si="5"/>
        <v>1</v>
      </c>
    </row>
    <row r="168" spans="3:5" x14ac:dyDescent="0.25">
      <c r="C168" s="2">
        <v>1</v>
      </c>
      <c r="D168" s="1">
        <f t="shared" si="4"/>
        <v>1</v>
      </c>
      <c r="E168" s="1">
        <f t="shared" si="5"/>
        <v>0</v>
      </c>
    </row>
    <row r="169" spans="3:5" x14ac:dyDescent="0.25">
      <c r="C169" s="2">
        <v>1</v>
      </c>
      <c r="D169" s="1">
        <f t="shared" si="4"/>
        <v>2</v>
      </c>
      <c r="E169" s="1">
        <f t="shared" si="5"/>
        <v>0</v>
      </c>
    </row>
    <row r="170" spans="3:5" x14ac:dyDescent="0.25">
      <c r="C170" s="2">
        <v>1</v>
      </c>
      <c r="D170" s="1">
        <f t="shared" si="4"/>
        <v>3</v>
      </c>
      <c r="E170" s="1">
        <f t="shared" si="5"/>
        <v>0</v>
      </c>
    </row>
    <row r="171" spans="3:5" x14ac:dyDescent="0.25">
      <c r="C171" s="2">
        <v>1</v>
      </c>
      <c r="D171" s="1">
        <f t="shared" si="4"/>
        <v>4</v>
      </c>
      <c r="E171" s="1">
        <f t="shared" si="5"/>
        <v>0</v>
      </c>
    </row>
    <row r="172" spans="3:5" x14ac:dyDescent="0.25">
      <c r="C172" s="2">
        <v>1</v>
      </c>
      <c r="D172" s="1">
        <f t="shared" si="4"/>
        <v>0</v>
      </c>
      <c r="E172" s="1">
        <f t="shared" si="5"/>
        <v>1</v>
      </c>
    </row>
    <row r="173" spans="3:5" x14ac:dyDescent="0.25">
      <c r="C173" s="2">
        <v>1</v>
      </c>
      <c r="D173" s="1">
        <f t="shared" si="4"/>
        <v>1</v>
      </c>
      <c r="E173" s="1">
        <f t="shared" si="5"/>
        <v>0</v>
      </c>
    </row>
    <row r="174" spans="3:5" x14ac:dyDescent="0.25">
      <c r="C174" s="2">
        <v>1</v>
      </c>
      <c r="D174" s="1">
        <f t="shared" si="4"/>
        <v>2</v>
      </c>
      <c r="E174" s="1">
        <f t="shared" si="5"/>
        <v>0</v>
      </c>
    </row>
    <row r="175" spans="3:5" x14ac:dyDescent="0.25">
      <c r="C175" s="2">
        <v>1</v>
      </c>
      <c r="D175" s="1">
        <f t="shared" si="4"/>
        <v>3</v>
      </c>
      <c r="E175" s="1">
        <f t="shared" si="5"/>
        <v>0</v>
      </c>
    </row>
    <row r="176" spans="3:5" x14ac:dyDescent="0.25">
      <c r="C176" s="2">
        <v>1</v>
      </c>
      <c r="D176" s="1">
        <f t="shared" si="4"/>
        <v>4</v>
      </c>
      <c r="E176" s="1">
        <f t="shared" si="5"/>
        <v>0</v>
      </c>
    </row>
    <row r="177" spans="3:5" x14ac:dyDescent="0.25">
      <c r="C177" s="2">
        <v>1</v>
      </c>
      <c r="D177" s="1">
        <f t="shared" si="4"/>
        <v>0</v>
      </c>
      <c r="E177" s="1">
        <f t="shared" si="5"/>
        <v>1</v>
      </c>
    </row>
    <row r="178" spans="3:5" x14ac:dyDescent="0.25">
      <c r="C178" s="2">
        <v>1</v>
      </c>
      <c r="D178" s="1">
        <f t="shared" si="4"/>
        <v>1</v>
      </c>
      <c r="E178" s="1">
        <f t="shared" si="5"/>
        <v>0</v>
      </c>
    </row>
    <row r="179" spans="3:5" x14ac:dyDescent="0.25">
      <c r="C179" s="2">
        <v>1</v>
      </c>
      <c r="D179" s="1">
        <f t="shared" si="4"/>
        <v>2</v>
      </c>
      <c r="E179" s="1">
        <f t="shared" si="5"/>
        <v>0</v>
      </c>
    </row>
    <row r="180" spans="3:5" x14ac:dyDescent="0.25">
      <c r="C180" s="2">
        <v>1</v>
      </c>
      <c r="D180" s="1">
        <f t="shared" si="4"/>
        <v>3</v>
      </c>
      <c r="E180" s="1">
        <f t="shared" si="5"/>
        <v>0</v>
      </c>
    </row>
    <row r="181" spans="3:5" x14ac:dyDescent="0.25">
      <c r="C181" s="2">
        <v>1</v>
      </c>
      <c r="D181" s="1">
        <f t="shared" si="4"/>
        <v>4</v>
      </c>
      <c r="E181" s="1">
        <f t="shared" si="5"/>
        <v>0</v>
      </c>
    </row>
    <row r="182" spans="3:5" x14ac:dyDescent="0.25">
      <c r="C182" s="2">
        <v>1</v>
      </c>
      <c r="D182" s="1">
        <f t="shared" si="4"/>
        <v>0</v>
      </c>
      <c r="E182" s="1">
        <f t="shared" si="5"/>
        <v>1</v>
      </c>
    </row>
    <row r="183" spans="3:5" x14ac:dyDescent="0.25">
      <c r="C183" s="2">
        <v>1</v>
      </c>
      <c r="D183" s="1">
        <f t="shared" si="4"/>
        <v>1</v>
      </c>
      <c r="E183" s="1">
        <f t="shared" si="5"/>
        <v>0</v>
      </c>
    </row>
    <row r="184" spans="3:5" x14ac:dyDescent="0.25">
      <c r="C184" s="2">
        <v>1</v>
      </c>
      <c r="D184" s="1">
        <f t="shared" si="4"/>
        <v>2</v>
      </c>
      <c r="E184" s="1">
        <f t="shared" si="5"/>
        <v>0</v>
      </c>
    </row>
    <row r="185" spans="3:5" x14ac:dyDescent="0.25">
      <c r="C185" s="2">
        <v>1</v>
      </c>
      <c r="D185" s="1">
        <f t="shared" si="4"/>
        <v>3</v>
      </c>
      <c r="E185" s="1">
        <f t="shared" si="5"/>
        <v>0</v>
      </c>
    </row>
    <row r="186" spans="3:5" x14ac:dyDescent="0.25">
      <c r="C186" s="2">
        <v>1</v>
      </c>
      <c r="D186" s="1">
        <f t="shared" si="4"/>
        <v>4</v>
      </c>
      <c r="E186" s="1">
        <f t="shared" si="5"/>
        <v>0</v>
      </c>
    </row>
    <row r="187" spans="3:5" x14ac:dyDescent="0.25">
      <c r="C187" s="2">
        <v>1</v>
      </c>
      <c r="D187" s="1">
        <f t="shared" si="4"/>
        <v>0</v>
      </c>
      <c r="E187" s="1">
        <f t="shared" si="5"/>
        <v>1</v>
      </c>
    </row>
    <row r="188" spans="3:5" x14ac:dyDescent="0.25">
      <c r="C188" s="2">
        <v>1</v>
      </c>
      <c r="D188" s="1">
        <f t="shared" si="4"/>
        <v>1</v>
      </c>
      <c r="E188" s="1">
        <f t="shared" si="5"/>
        <v>0</v>
      </c>
    </row>
    <row r="189" spans="3:5" x14ac:dyDescent="0.25">
      <c r="C189" s="2">
        <v>1</v>
      </c>
      <c r="D189" s="1">
        <f t="shared" si="4"/>
        <v>2</v>
      </c>
      <c r="E189" s="1">
        <f t="shared" si="5"/>
        <v>0</v>
      </c>
    </row>
    <row r="190" spans="3:5" x14ac:dyDescent="0.25">
      <c r="C190" s="2">
        <v>1</v>
      </c>
      <c r="D190" s="1">
        <f t="shared" si="4"/>
        <v>3</v>
      </c>
      <c r="E190" s="1">
        <f t="shared" si="5"/>
        <v>0</v>
      </c>
    </row>
    <row r="191" spans="3:5" x14ac:dyDescent="0.25">
      <c r="C191" s="2">
        <v>1</v>
      </c>
      <c r="D191" s="1">
        <f t="shared" si="4"/>
        <v>4</v>
      </c>
      <c r="E191" s="1">
        <f t="shared" si="5"/>
        <v>0</v>
      </c>
    </row>
    <row r="192" spans="3:5" x14ac:dyDescent="0.25">
      <c r="C192" s="2">
        <v>1</v>
      </c>
      <c r="D192" s="1">
        <f t="shared" si="4"/>
        <v>0</v>
      </c>
      <c r="E192" s="1">
        <f t="shared" si="5"/>
        <v>1</v>
      </c>
    </row>
    <row r="193" spans="3:5" x14ac:dyDescent="0.25">
      <c r="C193" s="2">
        <v>1</v>
      </c>
      <c r="D193" s="1">
        <f t="shared" si="4"/>
        <v>1</v>
      </c>
      <c r="E193" s="1">
        <f t="shared" si="5"/>
        <v>0</v>
      </c>
    </row>
    <row r="194" spans="3:5" x14ac:dyDescent="0.25">
      <c r="C194" s="2">
        <v>1</v>
      </c>
      <c r="D194" s="1">
        <f t="shared" si="4"/>
        <v>2</v>
      </c>
      <c r="E194" s="1">
        <f t="shared" si="5"/>
        <v>0</v>
      </c>
    </row>
    <row r="195" spans="3:5" x14ac:dyDescent="0.25">
      <c r="C195" s="2">
        <v>1</v>
      </c>
      <c r="D195" s="1">
        <f t="shared" si="4"/>
        <v>3</v>
      </c>
      <c r="E195" s="1">
        <f t="shared" si="5"/>
        <v>0</v>
      </c>
    </row>
    <row r="196" spans="3:5" x14ac:dyDescent="0.25">
      <c r="C196" s="2">
        <v>1</v>
      </c>
      <c r="D196" s="1">
        <f t="shared" si="4"/>
        <v>4</v>
      </c>
      <c r="E196" s="1">
        <f t="shared" si="5"/>
        <v>0</v>
      </c>
    </row>
    <row r="197" spans="3:5" x14ac:dyDescent="0.25">
      <c r="C197" s="2">
        <v>1</v>
      </c>
      <c r="D197" s="1">
        <f t="shared" si="4"/>
        <v>0</v>
      </c>
      <c r="E197" s="1">
        <f t="shared" si="5"/>
        <v>1</v>
      </c>
    </row>
    <row r="198" spans="3:5" x14ac:dyDescent="0.25">
      <c r="C198" s="2">
        <v>1</v>
      </c>
      <c r="D198" s="1">
        <f t="shared" si="4"/>
        <v>1</v>
      </c>
      <c r="E198" s="1">
        <f t="shared" si="5"/>
        <v>0</v>
      </c>
    </row>
    <row r="199" spans="3:5" x14ac:dyDescent="0.25">
      <c r="C199" s="2">
        <v>1</v>
      </c>
      <c r="D199" s="1">
        <f t="shared" si="4"/>
        <v>2</v>
      </c>
      <c r="E199" s="1">
        <f t="shared" si="5"/>
        <v>0</v>
      </c>
    </row>
    <row r="200" spans="3:5" x14ac:dyDescent="0.25">
      <c r="C200" s="2">
        <v>1</v>
      </c>
      <c r="D200" s="1">
        <f t="shared" si="4"/>
        <v>3</v>
      </c>
      <c r="E200" s="1">
        <f t="shared" si="5"/>
        <v>0</v>
      </c>
    </row>
    <row r="201" spans="3:5" x14ac:dyDescent="0.25">
      <c r="C201" s="2">
        <v>1</v>
      </c>
      <c r="D201" s="1">
        <f t="shared" ref="D201:D264" si="6">MOD((C201+D200),RTC_Calibration)</f>
        <v>4</v>
      </c>
      <c r="E201" s="1">
        <f t="shared" ref="E201:E264" si="7">IF(D201=0,1,0)</f>
        <v>0</v>
      </c>
    </row>
    <row r="202" spans="3:5" x14ac:dyDescent="0.25">
      <c r="C202" s="2">
        <v>1</v>
      </c>
      <c r="D202" s="1">
        <f t="shared" si="6"/>
        <v>0</v>
      </c>
      <c r="E202" s="1">
        <f t="shared" si="7"/>
        <v>1</v>
      </c>
    </row>
    <row r="203" spans="3:5" x14ac:dyDescent="0.25">
      <c r="C203" s="2">
        <v>1</v>
      </c>
      <c r="D203" s="1">
        <f t="shared" si="6"/>
        <v>1</v>
      </c>
      <c r="E203" s="1">
        <f t="shared" si="7"/>
        <v>0</v>
      </c>
    </row>
    <row r="204" spans="3:5" x14ac:dyDescent="0.25">
      <c r="C204" s="2">
        <v>1</v>
      </c>
      <c r="D204" s="1">
        <f t="shared" si="6"/>
        <v>2</v>
      </c>
      <c r="E204" s="1">
        <f t="shared" si="7"/>
        <v>0</v>
      </c>
    </row>
    <row r="205" spans="3:5" x14ac:dyDescent="0.25">
      <c r="C205" s="2">
        <v>1</v>
      </c>
      <c r="D205" s="1">
        <f t="shared" si="6"/>
        <v>3</v>
      </c>
      <c r="E205" s="1">
        <f t="shared" si="7"/>
        <v>0</v>
      </c>
    </row>
    <row r="206" spans="3:5" x14ac:dyDescent="0.25">
      <c r="C206" s="2">
        <v>1</v>
      </c>
      <c r="D206" s="1">
        <f t="shared" si="6"/>
        <v>4</v>
      </c>
      <c r="E206" s="1">
        <f t="shared" si="7"/>
        <v>0</v>
      </c>
    </row>
    <row r="207" spans="3:5" x14ac:dyDescent="0.25">
      <c r="C207" s="2">
        <v>1</v>
      </c>
      <c r="D207" s="1">
        <f t="shared" si="6"/>
        <v>0</v>
      </c>
      <c r="E207" s="1">
        <f t="shared" si="7"/>
        <v>1</v>
      </c>
    </row>
    <row r="208" spans="3:5" x14ac:dyDescent="0.25">
      <c r="C208" s="2">
        <v>1</v>
      </c>
      <c r="D208" s="1">
        <f t="shared" si="6"/>
        <v>1</v>
      </c>
      <c r="E208" s="1">
        <f t="shared" si="7"/>
        <v>0</v>
      </c>
    </row>
    <row r="209" spans="3:5" x14ac:dyDescent="0.25">
      <c r="C209" s="2">
        <v>1</v>
      </c>
      <c r="D209" s="1">
        <f t="shared" si="6"/>
        <v>2</v>
      </c>
      <c r="E209" s="1">
        <f t="shared" si="7"/>
        <v>0</v>
      </c>
    </row>
    <row r="210" spans="3:5" x14ac:dyDescent="0.25">
      <c r="C210" s="2">
        <v>1</v>
      </c>
      <c r="D210" s="1">
        <f t="shared" si="6"/>
        <v>3</v>
      </c>
      <c r="E210" s="1">
        <f t="shared" si="7"/>
        <v>0</v>
      </c>
    </row>
    <row r="211" spans="3:5" x14ac:dyDescent="0.25">
      <c r="C211" s="2">
        <v>1</v>
      </c>
      <c r="D211" s="1">
        <f t="shared" si="6"/>
        <v>4</v>
      </c>
      <c r="E211" s="1">
        <f t="shared" si="7"/>
        <v>0</v>
      </c>
    </row>
    <row r="212" spans="3:5" x14ac:dyDescent="0.25">
      <c r="C212" s="2">
        <v>1</v>
      </c>
      <c r="D212" s="1">
        <f t="shared" si="6"/>
        <v>0</v>
      </c>
      <c r="E212" s="1">
        <f t="shared" si="7"/>
        <v>1</v>
      </c>
    </row>
    <row r="213" spans="3:5" x14ac:dyDescent="0.25">
      <c r="C213" s="2">
        <v>1</v>
      </c>
      <c r="D213" s="1">
        <f t="shared" si="6"/>
        <v>1</v>
      </c>
      <c r="E213" s="1">
        <f t="shared" si="7"/>
        <v>0</v>
      </c>
    </row>
    <row r="214" spans="3:5" x14ac:dyDescent="0.25">
      <c r="C214" s="2">
        <v>1</v>
      </c>
      <c r="D214" s="1">
        <f t="shared" si="6"/>
        <v>2</v>
      </c>
      <c r="E214" s="1">
        <f t="shared" si="7"/>
        <v>0</v>
      </c>
    </row>
    <row r="215" spans="3:5" x14ac:dyDescent="0.25">
      <c r="C215" s="2">
        <v>1</v>
      </c>
      <c r="D215" s="1">
        <f t="shared" si="6"/>
        <v>3</v>
      </c>
      <c r="E215" s="1">
        <f t="shared" si="7"/>
        <v>0</v>
      </c>
    </row>
    <row r="216" spans="3:5" x14ac:dyDescent="0.25">
      <c r="C216" s="2">
        <v>1</v>
      </c>
      <c r="D216" s="1">
        <f t="shared" si="6"/>
        <v>4</v>
      </c>
      <c r="E216" s="1">
        <f t="shared" si="7"/>
        <v>0</v>
      </c>
    </row>
    <row r="217" spans="3:5" x14ac:dyDescent="0.25">
      <c r="C217" s="2">
        <v>1</v>
      </c>
      <c r="D217" s="1">
        <f t="shared" si="6"/>
        <v>0</v>
      </c>
      <c r="E217" s="1">
        <f t="shared" si="7"/>
        <v>1</v>
      </c>
    </row>
    <row r="218" spans="3:5" x14ac:dyDescent="0.25">
      <c r="C218" s="2">
        <v>1</v>
      </c>
      <c r="D218" s="1">
        <f t="shared" si="6"/>
        <v>1</v>
      </c>
      <c r="E218" s="1">
        <f t="shared" si="7"/>
        <v>0</v>
      </c>
    </row>
    <row r="219" spans="3:5" x14ac:dyDescent="0.25">
      <c r="C219" s="2">
        <v>1</v>
      </c>
      <c r="D219" s="1">
        <f t="shared" si="6"/>
        <v>2</v>
      </c>
      <c r="E219" s="1">
        <f t="shared" si="7"/>
        <v>0</v>
      </c>
    </row>
    <row r="220" spans="3:5" x14ac:dyDescent="0.25">
      <c r="C220" s="2">
        <v>1</v>
      </c>
      <c r="D220" s="1">
        <f t="shared" si="6"/>
        <v>3</v>
      </c>
      <c r="E220" s="1">
        <f t="shared" si="7"/>
        <v>0</v>
      </c>
    </row>
    <row r="221" spans="3:5" x14ac:dyDescent="0.25">
      <c r="C221" s="2">
        <v>1</v>
      </c>
      <c r="D221" s="1">
        <f t="shared" si="6"/>
        <v>4</v>
      </c>
      <c r="E221" s="1">
        <f t="shared" si="7"/>
        <v>0</v>
      </c>
    </row>
    <row r="222" spans="3:5" x14ac:dyDescent="0.25">
      <c r="C222" s="2">
        <v>1</v>
      </c>
      <c r="D222" s="1">
        <f t="shared" si="6"/>
        <v>0</v>
      </c>
      <c r="E222" s="1">
        <f t="shared" si="7"/>
        <v>1</v>
      </c>
    </row>
    <row r="223" spans="3:5" x14ac:dyDescent="0.25">
      <c r="C223" s="2">
        <v>1</v>
      </c>
      <c r="D223" s="1">
        <f t="shared" si="6"/>
        <v>1</v>
      </c>
      <c r="E223" s="1">
        <f t="shared" si="7"/>
        <v>0</v>
      </c>
    </row>
    <row r="224" spans="3:5" x14ac:dyDescent="0.25">
      <c r="C224" s="2">
        <v>1</v>
      </c>
      <c r="D224" s="1">
        <f t="shared" si="6"/>
        <v>2</v>
      </c>
      <c r="E224" s="1">
        <f t="shared" si="7"/>
        <v>0</v>
      </c>
    </row>
    <row r="225" spans="3:5" x14ac:dyDescent="0.25">
      <c r="C225" s="2">
        <v>1</v>
      </c>
      <c r="D225" s="1">
        <f t="shared" si="6"/>
        <v>3</v>
      </c>
      <c r="E225" s="1">
        <f t="shared" si="7"/>
        <v>0</v>
      </c>
    </row>
    <row r="226" spans="3:5" x14ac:dyDescent="0.25">
      <c r="C226" s="2">
        <v>1</v>
      </c>
      <c r="D226" s="1">
        <f t="shared" si="6"/>
        <v>4</v>
      </c>
      <c r="E226" s="1">
        <f t="shared" si="7"/>
        <v>0</v>
      </c>
    </row>
    <row r="227" spans="3:5" x14ac:dyDescent="0.25">
      <c r="C227" s="2">
        <v>1</v>
      </c>
      <c r="D227" s="1">
        <f t="shared" si="6"/>
        <v>0</v>
      </c>
      <c r="E227" s="1">
        <f t="shared" si="7"/>
        <v>1</v>
      </c>
    </row>
    <row r="228" spans="3:5" x14ac:dyDescent="0.25">
      <c r="C228" s="2">
        <v>1</v>
      </c>
      <c r="D228" s="1">
        <f t="shared" si="6"/>
        <v>1</v>
      </c>
      <c r="E228" s="1">
        <f t="shared" si="7"/>
        <v>0</v>
      </c>
    </row>
    <row r="229" spans="3:5" x14ac:dyDescent="0.25">
      <c r="C229" s="2">
        <v>1</v>
      </c>
      <c r="D229" s="1">
        <f t="shared" si="6"/>
        <v>2</v>
      </c>
      <c r="E229" s="1">
        <f t="shared" si="7"/>
        <v>0</v>
      </c>
    </row>
    <row r="230" spans="3:5" x14ac:dyDescent="0.25">
      <c r="C230" s="2">
        <v>1</v>
      </c>
      <c r="D230" s="1">
        <f t="shared" si="6"/>
        <v>3</v>
      </c>
      <c r="E230" s="1">
        <f t="shared" si="7"/>
        <v>0</v>
      </c>
    </row>
    <row r="231" spans="3:5" x14ac:dyDescent="0.25">
      <c r="C231" s="2">
        <v>1</v>
      </c>
      <c r="D231" s="1">
        <f t="shared" si="6"/>
        <v>4</v>
      </c>
      <c r="E231" s="1">
        <f t="shared" si="7"/>
        <v>0</v>
      </c>
    </row>
    <row r="232" spans="3:5" x14ac:dyDescent="0.25">
      <c r="C232" s="2">
        <v>1</v>
      </c>
      <c r="D232" s="1">
        <f t="shared" si="6"/>
        <v>0</v>
      </c>
      <c r="E232" s="1">
        <f t="shared" si="7"/>
        <v>1</v>
      </c>
    </row>
    <row r="233" spans="3:5" x14ac:dyDescent="0.25">
      <c r="C233" s="2">
        <v>1</v>
      </c>
      <c r="D233" s="1">
        <f t="shared" si="6"/>
        <v>1</v>
      </c>
      <c r="E233" s="1">
        <f t="shared" si="7"/>
        <v>0</v>
      </c>
    </row>
    <row r="234" spans="3:5" x14ac:dyDescent="0.25">
      <c r="C234" s="2">
        <v>1</v>
      </c>
      <c r="D234" s="1">
        <f t="shared" si="6"/>
        <v>2</v>
      </c>
      <c r="E234" s="1">
        <f t="shared" si="7"/>
        <v>0</v>
      </c>
    </row>
    <row r="235" spans="3:5" x14ac:dyDescent="0.25">
      <c r="C235" s="2">
        <v>1</v>
      </c>
      <c r="D235" s="1">
        <f t="shared" si="6"/>
        <v>3</v>
      </c>
      <c r="E235" s="1">
        <f t="shared" si="7"/>
        <v>0</v>
      </c>
    </row>
    <row r="236" spans="3:5" x14ac:dyDescent="0.25">
      <c r="C236" s="2">
        <v>1</v>
      </c>
      <c r="D236" s="1">
        <f t="shared" si="6"/>
        <v>4</v>
      </c>
      <c r="E236" s="1">
        <f t="shared" si="7"/>
        <v>0</v>
      </c>
    </row>
    <row r="237" spans="3:5" x14ac:dyDescent="0.25">
      <c r="C237" s="2">
        <v>1</v>
      </c>
      <c r="D237" s="1">
        <f t="shared" si="6"/>
        <v>0</v>
      </c>
      <c r="E237" s="1">
        <f t="shared" si="7"/>
        <v>1</v>
      </c>
    </row>
    <row r="238" spans="3:5" x14ac:dyDescent="0.25">
      <c r="C238" s="2">
        <v>1</v>
      </c>
      <c r="D238" s="1">
        <f t="shared" si="6"/>
        <v>1</v>
      </c>
      <c r="E238" s="1">
        <f t="shared" si="7"/>
        <v>0</v>
      </c>
    </row>
    <row r="239" spans="3:5" x14ac:dyDescent="0.25">
      <c r="C239" s="2">
        <v>1</v>
      </c>
      <c r="D239" s="1">
        <f t="shared" si="6"/>
        <v>2</v>
      </c>
      <c r="E239" s="1">
        <f t="shared" si="7"/>
        <v>0</v>
      </c>
    </row>
    <row r="240" spans="3:5" x14ac:dyDescent="0.25">
      <c r="C240" s="2">
        <v>1</v>
      </c>
      <c r="D240" s="1">
        <f t="shared" si="6"/>
        <v>3</v>
      </c>
      <c r="E240" s="1">
        <f t="shared" si="7"/>
        <v>0</v>
      </c>
    </row>
    <row r="241" spans="3:5" x14ac:dyDescent="0.25">
      <c r="C241" s="2">
        <v>1</v>
      </c>
      <c r="D241" s="1">
        <f t="shared" si="6"/>
        <v>4</v>
      </c>
      <c r="E241" s="1">
        <f t="shared" si="7"/>
        <v>0</v>
      </c>
    </row>
    <row r="242" spans="3:5" x14ac:dyDescent="0.25">
      <c r="C242" s="2">
        <v>1</v>
      </c>
      <c r="D242" s="1">
        <f t="shared" si="6"/>
        <v>0</v>
      </c>
      <c r="E242" s="1">
        <f t="shared" si="7"/>
        <v>1</v>
      </c>
    </row>
    <row r="243" spans="3:5" x14ac:dyDescent="0.25">
      <c r="C243" s="2">
        <v>1</v>
      </c>
      <c r="D243" s="1">
        <f t="shared" si="6"/>
        <v>1</v>
      </c>
      <c r="E243" s="1">
        <f t="shared" si="7"/>
        <v>0</v>
      </c>
    </row>
    <row r="244" spans="3:5" x14ac:dyDescent="0.25">
      <c r="C244" s="2">
        <v>1</v>
      </c>
      <c r="D244" s="1">
        <f t="shared" si="6"/>
        <v>2</v>
      </c>
      <c r="E244" s="1">
        <f t="shared" si="7"/>
        <v>0</v>
      </c>
    </row>
    <row r="245" spans="3:5" x14ac:dyDescent="0.25">
      <c r="C245" s="2">
        <v>1</v>
      </c>
      <c r="D245" s="1">
        <f t="shared" si="6"/>
        <v>3</v>
      </c>
      <c r="E245" s="1">
        <f t="shared" si="7"/>
        <v>0</v>
      </c>
    </row>
    <row r="246" spans="3:5" x14ac:dyDescent="0.25">
      <c r="C246" s="2">
        <v>1</v>
      </c>
      <c r="D246" s="1">
        <f t="shared" si="6"/>
        <v>4</v>
      </c>
      <c r="E246" s="1">
        <f t="shared" si="7"/>
        <v>0</v>
      </c>
    </row>
    <row r="247" spans="3:5" x14ac:dyDescent="0.25">
      <c r="C247" s="2">
        <v>1</v>
      </c>
      <c r="D247" s="1">
        <f t="shared" si="6"/>
        <v>0</v>
      </c>
      <c r="E247" s="1">
        <f t="shared" si="7"/>
        <v>1</v>
      </c>
    </row>
    <row r="248" spans="3:5" x14ac:dyDescent="0.25">
      <c r="C248" s="2">
        <v>1</v>
      </c>
      <c r="D248" s="1">
        <f t="shared" si="6"/>
        <v>1</v>
      </c>
      <c r="E248" s="1">
        <f t="shared" si="7"/>
        <v>0</v>
      </c>
    </row>
    <row r="249" spans="3:5" x14ac:dyDescent="0.25">
      <c r="C249" s="2">
        <v>1</v>
      </c>
      <c r="D249" s="1">
        <f t="shared" si="6"/>
        <v>2</v>
      </c>
      <c r="E249" s="1">
        <f t="shared" si="7"/>
        <v>0</v>
      </c>
    </row>
    <row r="250" spans="3:5" x14ac:dyDescent="0.25">
      <c r="C250" s="2">
        <v>1</v>
      </c>
      <c r="D250" s="1">
        <f t="shared" si="6"/>
        <v>3</v>
      </c>
      <c r="E250" s="1">
        <f t="shared" si="7"/>
        <v>0</v>
      </c>
    </row>
    <row r="251" spans="3:5" x14ac:dyDescent="0.25">
      <c r="C251" s="2">
        <v>1</v>
      </c>
      <c r="D251" s="1">
        <f t="shared" si="6"/>
        <v>4</v>
      </c>
      <c r="E251" s="1">
        <f t="shared" si="7"/>
        <v>0</v>
      </c>
    </row>
    <row r="252" spans="3:5" x14ac:dyDescent="0.25">
      <c r="C252" s="2">
        <v>1</v>
      </c>
      <c r="D252" s="1">
        <f t="shared" si="6"/>
        <v>0</v>
      </c>
      <c r="E252" s="1">
        <f t="shared" si="7"/>
        <v>1</v>
      </c>
    </row>
    <row r="253" spans="3:5" x14ac:dyDescent="0.25">
      <c r="C253" s="2">
        <v>1</v>
      </c>
      <c r="D253" s="1">
        <f t="shared" si="6"/>
        <v>1</v>
      </c>
      <c r="E253" s="1">
        <f t="shared" si="7"/>
        <v>0</v>
      </c>
    </row>
    <row r="254" spans="3:5" x14ac:dyDescent="0.25">
      <c r="C254" s="2">
        <v>1</v>
      </c>
      <c r="D254" s="1">
        <f t="shared" si="6"/>
        <v>2</v>
      </c>
      <c r="E254" s="1">
        <f t="shared" si="7"/>
        <v>0</v>
      </c>
    </row>
    <row r="255" spans="3:5" x14ac:dyDescent="0.25">
      <c r="C255" s="2">
        <v>1</v>
      </c>
      <c r="D255" s="1">
        <f t="shared" si="6"/>
        <v>3</v>
      </c>
      <c r="E255" s="1">
        <f t="shared" si="7"/>
        <v>0</v>
      </c>
    </row>
    <row r="256" spans="3:5" x14ac:dyDescent="0.25">
      <c r="C256" s="2">
        <v>1</v>
      </c>
      <c r="D256" s="1">
        <f t="shared" si="6"/>
        <v>4</v>
      </c>
      <c r="E256" s="1">
        <f t="shared" si="7"/>
        <v>0</v>
      </c>
    </row>
    <row r="257" spans="3:5" x14ac:dyDescent="0.25">
      <c r="C257" s="2">
        <v>1</v>
      </c>
      <c r="D257" s="1">
        <f t="shared" si="6"/>
        <v>0</v>
      </c>
      <c r="E257" s="1">
        <f t="shared" si="7"/>
        <v>1</v>
      </c>
    </row>
    <row r="258" spans="3:5" x14ac:dyDescent="0.25">
      <c r="C258" s="2">
        <v>1</v>
      </c>
      <c r="D258" s="1">
        <f t="shared" si="6"/>
        <v>1</v>
      </c>
      <c r="E258" s="1">
        <f t="shared" si="7"/>
        <v>0</v>
      </c>
    </row>
    <row r="259" spans="3:5" x14ac:dyDescent="0.25">
      <c r="C259" s="2">
        <v>1</v>
      </c>
      <c r="D259" s="1">
        <f t="shared" si="6"/>
        <v>2</v>
      </c>
      <c r="E259" s="1">
        <f t="shared" si="7"/>
        <v>0</v>
      </c>
    </row>
    <row r="260" spans="3:5" x14ac:dyDescent="0.25">
      <c r="C260" s="2">
        <v>1</v>
      </c>
      <c r="D260" s="1">
        <f t="shared" si="6"/>
        <v>3</v>
      </c>
      <c r="E260" s="1">
        <f t="shared" si="7"/>
        <v>0</v>
      </c>
    </row>
    <row r="261" spans="3:5" x14ac:dyDescent="0.25">
      <c r="C261" s="2">
        <v>1</v>
      </c>
      <c r="D261" s="1">
        <f t="shared" si="6"/>
        <v>4</v>
      </c>
      <c r="E261" s="1">
        <f t="shared" si="7"/>
        <v>0</v>
      </c>
    </row>
    <row r="262" spans="3:5" x14ac:dyDescent="0.25">
      <c r="C262" s="2">
        <v>1</v>
      </c>
      <c r="D262" s="1">
        <f t="shared" si="6"/>
        <v>0</v>
      </c>
      <c r="E262" s="1">
        <f t="shared" si="7"/>
        <v>1</v>
      </c>
    </row>
    <row r="263" spans="3:5" x14ac:dyDescent="0.25">
      <c r="C263" s="2">
        <v>1</v>
      </c>
      <c r="D263" s="1">
        <f t="shared" si="6"/>
        <v>1</v>
      </c>
      <c r="E263" s="1">
        <f t="shared" si="7"/>
        <v>0</v>
      </c>
    </row>
    <row r="264" spans="3:5" x14ac:dyDescent="0.25">
      <c r="C264" s="2">
        <v>1</v>
      </c>
      <c r="D264" s="1">
        <f t="shared" si="6"/>
        <v>2</v>
      </c>
      <c r="E264" s="1">
        <f t="shared" si="7"/>
        <v>0</v>
      </c>
    </row>
    <row r="265" spans="3:5" x14ac:dyDescent="0.25">
      <c r="C265" s="2">
        <v>1</v>
      </c>
      <c r="D265" s="1">
        <f t="shared" ref="D265:D328" si="8">MOD((C265+D264),RTC_Calibration)</f>
        <v>3</v>
      </c>
      <c r="E265" s="1">
        <f t="shared" ref="E265:E328" si="9">IF(D265=0,1,0)</f>
        <v>0</v>
      </c>
    </row>
    <row r="266" spans="3:5" x14ac:dyDescent="0.25">
      <c r="C266" s="2">
        <v>1</v>
      </c>
      <c r="D266" s="1">
        <f t="shared" si="8"/>
        <v>4</v>
      </c>
      <c r="E266" s="1">
        <f t="shared" si="9"/>
        <v>0</v>
      </c>
    </row>
    <row r="267" spans="3:5" x14ac:dyDescent="0.25">
      <c r="C267" s="2">
        <v>1</v>
      </c>
      <c r="D267" s="1">
        <f t="shared" si="8"/>
        <v>0</v>
      </c>
      <c r="E267" s="1">
        <f t="shared" si="9"/>
        <v>1</v>
      </c>
    </row>
    <row r="268" spans="3:5" x14ac:dyDescent="0.25">
      <c r="C268" s="2">
        <v>1</v>
      </c>
      <c r="D268" s="1">
        <f t="shared" si="8"/>
        <v>1</v>
      </c>
      <c r="E268" s="1">
        <f t="shared" si="9"/>
        <v>0</v>
      </c>
    </row>
    <row r="269" spans="3:5" x14ac:dyDescent="0.25">
      <c r="C269" s="2">
        <v>1</v>
      </c>
      <c r="D269" s="1">
        <f t="shared" si="8"/>
        <v>2</v>
      </c>
      <c r="E269" s="1">
        <f t="shared" si="9"/>
        <v>0</v>
      </c>
    </row>
    <row r="270" spans="3:5" x14ac:dyDescent="0.25">
      <c r="C270" s="2">
        <v>1</v>
      </c>
      <c r="D270" s="1">
        <f t="shared" si="8"/>
        <v>3</v>
      </c>
      <c r="E270" s="1">
        <f t="shared" si="9"/>
        <v>0</v>
      </c>
    </row>
    <row r="271" spans="3:5" x14ac:dyDescent="0.25">
      <c r="C271" s="2">
        <v>1</v>
      </c>
      <c r="D271" s="1">
        <f t="shared" si="8"/>
        <v>4</v>
      </c>
      <c r="E271" s="1">
        <f t="shared" si="9"/>
        <v>0</v>
      </c>
    </row>
    <row r="272" spans="3:5" x14ac:dyDescent="0.25">
      <c r="C272" s="2">
        <v>1</v>
      </c>
      <c r="D272" s="1">
        <f t="shared" si="8"/>
        <v>0</v>
      </c>
      <c r="E272" s="1">
        <f t="shared" si="9"/>
        <v>1</v>
      </c>
    </row>
    <row r="273" spans="3:5" x14ac:dyDescent="0.25">
      <c r="C273" s="2">
        <v>1</v>
      </c>
      <c r="D273" s="1">
        <f t="shared" si="8"/>
        <v>1</v>
      </c>
      <c r="E273" s="1">
        <f t="shared" si="9"/>
        <v>0</v>
      </c>
    </row>
    <row r="274" spans="3:5" x14ac:dyDescent="0.25">
      <c r="C274" s="2">
        <v>1</v>
      </c>
      <c r="D274" s="1">
        <f t="shared" si="8"/>
        <v>2</v>
      </c>
      <c r="E274" s="1">
        <f t="shared" si="9"/>
        <v>0</v>
      </c>
    </row>
    <row r="275" spans="3:5" x14ac:dyDescent="0.25">
      <c r="C275" s="2">
        <v>1</v>
      </c>
      <c r="D275" s="1">
        <f t="shared" si="8"/>
        <v>3</v>
      </c>
      <c r="E275" s="1">
        <f t="shared" si="9"/>
        <v>0</v>
      </c>
    </row>
    <row r="276" spans="3:5" x14ac:dyDescent="0.25">
      <c r="C276" s="2">
        <v>1</v>
      </c>
      <c r="D276" s="1">
        <f t="shared" si="8"/>
        <v>4</v>
      </c>
      <c r="E276" s="1">
        <f t="shared" si="9"/>
        <v>0</v>
      </c>
    </row>
    <row r="277" spans="3:5" x14ac:dyDescent="0.25">
      <c r="C277" s="2">
        <v>1</v>
      </c>
      <c r="D277" s="1">
        <f t="shared" si="8"/>
        <v>0</v>
      </c>
      <c r="E277" s="1">
        <f t="shared" si="9"/>
        <v>1</v>
      </c>
    </row>
    <row r="278" spans="3:5" x14ac:dyDescent="0.25">
      <c r="C278" s="2">
        <v>1</v>
      </c>
      <c r="D278" s="1">
        <f t="shared" si="8"/>
        <v>1</v>
      </c>
      <c r="E278" s="1">
        <f t="shared" si="9"/>
        <v>0</v>
      </c>
    </row>
    <row r="279" spans="3:5" x14ac:dyDescent="0.25">
      <c r="C279" s="2">
        <v>1</v>
      </c>
      <c r="D279" s="1">
        <f t="shared" si="8"/>
        <v>2</v>
      </c>
      <c r="E279" s="1">
        <f t="shared" si="9"/>
        <v>0</v>
      </c>
    </row>
    <row r="280" spans="3:5" x14ac:dyDescent="0.25">
      <c r="C280" s="2">
        <v>1</v>
      </c>
      <c r="D280" s="1">
        <f t="shared" si="8"/>
        <v>3</v>
      </c>
      <c r="E280" s="1">
        <f t="shared" si="9"/>
        <v>0</v>
      </c>
    </row>
    <row r="281" spans="3:5" x14ac:dyDescent="0.25">
      <c r="C281" s="2">
        <v>1</v>
      </c>
      <c r="D281" s="1">
        <f t="shared" si="8"/>
        <v>4</v>
      </c>
      <c r="E281" s="1">
        <f t="shared" si="9"/>
        <v>0</v>
      </c>
    </row>
    <row r="282" spans="3:5" x14ac:dyDescent="0.25">
      <c r="C282" s="2">
        <v>1</v>
      </c>
      <c r="D282" s="1">
        <f t="shared" si="8"/>
        <v>0</v>
      </c>
      <c r="E282" s="1">
        <f t="shared" si="9"/>
        <v>1</v>
      </c>
    </row>
    <row r="283" spans="3:5" x14ac:dyDescent="0.25">
      <c r="C283" s="2">
        <v>1</v>
      </c>
      <c r="D283" s="1">
        <f t="shared" si="8"/>
        <v>1</v>
      </c>
      <c r="E283" s="1">
        <f t="shared" si="9"/>
        <v>0</v>
      </c>
    </row>
    <row r="284" spans="3:5" x14ac:dyDescent="0.25">
      <c r="C284" s="2">
        <v>1</v>
      </c>
      <c r="D284" s="1">
        <f t="shared" si="8"/>
        <v>2</v>
      </c>
      <c r="E284" s="1">
        <f t="shared" si="9"/>
        <v>0</v>
      </c>
    </row>
    <row r="285" spans="3:5" x14ac:dyDescent="0.25">
      <c r="C285" s="2">
        <v>1</v>
      </c>
      <c r="D285" s="1">
        <f t="shared" si="8"/>
        <v>3</v>
      </c>
      <c r="E285" s="1">
        <f t="shared" si="9"/>
        <v>0</v>
      </c>
    </row>
    <row r="286" spans="3:5" x14ac:dyDescent="0.25">
      <c r="C286" s="2">
        <v>1</v>
      </c>
      <c r="D286" s="1">
        <f t="shared" si="8"/>
        <v>4</v>
      </c>
      <c r="E286" s="1">
        <f t="shared" si="9"/>
        <v>0</v>
      </c>
    </row>
    <row r="287" spans="3:5" x14ac:dyDescent="0.25">
      <c r="C287" s="2">
        <v>1</v>
      </c>
      <c r="D287" s="1">
        <f t="shared" si="8"/>
        <v>0</v>
      </c>
      <c r="E287" s="1">
        <f t="shared" si="9"/>
        <v>1</v>
      </c>
    </row>
    <row r="288" spans="3:5" x14ac:dyDescent="0.25">
      <c r="C288" s="2">
        <v>1</v>
      </c>
      <c r="D288" s="1">
        <f t="shared" si="8"/>
        <v>1</v>
      </c>
      <c r="E288" s="1">
        <f t="shared" si="9"/>
        <v>0</v>
      </c>
    </row>
    <row r="289" spans="3:5" x14ac:dyDescent="0.25">
      <c r="C289" s="2">
        <v>1</v>
      </c>
      <c r="D289" s="1">
        <f t="shared" si="8"/>
        <v>2</v>
      </c>
      <c r="E289" s="1">
        <f t="shared" si="9"/>
        <v>0</v>
      </c>
    </row>
    <row r="290" spans="3:5" x14ac:dyDescent="0.25">
      <c r="C290" s="2">
        <v>1</v>
      </c>
      <c r="D290" s="1">
        <f t="shared" si="8"/>
        <v>3</v>
      </c>
      <c r="E290" s="1">
        <f t="shared" si="9"/>
        <v>0</v>
      </c>
    </row>
    <row r="291" spans="3:5" x14ac:dyDescent="0.25">
      <c r="C291" s="2">
        <v>1</v>
      </c>
      <c r="D291" s="1">
        <f t="shared" si="8"/>
        <v>4</v>
      </c>
      <c r="E291" s="1">
        <f t="shared" si="9"/>
        <v>0</v>
      </c>
    </row>
    <row r="292" spans="3:5" x14ac:dyDescent="0.25">
      <c r="C292" s="2">
        <v>1</v>
      </c>
      <c r="D292" s="1">
        <f t="shared" si="8"/>
        <v>0</v>
      </c>
      <c r="E292" s="1">
        <f t="shared" si="9"/>
        <v>1</v>
      </c>
    </row>
    <row r="293" spans="3:5" x14ac:dyDescent="0.25">
      <c r="C293" s="2">
        <v>1</v>
      </c>
      <c r="D293" s="1">
        <f t="shared" si="8"/>
        <v>1</v>
      </c>
      <c r="E293" s="1">
        <f t="shared" si="9"/>
        <v>0</v>
      </c>
    </row>
    <row r="294" spans="3:5" x14ac:dyDescent="0.25">
      <c r="C294" s="2">
        <v>1</v>
      </c>
      <c r="D294" s="1">
        <f t="shared" si="8"/>
        <v>2</v>
      </c>
      <c r="E294" s="1">
        <f t="shared" si="9"/>
        <v>0</v>
      </c>
    </row>
    <row r="295" spans="3:5" x14ac:dyDescent="0.25">
      <c r="C295" s="2">
        <v>1</v>
      </c>
      <c r="D295" s="1">
        <f t="shared" si="8"/>
        <v>3</v>
      </c>
      <c r="E295" s="1">
        <f t="shared" si="9"/>
        <v>0</v>
      </c>
    </row>
    <row r="296" spans="3:5" x14ac:dyDescent="0.25">
      <c r="C296" s="2">
        <v>1</v>
      </c>
      <c r="D296" s="1">
        <f t="shared" si="8"/>
        <v>4</v>
      </c>
      <c r="E296" s="1">
        <f t="shared" si="9"/>
        <v>0</v>
      </c>
    </row>
    <row r="297" spans="3:5" x14ac:dyDescent="0.25">
      <c r="C297" s="2">
        <v>1</v>
      </c>
      <c r="D297" s="1">
        <f t="shared" si="8"/>
        <v>0</v>
      </c>
      <c r="E297" s="1">
        <f t="shared" si="9"/>
        <v>1</v>
      </c>
    </row>
    <row r="298" spans="3:5" x14ac:dyDescent="0.25">
      <c r="C298" s="2">
        <v>1</v>
      </c>
      <c r="D298" s="1">
        <f t="shared" si="8"/>
        <v>1</v>
      </c>
      <c r="E298" s="1">
        <f t="shared" si="9"/>
        <v>0</v>
      </c>
    </row>
    <row r="299" spans="3:5" x14ac:dyDescent="0.25">
      <c r="C299" s="2">
        <v>1</v>
      </c>
      <c r="D299" s="1">
        <f t="shared" si="8"/>
        <v>2</v>
      </c>
      <c r="E299" s="1">
        <f t="shared" si="9"/>
        <v>0</v>
      </c>
    </row>
    <row r="300" spans="3:5" x14ac:dyDescent="0.25">
      <c r="C300" s="2">
        <v>1</v>
      </c>
      <c r="D300" s="1">
        <f t="shared" si="8"/>
        <v>3</v>
      </c>
      <c r="E300" s="1">
        <f t="shared" si="9"/>
        <v>0</v>
      </c>
    </row>
    <row r="301" spans="3:5" x14ac:dyDescent="0.25">
      <c r="C301" s="2">
        <v>1</v>
      </c>
      <c r="D301" s="1">
        <f t="shared" si="8"/>
        <v>4</v>
      </c>
      <c r="E301" s="1">
        <f t="shared" si="9"/>
        <v>0</v>
      </c>
    </row>
    <row r="302" spans="3:5" x14ac:dyDescent="0.25">
      <c r="C302" s="2">
        <v>1</v>
      </c>
      <c r="D302" s="1">
        <f t="shared" si="8"/>
        <v>0</v>
      </c>
      <c r="E302" s="1">
        <f t="shared" si="9"/>
        <v>1</v>
      </c>
    </row>
    <row r="303" spans="3:5" x14ac:dyDescent="0.25">
      <c r="C303" s="2">
        <v>1</v>
      </c>
      <c r="D303" s="1">
        <f t="shared" si="8"/>
        <v>1</v>
      </c>
      <c r="E303" s="1">
        <f t="shared" si="9"/>
        <v>0</v>
      </c>
    </row>
    <row r="304" spans="3:5" x14ac:dyDescent="0.25">
      <c r="C304" s="2">
        <v>1</v>
      </c>
      <c r="D304" s="1">
        <f t="shared" si="8"/>
        <v>2</v>
      </c>
      <c r="E304" s="1">
        <f t="shared" si="9"/>
        <v>0</v>
      </c>
    </row>
    <row r="305" spans="3:5" x14ac:dyDescent="0.25">
      <c r="C305" s="2">
        <v>1</v>
      </c>
      <c r="D305" s="1">
        <f t="shared" si="8"/>
        <v>3</v>
      </c>
      <c r="E305" s="1">
        <f t="shared" si="9"/>
        <v>0</v>
      </c>
    </row>
    <row r="306" spans="3:5" x14ac:dyDescent="0.25">
      <c r="C306" s="2">
        <v>1</v>
      </c>
      <c r="D306" s="1">
        <f t="shared" si="8"/>
        <v>4</v>
      </c>
      <c r="E306" s="1">
        <f t="shared" si="9"/>
        <v>0</v>
      </c>
    </row>
    <row r="307" spans="3:5" x14ac:dyDescent="0.25">
      <c r="C307" s="2">
        <v>1</v>
      </c>
      <c r="D307" s="1">
        <f t="shared" si="8"/>
        <v>0</v>
      </c>
      <c r="E307" s="1">
        <f t="shared" si="9"/>
        <v>1</v>
      </c>
    </row>
    <row r="308" spans="3:5" x14ac:dyDescent="0.25">
      <c r="C308" s="2">
        <v>1</v>
      </c>
      <c r="D308" s="1">
        <f t="shared" si="8"/>
        <v>1</v>
      </c>
      <c r="E308" s="1">
        <f t="shared" si="9"/>
        <v>0</v>
      </c>
    </row>
    <row r="309" spans="3:5" x14ac:dyDescent="0.25">
      <c r="C309" s="2">
        <v>1</v>
      </c>
      <c r="D309" s="1">
        <f t="shared" si="8"/>
        <v>2</v>
      </c>
      <c r="E309" s="1">
        <f t="shared" si="9"/>
        <v>0</v>
      </c>
    </row>
    <row r="310" spans="3:5" x14ac:dyDescent="0.25">
      <c r="C310" s="2">
        <v>1</v>
      </c>
      <c r="D310" s="1">
        <f t="shared" si="8"/>
        <v>3</v>
      </c>
      <c r="E310" s="1">
        <f t="shared" si="9"/>
        <v>0</v>
      </c>
    </row>
    <row r="311" spans="3:5" x14ac:dyDescent="0.25">
      <c r="C311" s="2">
        <v>1</v>
      </c>
      <c r="D311" s="1">
        <f t="shared" si="8"/>
        <v>4</v>
      </c>
      <c r="E311" s="1">
        <f t="shared" si="9"/>
        <v>0</v>
      </c>
    </row>
    <row r="312" spans="3:5" x14ac:dyDescent="0.25">
      <c r="C312" s="2">
        <v>1</v>
      </c>
      <c r="D312" s="1">
        <f t="shared" si="8"/>
        <v>0</v>
      </c>
      <c r="E312" s="1">
        <f t="shared" si="9"/>
        <v>1</v>
      </c>
    </row>
    <row r="313" spans="3:5" x14ac:dyDescent="0.25">
      <c r="C313" s="2">
        <v>1</v>
      </c>
      <c r="D313" s="1">
        <f t="shared" si="8"/>
        <v>1</v>
      </c>
      <c r="E313" s="1">
        <f t="shared" si="9"/>
        <v>0</v>
      </c>
    </row>
    <row r="314" spans="3:5" x14ac:dyDescent="0.25">
      <c r="C314" s="2">
        <v>1</v>
      </c>
      <c r="D314" s="1">
        <f t="shared" si="8"/>
        <v>2</v>
      </c>
      <c r="E314" s="1">
        <f t="shared" si="9"/>
        <v>0</v>
      </c>
    </row>
    <row r="315" spans="3:5" x14ac:dyDescent="0.25">
      <c r="C315" s="2">
        <v>1</v>
      </c>
      <c r="D315" s="1">
        <f t="shared" si="8"/>
        <v>3</v>
      </c>
      <c r="E315" s="1">
        <f t="shared" si="9"/>
        <v>0</v>
      </c>
    </row>
    <row r="316" spans="3:5" x14ac:dyDescent="0.25">
      <c r="C316" s="2">
        <v>1</v>
      </c>
      <c r="D316" s="1">
        <f t="shared" si="8"/>
        <v>4</v>
      </c>
      <c r="E316" s="1">
        <f t="shared" si="9"/>
        <v>0</v>
      </c>
    </row>
    <row r="317" spans="3:5" x14ac:dyDescent="0.25">
      <c r="C317" s="2">
        <v>1</v>
      </c>
      <c r="D317" s="1">
        <f t="shared" si="8"/>
        <v>0</v>
      </c>
      <c r="E317" s="1">
        <f t="shared" si="9"/>
        <v>1</v>
      </c>
    </row>
    <row r="318" spans="3:5" x14ac:dyDescent="0.25">
      <c r="C318" s="2">
        <v>1</v>
      </c>
      <c r="D318" s="1">
        <f t="shared" si="8"/>
        <v>1</v>
      </c>
      <c r="E318" s="1">
        <f t="shared" si="9"/>
        <v>0</v>
      </c>
    </row>
    <row r="319" spans="3:5" x14ac:dyDescent="0.25">
      <c r="C319" s="2">
        <v>1</v>
      </c>
      <c r="D319" s="1">
        <f t="shared" si="8"/>
        <v>2</v>
      </c>
      <c r="E319" s="1">
        <f t="shared" si="9"/>
        <v>0</v>
      </c>
    </row>
    <row r="320" spans="3:5" x14ac:dyDescent="0.25">
      <c r="C320" s="2">
        <v>1</v>
      </c>
      <c r="D320" s="1">
        <f t="shared" si="8"/>
        <v>3</v>
      </c>
      <c r="E320" s="1">
        <f t="shared" si="9"/>
        <v>0</v>
      </c>
    </row>
    <row r="321" spans="3:5" x14ac:dyDescent="0.25">
      <c r="C321" s="2">
        <v>1</v>
      </c>
      <c r="D321" s="1">
        <f t="shared" si="8"/>
        <v>4</v>
      </c>
      <c r="E321" s="1">
        <f t="shared" si="9"/>
        <v>0</v>
      </c>
    </row>
    <row r="322" spans="3:5" x14ac:dyDescent="0.25">
      <c r="C322" s="2">
        <v>1</v>
      </c>
      <c r="D322" s="1">
        <f t="shared" si="8"/>
        <v>0</v>
      </c>
      <c r="E322" s="1">
        <f t="shared" si="9"/>
        <v>1</v>
      </c>
    </row>
    <row r="323" spans="3:5" x14ac:dyDescent="0.25">
      <c r="C323" s="2">
        <v>1</v>
      </c>
      <c r="D323" s="1">
        <f t="shared" si="8"/>
        <v>1</v>
      </c>
      <c r="E323" s="1">
        <f t="shared" si="9"/>
        <v>0</v>
      </c>
    </row>
    <row r="324" spans="3:5" x14ac:dyDescent="0.25">
      <c r="C324" s="2">
        <v>1</v>
      </c>
      <c r="D324" s="1">
        <f t="shared" si="8"/>
        <v>2</v>
      </c>
      <c r="E324" s="1">
        <f t="shared" si="9"/>
        <v>0</v>
      </c>
    </row>
    <row r="325" spans="3:5" x14ac:dyDescent="0.25">
      <c r="C325" s="2">
        <v>1</v>
      </c>
      <c r="D325" s="1">
        <f t="shared" si="8"/>
        <v>3</v>
      </c>
      <c r="E325" s="1">
        <f t="shared" si="9"/>
        <v>0</v>
      </c>
    </row>
    <row r="326" spans="3:5" x14ac:dyDescent="0.25">
      <c r="C326" s="2">
        <v>1</v>
      </c>
      <c r="D326" s="1">
        <f t="shared" si="8"/>
        <v>4</v>
      </c>
      <c r="E326" s="1">
        <f t="shared" si="9"/>
        <v>0</v>
      </c>
    </row>
    <row r="327" spans="3:5" x14ac:dyDescent="0.25">
      <c r="C327" s="2">
        <v>1</v>
      </c>
      <c r="D327" s="1">
        <f t="shared" si="8"/>
        <v>0</v>
      </c>
      <c r="E327" s="1">
        <f t="shared" si="9"/>
        <v>1</v>
      </c>
    </row>
    <row r="328" spans="3:5" x14ac:dyDescent="0.25">
      <c r="C328" s="2">
        <v>1</v>
      </c>
      <c r="D328" s="1">
        <f t="shared" si="8"/>
        <v>1</v>
      </c>
      <c r="E328" s="1">
        <f t="shared" si="9"/>
        <v>0</v>
      </c>
    </row>
    <row r="329" spans="3:5" x14ac:dyDescent="0.25">
      <c r="C329" s="2">
        <v>1</v>
      </c>
      <c r="D329" s="1">
        <f t="shared" ref="D329:D368" si="10">MOD((C329+D328),RTC_Calibration)</f>
        <v>2</v>
      </c>
      <c r="E329" s="1">
        <f t="shared" ref="E329:E368" si="11">IF(D329=0,1,0)</f>
        <v>0</v>
      </c>
    </row>
    <row r="330" spans="3:5" x14ac:dyDescent="0.25">
      <c r="C330" s="2">
        <v>1</v>
      </c>
      <c r="D330" s="1">
        <f t="shared" si="10"/>
        <v>3</v>
      </c>
      <c r="E330" s="1">
        <f t="shared" si="11"/>
        <v>0</v>
      </c>
    </row>
    <row r="331" spans="3:5" x14ac:dyDescent="0.25">
      <c r="C331" s="2">
        <v>1</v>
      </c>
      <c r="D331" s="1">
        <f t="shared" si="10"/>
        <v>4</v>
      </c>
      <c r="E331" s="1">
        <f t="shared" si="11"/>
        <v>0</v>
      </c>
    </row>
    <row r="332" spans="3:5" x14ac:dyDescent="0.25">
      <c r="C332" s="2">
        <v>1</v>
      </c>
      <c r="D332" s="1">
        <f t="shared" si="10"/>
        <v>0</v>
      </c>
      <c r="E332" s="1">
        <f t="shared" si="11"/>
        <v>1</v>
      </c>
    </row>
    <row r="333" spans="3:5" x14ac:dyDescent="0.25">
      <c r="C333" s="2">
        <v>1</v>
      </c>
      <c r="D333" s="1">
        <f t="shared" si="10"/>
        <v>1</v>
      </c>
      <c r="E333" s="1">
        <f t="shared" si="11"/>
        <v>0</v>
      </c>
    </row>
    <row r="334" spans="3:5" x14ac:dyDescent="0.25">
      <c r="C334" s="2">
        <v>1</v>
      </c>
      <c r="D334" s="1">
        <f t="shared" si="10"/>
        <v>2</v>
      </c>
      <c r="E334" s="1">
        <f t="shared" si="11"/>
        <v>0</v>
      </c>
    </row>
    <row r="335" spans="3:5" x14ac:dyDescent="0.25">
      <c r="C335" s="2">
        <v>1</v>
      </c>
      <c r="D335" s="1">
        <f t="shared" si="10"/>
        <v>3</v>
      </c>
      <c r="E335" s="1">
        <f t="shared" si="11"/>
        <v>0</v>
      </c>
    </row>
    <row r="336" spans="3:5" x14ac:dyDescent="0.25">
      <c r="C336" s="2">
        <v>1</v>
      </c>
      <c r="D336" s="1">
        <f t="shared" si="10"/>
        <v>4</v>
      </c>
      <c r="E336" s="1">
        <f t="shared" si="11"/>
        <v>0</v>
      </c>
    </row>
    <row r="337" spans="3:5" x14ac:dyDescent="0.25">
      <c r="C337" s="2">
        <v>1</v>
      </c>
      <c r="D337" s="1">
        <f t="shared" si="10"/>
        <v>0</v>
      </c>
      <c r="E337" s="1">
        <f t="shared" si="11"/>
        <v>1</v>
      </c>
    </row>
    <row r="338" spans="3:5" x14ac:dyDescent="0.25">
      <c r="C338" s="2">
        <v>1</v>
      </c>
      <c r="D338" s="1">
        <f t="shared" si="10"/>
        <v>1</v>
      </c>
      <c r="E338" s="1">
        <f t="shared" si="11"/>
        <v>0</v>
      </c>
    </row>
    <row r="339" spans="3:5" x14ac:dyDescent="0.25">
      <c r="C339" s="2">
        <v>1</v>
      </c>
      <c r="D339" s="1">
        <f t="shared" si="10"/>
        <v>2</v>
      </c>
      <c r="E339" s="1">
        <f t="shared" si="11"/>
        <v>0</v>
      </c>
    </row>
    <row r="340" spans="3:5" x14ac:dyDescent="0.25">
      <c r="C340" s="2">
        <v>1</v>
      </c>
      <c r="D340" s="1">
        <f t="shared" si="10"/>
        <v>3</v>
      </c>
      <c r="E340" s="1">
        <f t="shared" si="11"/>
        <v>0</v>
      </c>
    </row>
    <row r="341" spans="3:5" x14ac:dyDescent="0.25">
      <c r="C341" s="2">
        <v>1</v>
      </c>
      <c r="D341" s="1">
        <f t="shared" si="10"/>
        <v>4</v>
      </c>
      <c r="E341" s="1">
        <f t="shared" si="11"/>
        <v>0</v>
      </c>
    </row>
    <row r="342" spans="3:5" x14ac:dyDescent="0.25">
      <c r="C342" s="2">
        <v>1</v>
      </c>
      <c r="D342" s="1">
        <f t="shared" si="10"/>
        <v>0</v>
      </c>
      <c r="E342" s="1">
        <f t="shared" si="11"/>
        <v>1</v>
      </c>
    </row>
    <row r="343" spans="3:5" x14ac:dyDescent="0.25">
      <c r="C343" s="2">
        <v>1</v>
      </c>
      <c r="D343" s="1">
        <f t="shared" si="10"/>
        <v>1</v>
      </c>
      <c r="E343" s="1">
        <f t="shared" si="11"/>
        <v>0</v>
      </c>
    </row>
    <row r="344" spans="3:5" x14ac:dyDescent="0.25">
      <c r="C344" s="2">
        <v>1</v>
      </c>
      <c r="D344" s="1">
        <f t="shared" si="10"/>
        <v>2</v>
      </c>
      <c r="E344" s="1">
        <f t="shared" si="11"/>
        <v>0</v>
      </c>
    </row>
    <row r="345" spans="3:5" x14ac:dyDescent="0.25">
      <c r="C345" s="2">
        <v>1</v>
      </c>
      <c r="D345" s="1">
        <f t="shared" si="10"/>
        <v>3</v>
      </c>
      <c r="E345" s="1">
        <f t="shared" si="11"/>
        <v>0</v>
      </c>
    </row>
    <row r="346" spans="3:5" x14ac:dyDescent="0.25">
      <c r="C346" s="2">
        <v>1</v>
      </c>
      <c r="D346" s="1">
        <f t="shared" si="10"/>
        <v>4</v>
      </c>
      <c r="E346" s="1">
        <f t="shared" si="11"/>
        <v>0</v>
      </c>
    </row>
    <row r="347" spans="3:5" x14ac:dyDescent="0.25">
      <c r="C347" s="2">
        <v>1</v>
      </c>
      <c r="D347" s="1">
        <f t="shared" si="10"/>
        <v>0</v>
      </c>
      <c r="E347" s="1">
        <f t="shared" si="11"/>
        <v>1</v>
      </c>
    </row>
    <row r="348" spans="3:5" x14ac:dyDescent="0.25">
      <c r="C348" s="2">
        <v>1</v>
      </c>
      <c r="D348" s="1">
        <f t="shared" si="10"/>
        <v>1</v>
      </c>
      <c r="E348" s="1">
        <f t="shared" si="11"/>
        <v>0</v>
      </c>
    </row>
    <row r="349" spans="3:5" x14ac:dyDescent="0.25">
      <c r="C349" s="2">
        <v>1</v>
      </c>
      <c r="D349" s="1">
        <f t="shared" si="10"/>
        <v>2</v>
      </c>
      <c r="E349" s="1">
        <f t="shared" si="11"/>
        <v>0</v>
      </c>
    </row>
    <row r="350" spans="3:5" x14ac:dyDescent="0.25">
      <c r="C350" s="2">
        <v>1</v>
      </c>
      <c r="D350" s="1">
        <f t="shared" si="10"/>
        <v>3</v>
      </c>
      <c r="E350" s="1">
        <f t="shared" si="11"/>
        <v>0</v>
      </c>
    </row>
    <row r="351" spans="3:5" x14ac:dyDescent="0.25">
      <c r="C351" s="2">
        <v>1</v>
      </c>
      <c r="D351" s="1">
        <f t="shared" si="10"/>
        <v>4</v>
      </c>
      <c r="E351" s="1">
        <f t="shared" si="11"/>
        <v>0</v>
      </c>
    </row>
    <row r="352" spans="3:5" x14ac:dyDescent="0.25">
      <c r="C352" s="2">
        <v>1</v>
      </c>
      <c r="D352" s="1">
        <f t="shared" si="10"/>
        <v>0</v>
      </c>
      <c r="E352" s="1">
        <f t="shared" si="11"/>
        <v>1</v>
      </c>
    </row>
    <row r="353" spans="3:5" x14ac:dyDescent="0.25">
      <c r="C353" s="2">
        <v>1</v>
      </c>
      <c r="D353" s="1">
        <f t="shared" si="10"/>
        <v>1</v>
      </c>
      <c r="E353" s="1">
        <f t="shared" si="11"/>
        <v>0</v>
      </c>
    </row>
    <row r="354" spans="3:5" x14ac:dyDescent="0.25">
      <c r="C354" s="2">
        <v>1</v>
      </c>
      <c r="D354" s="1">
        <f t="shared" si="10"/>
        <v>2</v>
      </c>
      <c r="E354" s="1">
        <f t="shared" si="11"/>
        <v>0</v>
      </c>
    </row>
    <row r="355" spans="3:5" x14ac:dyDescent="0.25">
      <c r="C355" s="2">
        <v>1</v>
      </c>
      <c r="D355" s="1">
        <f t="shared" si="10"/>
        <v>3</v>
      </c>
      <c r="E355" s="1">
        <f t="shared" si="11"/>
        <v>0</v>
      </c>
    </row>
    <row r="356" spans="3:5" x14ac:dyDescent="0.25">
      <c r="C356" s="2">
        <v>1</v>
      </c>
      <c r="D356" s="1">
        <f t="shared" si="10"/>
        <v>4</v>
      </c>
      <c r="E356" s="1">
        <f t="shared" si="11"/>
        <v>0</v>
      </c>
    </row>
    <row r="357" spans="3:5" x14ac:dyDescent="0.25">
      <c r="C357" s="2">
        <v>1</v>
      </c>
      <c r="D357" s="1">
        <f t="shared" si="10"/>
        <v>0</v>
      </c>
      <c r="E357" s="1">
        <f t="shared" si="11"/>
        <v>1</v>
      </c>
    </row>
    <row r="358" spans="3:5" x14ac:dyDescent="0.25">
      <c r="C358" s="2">
        <v>1</v>
      </c>
      <c r="D358" s="1">
        <f t="shared" si="10"/>
        <v>1</v>
      </c>
      <c r="E358" s="1">
        <f t="shared" si="11"/>
        <v>0</v>
      </c>
    </row>
    <row r="359" spans="3:5" x14ac:dyDescent="0.25">
      <c r="C359" s="2">
        <v>1</v>
      </c>
      <c r="D359" s="1">
        <f t="shared" si="10"/>
        <v>2</v>
      </c>
      <c r="E359" s="1">
        <f t="shared" si="11"/>
        <v>0</v>
      </c>
    </row>
    <row r="360" spans="3:5" x14ac:dyDescent="0.25">
      <c r="C360" s="2">
        <v>1</v>
      </c>
      <c r="D360" s="1">
        <f t="shared" si="10"/>
        <v>3</v>
      </c>
      <c r="E360" s="1">
        <f t="shared" si="11"/>
        <v>0</v>
      </c>
    </row>
    <row r="361" spans="3:5" x14ac:dyDescent="0.25">
      <c r="C361" s="2">
        <v>1</v>
      </c>
      <c r="D361" s="1">
        <f t="shared" si="10"/>
        <v>4</v>
      </c>
      <c r="E361" s="1">
        <f t="shared" si="11"/>
        <v>0</v>
      </c>
    </row>
    <row r="362" spans="3:5" x14ac:dyDescent="0.25">
      <c r="C362" s="2">
        <v>1</v>
      </c>
      <c r="D362" s="1">
        <f t="shared" si="10"/>
        <v>0</v>
      </c>
      <c r="E362" s="1">
        <f t="shared" si="11"/>
        <v>1</v>
      </c>
    </row>
    <row r="363" spans="3:5" x14ac:dyDescent="0.25">
      <c r="C363" s="2">
        <v>1</v>
      </c>
      <c r="D363" s="1">
        <f t="shared" si="10"/>
        <v>1</v>
      </c>
      <c r="E363" s="1">
        <f t="shared" si="11"/>
        <v>0</v>
      </c>
    </row>
    <row r="364" spans="3:5" x14ac:dyDescent="0.25">
      <c r="C364" s="2">
        <v>1</v>
      </c>
      <c r="D364" s="1">
        <f t="shared" si="10"/>
        <v>2</v>
      </c>
      <c r="E364" s="1">
        <f t="shared" si="11"/>
        <v>0</v>
      </c>
    </row>
    <row r="365" spans="3:5" x14ac:dyDescent="0.25">
      <c r="C365" s="2">
        <v>1</v>
      </c>
      <c r="D365" s="1">
        <f t="shared" si="10"/>
        <v>3</v>
      </c>
      <c r="E365" s="1">
        <f t="shared" si="11"/>
        <v>0</v>
      </c>
    </row>
    <row r="366" spans="3:5" x14ac:dyDescent="0.25">
      <c r="C366" s="2">
        <v>1</v>
      </c>
      <c r="D366" s="1">
        <f t="shared" si="10"/>
        <v>4</v>
      </c>
      <c r="E366" s="1">
        <f t="shared" si="11"/>
        <v>0</v>
      </c>
    </row>
    <row r="367" spans="3:5" x14ac:dyDescent="0.25">
      <c r="C367" s="2">
        <v>1</v>
      </c>
      <c r="D367" s="1">
        <f t="shared" si="10"/>
        <v>0</v>
      </c>
      <c r="E367" s="1">
        <f t="shared" si="11"/>
        <v>1</v>
      </c>
    </row>
    <row r="368" spans="3:5" x14ac:dyDescent="0.25">
      <c r="C368" s="2">
        <v>1</v>
      </c>
      <c r="D368" s="1">
        <f t="shared" si="10"/>
        <v>1</v>
      </c>
      <c r="E368" s="1">
        <f t="shared" si="11"/>
        <v>0</v>
      </c>
    </row>
  </sheetData>
  <conditionalFormatting sqref="E8:E368">
    <cfRule type="cellIs" dxfId="1" priority="1" operator="equal">
      <formula>1</formula>
    </cfRule>
    <cfRule type="cellIs" dxfId="0" priority="2" operator="equal">
      <formula>0</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7:S256"/>
  <sheetViews>
    <sheetView topLeftCell="B18" zoomScaleNormal="100" workbookViewId="0">
      <selection activeCell="K25" sqref="K25"/>
    </sheetView>
  </sheetViews>
  <sheetFormatPr defaultRowHeight="15" x14ac:dyDescent="0.25"/>
  <cols>
    <col min="3" max="3" width="12.7109375" customWidth="1"/>
    <col min="5" max="5" width="11.5703125" customWidth="1"/>
    <col min="6" max="6" width="11.85546875" customWidth="1"/>
    <col min="7" max="7" width="9.28515625" bestFit="1" customWidth="1"/>
    <col min="8" max="8" width="15.42578125" customWidth="1"/>
    <col min="9" max="9" width="12" customWidth="1"/>
    <col min="12" max="12" width="10.5703125" customWidth="1"/>
  </cols>
  <sheetData>
    <row r="7" spans="2:19" ht="14.45" x14ac:dyDescent="0.3">
      <c r="B7" t="s">
        <v>57</v>
      </c>
      <c r="E7" t="s">
        <v>58</v>
      </c>
      <c r="S7" t="s">
        <v>69</v>
      </c>
    </row>
    <row r="8" spans="2:19" x14ac:dyDescent="0.25">
      <c r="B8" t="s">
        <v>59</v>
      </c>
      <c r="C8">
        <v>1.84</v>
      </c>
      <c r="D8" t="s">
        <v>68</v>
      </c>
      <c r="E8" t="s">
        <v>60</v>
      </c>
      <c r="S8" t="s">
        <v>70</v>
      </c>
    </row>
    <row r="9" spans="2:19" ht="14.45" x14ac:dyDescent="0.3">
      <c r="B9" t="s">
        <v>61</v>
      </c>
      <c r="C9">
        <v>0.18</v>
      </c>
      <c r="D9" t="s">
        <v>67</v>
      </c>
      <c r="E9" t="s">
        <v>62</v>
      </c>
    </row>
    <row r="10" spans="2:19" ht="14.45" x14ac:dyDescent="0.3">
      <c r="B10" t="s">
        <v>63</v>
      </c>
      <c r="E10" t="s">
        <v>64</v>
      </c>
    </row>
    <row r="11" spans="2:19" ht="14.45" x14ac:dyDescent="0.3">
      <c r="B11" t="s">
        <v>65</v>
      </c>
      <c r="E11" t="s">
        <v>66</v>
      </c>
    </row>
    <row r="19" spans="1:15" ht="14.45" x14ac:dyDescent="0.3">
      <c r="A19" t="s">
        <v>72</v>
      </c>
      <c r="B19" s="7">
        <v>0.1</v>
      </c>
      <c r="C19" s="1"/>
      <c r="D19" s="7">
        <v>0.98</v>
      </c>
      <c r="E19" s="1"/>
      <c r="F19" s="7">
        <v>0.18</v>
      </c>
      <c r="G19" s="1"/>
      <c r="H19" s="1"/>
      <c r="J19" s="7">
        <v>1.84</v>
      </c>
    </row>
    <row r="21" spans="1:15" s="12" customFormat="1" ht="28.9" x14ac:dyDescent="0.3">
      <c r="B21" s="6" t="s">
        <v>71</v>
      </c>
      <c r="C21" s="6" t="s">
        <v>73</v>
      </c>
      <c r="D21" s="6" t="s">
        <v>74</v>
      </c>
      <c r="E21" s="6" t="s">
        <v>76</v>
      </c>
      <c r="F21" s="6" t="s">
        <v>75</v>
      </c>
      <c r="G21" s="6"/>
      <c r="H21" s="6"/>
      <c r="I21" s="12" t="s">
        <v>78</v>
      </c>
      <c r="K21" s="6" t="s">
        <v>77</v>
      </c>
    </row>
    <row r="22" spans="1:15" s="12" customFormat="1" ht="28.9" x14ac:dyDescent="0.3">
      <c r="B22" s="6"/>
      <c r="C22" s="6" t="s">
        <v>80</v>
      </c>
      <c r="D22" s="6" t="s">
        <v>81</v>
      </c>
      <c r="E22" s="6">
        <v>1</v>
      </c>
      <c r="F22" s="6" t="s">
        <v>82</v>
      </c>
      <c r="G22" s="6">
        <v>3</v>
      </c>
      <c r="H22" s="6">
        <v>2</v>
      </c>
      <c r="I22" s="12">
        <v>4</v>
      </c>
      <c r="J22" s="12">
        <v>5</v>
      </c>
      <c r="K22" s="6">
        <v>6</v>
      </c>
      <c r="L22" s="12" t="s">
        <v>79</v>
      </c>
    </row>
    <row r="23" spans="1:15" ht="14.45" x14ac:dyDescent="0.3">
      <c r="B23" s="1">
        <v>0</v>
      </c>
      <c r="C23" s="1">
        <v>0</v>
      </c>
      <c r="D23" s="1">
        <f>C23*$D$19</f>
        <v>0</v>
      </c>
      <c r="E23" s="1">
        <f t="shared" ref="E23:E32" si="0">C23*D23</f>
        <v>0</v>
      </c>
      <c r="F23" s="1">
        <f t="shared" ref="F23:F32" si="1">$F$19</f>
        <v>0.18</v>
      </c>
      <c r="G23" s="10">
        <f t="shared" ref="G23:G86" si="2">F23+K23</f>
        <v>0.67999999999999994</v>
      </c>
      <c r="H23" s="10">
        <f>E23-G23</f>
        <v>-0.67999999999999994</v>
      </c>
      <c r="I23" s="1">
        <f t="shared" ref="I23:I86" si="3">$J$19</f>
        <v>1.84</v>
      </c>
      <c r="J23">
        <f>H23/I23</f>
        <v>-0.36956521739130432</v>
      </c>
      <c r="K23" s="10">
        <v>0.5</v>
      </c>
      <c r="L23" s="12"/>
      <c r="M23" s="10"/>
      <c r="N23" s="11"/>
      <c r="O23" s="11"/>
    </row>
    <row r="24" spans="1:15" ht="14.45" x14ac:dyDescent="0.3">
      <c r="B24" s="1">
        <f>B23+$B$19</f>
        <v>0.1</v>
      </c>
      <c r="C24" s="1">
        <v>0</v>
      </c>
      <c r="D24" s="1">
        <f t="shared" ref="D24:D87" si="4">C24*$D$19</f>
        <v>0</v>
      </c>
      <c r="E24" s="1">
        <f t="shared" si="0"/>
        <v>0</v>
      </c>
      <c r="F24" s="1">
        <f t="shared" si="1"/>
        <v>0.18</v>
      </c>
      <c r="G24" s="10">
        <f t="shared" si="2"/>
        <v>0.18</v>
      </c>
      <c r="H24" s="10">
        <f t="shared" ref="H24:H87" si="5">E24-G24</f>
        <v>-0.18</v>
      </c>
      <c r="I24" s="1">
        <f t="shared" si="3"/>
        <v>1.84</v>
      </c>
      <c r="J24">
        <f t="shared" ref="J24:J87" si="6">H24/I24</f>
        <v>-9.7826086956521729E-2</v>
      </c>
      <c r="K24" s="10">
        <v>0</v>
      </c>
      <c r="L24">
        <v>0</v>
      </c>
      <c r="M24" s="10"/>
      <c r="N24" s="11"/>
      <c r="O24" s="11"/>
    </row>
    <row r="25" spans="1:15" ht="14.45" x14ac:dyDescent="0.3">
      <c r="B25" s="1">
        <f t="shared" ref="B25:B32" si="7">B24+$B$19</f>
        <v>0.2</v>
      </c>
      <c r="C25" s="1">
        <v>0</v>
      </c>
      <c r="D25" s="1">
        <f t="shared" si="4"/>
        <v>0</v>
      </c>
      <c r="E25" s="1">
        <f t="shared" si="0"/>
        <v>0</v>
      </c>
      <c r="F25" s="1">
        <f t="shared" si="1"/>
        <v>0.18</v>
      </c>
      <c r="G25" s="10">
        <f t="shared" si="2"/>
        <v>0.20717391304347826</v>
      </c>
      <c r="H25" s="10">
        <f t="shared" si="5"/>
        <v>-0.20717391304347826</v>
      </c>
      <c r="I25" s="1">
        <f t="shared" si="3"/>
        <v>1.84</v>
      </c>
      <c r="J25">
        <f t="shared" si="6"/>
        <v>-0.11259451795841209</v>
      </c>
      <c r="K25" s="10">
        <f>(J24-J23) * $B$19</f>
        <v>2.717391304347826E-2</v>
      </c>
      <c r="L25" s="95">
        <f t="shared" ref="L25:L88" si="8">L24+K24</f>
        <v>0</v>
      </c>
      <c r="M25" s="10"/>
      <c r="N25" s="11"/>
      <c r="O25" s="11"/>
    </row>
    <row r="26" spans="1:15" ht="14.45" x14ac:dyDescent="0.3">
      <c r="B26" s="1">
        <f t="shared" si="7"/>
        <v>0.30000000000000004</v>
      </c>
      <c r="C26" s="1">
        <v>0</v>
      </c>
      <c r="D26" s="1">
        <f t="shared" si="4"/>
        <v>0</v>
      </c>
      <c r="E26" s="1">
        <f t="shared" si="0"/>
        <v>0</v>
      </c>
      <c r="F26" s="1">
        <f t="shared" si="1"/>
        <v>0.18</v>
      </c>
      <c r="G26" s="10">
        <f t="shared" si="2"/>
        <v>0.17852315689981096</v>
      </c>
      <c r="H26" s="10">
        <f t="shared" si="5"/>
        <v>-0.17852315689981096</v>
      </c>
      <c r="I26" s="1">
        <f t="shared" si="3"/>
        <v>1.84</v>
      </c>
      <c r="J26">
        <f t="shared" si="6"/>
        <v>-9.7023454836853776E-2</v>
      </c>
      <c r="K26" s="10">
        <f t="shared" ref="K26:K89" si="9">(J25-J24) * $B$19</f>
        <v>-1.4768431001890361E-3</v>
      </c>
      <c r="L26" s="95">
        <f t="shared" si="8"/>
        <v>2.717391304347826E-2</v>
      </c>
      <c r="M26" s="10"/>
      <c r="N26" s="11"/>
      <c r="O26" s="11"/>
    </row>
    <row r="27" spans="1:15" ht="14.45" x14ac:dyDescent="0.3">
      <c r="B27" s="1">
        <f t="shared" si="7"/>
        <v>0.4</v>
      </c>
      <c r="C27" s="1">
        <v>0</v>
      </c>
      <c r="D27" s="1">
        <f t="shared" si="4"/>
        <v>0</v>
      </c>
      <c r="E27" s="1">
        <f t="shared" si="0"/>
        <v>0</v>
      </c>
      <c r="F27" s="1">
        <f t="shared" si="1"/>
        <v>0.18</v>
      </c>
      <c r="G27" s="10">
        <f t="shared" si="2"/>
        <v>0.18155710631215582</v>
      </c>
      <c r="H27" s="10">
        <f t="shared" si="5"/>
        <v>-0.18155710631215582</v>
      </c>
      <c r="I27" s="1">
        <f t="shared" si="3"/>
        <v>1.84</v>
      </c>
      <c r="J27">
        <f t="shared" si="6"/>
        <v>-9.8672340387041202E-2</v>
      </c>
      <c r="K27" s="10">
        <f t="shared" si="9"/>
        <v>1.5571063121558315E-3</v>
      </c>
      <c r="L27" s="95">
        <f t="shared" si="8"/>
        <v>2.5697069943289224E-2</v>
      </c>
      <c r="M27" s="10"/>
      <c r="N27" s="11"/>
      <c r="O27" s="11"/>
    </row>
    <row r="28" spans="1:15" ht="14.45" x14ac:dyDescent="0.3">
      <c r="B28" s="1">
        <f t="shared" si="7"/>
        <v>0.5</v>
      </c>
      <c r="C28" s="1">
        <v>0</v>
      </c>
      <c r="D28" s="1">
        <f t="shared" si="4"/>
        <v>0</v>
      </c>
      <c r="E28" s="1">
        <f t="shared" si="0"/>
        <v>0</v>
      </c>
      <c r="F28" s="1">
        <f t="shared" si="1"/>
        <v>0.18</v>
      </c>
      <c r="G28" s="10">
        <f t="shared" si="2"/>
        <v>0.17983511144498124</v>
      </c>
      <c r="H28" s="10">
        <f t="shared" si="5"/>
        <v>-0.17983511144498124</v>
      </c>
      <c r="I28" s="1">
        <f t="shared" si="3"/>
        <v>1.84</v>
      </c>
      <c r="J28">
        <f t="shared" si="6"/>
        <v>-9.7736473611402849E-2</v>
      </c>
      <c r="K28" s="10">
        <f t="shared" si="9"/>
        <v>-1.6488855501874263E-4</v>
      </c>
      <c r="L28" s="95">
        <f t="shared" si="8"/>
        <v>2.7254176255445055E-2</v>
      </c>
      <c r="M28" s="10"/>
      <c r="N28" s="11"/>
      <c r="O28" s="11"/>
    </row>
    <row r="29" spans="1:15" ht="14.45" x14ac:dyDescent="0.3">
      <c r="B29" s="1">
        <f t="shared" si="7"/>
        <v>0.6</v>
      </c>
      <c r="C29" s="1">
        <v>0</v>
      </c>
      <c r="D29" s="1">
        <f t="shared" si="4"/>
        <v>0</v>
      </c>
      <c r="E29" s="1">
        <f t="shared" si="0"/>
        <v>0</v>
      </c>
      <c r="F29" s="1">
        <f t="shared" si="1"/>
        <v>0.18</v>
      </c>
      <c r="G29" s="10">
        <f t="shared" si="2"/>
        <v>0.18009358667756384</v>
      </c>
      <c r="H29" s="10">
        <f t="shared" si="5"/>
        <v>-0.18009358667756384</v>
      </c>
      <c r="I29" s="1">
        <f t="shared" si="3"/>
        <v>1.84</v>
      </c>
      <c r="J29">
        <f t="shared" si="6"/>
        <v>-9.7876949281284695E-2</v>
      </c>
      <c r="K29" s="10">
        <f t="shared" si="9"/>
        <v>9.3586677563835274E-5</v>
      </c>
      <c r="L29" s="95">
        <f t="shared" si="8"/>
        <v>2.7089287700426314E-2</v>
      </c>
      <c r="M29" s="10"/>
      <c r="N29" s="11"/>
      <c r="O29" s="11"/>
    </row>
    <row r="30" spans="1:15" ht="14.45" x14ac:dyDescent="0.3">
      <c r="B30" s="1">
        <f t="shared" si="7"/>
        <v>0.7</v>
      </c>
      <c r="C30" s="1">
        <v>0</v>
      </c>
      <c r="D30" s="1">
        <f t="shared" si="4"/>
        <v>0</v>
      </c>
      <c r="E30" s="1">
        <f t="shared" si="0"/>
        <v>0</v>
      </c>
      <c r="F30" s="1">
        <f t="shared" si="1"/>
        <v>0.18</v>
      </c>
      <c r="G30" s="10">
        <f t="shared" si="2"/>
        <v>0.1799859524330118</v>
      </c>
      <c r="H30" s="10">
        <f t="shared" si="5"/>
        <v>-0.1799859524330118</v>
      </c>
      <c r="I30" s="1">
        <f t="shared" si="3"/>
        <v>1.84</v>
      </c>
      <c r="J30">
        <f t="shared" si="6"/>
        <v>-9.781845240924554E-2</v>
      </c>
      <c r="K30" s="10">
        <f t="shared" si="9"/>
        <v>-1.4047566988184547E-5</v>
      </c>
      <c r="L30" s="95">
        <f t="shared" si="8"/>
        <v>2.7182874377990149E-2</v>
      </c>
      <c r="M30" s="10"/>
      <c r="N30" s="11"/>
      <c r="O30" s="11"/>
    </row>
    <row r="31" spans="1:15" ht="14.45" x14ac:dyDescent="0.3">
      <c r="B31" s="1">
        <f t="shared" si="7"/>
        <v>0.79999999999999993</v>
      </c>
      <c r="C31" s="1">
        <v>0</v>
      </c>
      <c r="D31" s="1">
        <f t="shared" si="4"/>
        <v>0</v>
      </c>
      <c r="E31" s="1">
        <f t="shared" si="0"/>
        <v>0</v>
      </c>
      <c r="F31" s="1">
        <f t="shared" si="1"/>
        <v>0.18</v>
      </c>
      <c r="G31" s="10">
        <f t="shared" si="2"/>
        <v>0.1800058496872039</v>
      </c>
      <c r="H31" s="10">
        <f t="shared" si="5"/>
        <v>-0.1800058496872039</v>
      </c>
      <c r="I31" s="1">
        <f t="shared" si="3"/>
        <v>1.84</v>
      </c>
      <c r="J31">
        <f t="shared" si="6"/>
        <v>-9.7829266134349946E-2</v>
      </c>
      <c r="K31" s="10">
        <f t="shared" si="9"/>
        <v>5.8496872039154329E-6</v>
      </c>
      <c r="L31" s="95">
        <f t="shared" si="8"/>
        <v>2.7168826811001964E-2</v>
      </c>
      <c r="M31" s="10"/>
      <c r="N31" s="11"/>
      <c r="O31" s="11"/>
    </row>
    <row r="32" spans="1:15" ht="14.45" x14ac:dyDescent="0.3">
      <c r="B32" s="1">
        <f t="shared" si="7"/>
        <v>0.89999999999999991</v>
      </c>
      <c r="C32" s="1">
        <v>0</v>
      </c>
      <c r="D32" s="1">
        <f t="shared" si="4"/>
        <v>0</v>
      </c>
      <c r="E32" s="1">
        <f t="shared" si="0"/>
        <v>0</v>
      </c>
      <c r="F32" s="1">
        <f t="shared" si="1"/>
        <v>0.18</v>
      </c>
      <c r="G32" s="10">
        <f t="shared" si="2"/>
        <v>0.17999891862748954</v>
      </c>
      <c r="H32" s="10">
        <f t="shared" si="5"/>
        <v>-0.17999891862748954</v>
      </c>
      <c r="I32" s="1">
        <f t="shared" si="3"/>
        <v>1.84</v>
      </c>
      <c r="J32">
        <f t="shared" si="6"/>
        <v>-9.78254992540704E-2</v>
      </c>
      <c r="K32" s="10">
        <f t="shared" si="9"/>
        <v>-1.0813725104405481E-6</v>
      </c>
      <c r="L32" s="95">
        <f t="shared" si="8"/>
        <v>2.7174676498205878E-2</v>
      </c>
      <c r="M32" s="10"/>
      <c r="N32" s="11"/>
      <c r="O32" s="11"/>
    </row>
    <row r="33" spans="2:15" ht="14.45" x14ac:dyDescent="0.3">
      <c r="B33" s="1">
        <f t="shared" ref="B33:B53" si="10">B32+$B$19</f>
        <v>0.99999999999999989</v>
      </c>
      <c r="C33" s="1">
        <v>0</v>
      </c>
      <c r="D33" s="1">
        <f t="shared" si="4"/>
        <v>0</v>
      </c>
      <c r="E33" s="1">
        <f t="shared" ref="E33:E53" si="11">C33*D33</f>
        <v>0</v>
      </c>
      <c r="F33" s="1">
        <f t="shared" ref="F33:F96" si="12">$F$19</f>
        <v>0.18</v>
      </c>
      <c r="G33" s="10">
        <f t="shared" si="2"/>
        <v>0.18000037668802796</v>
      </c>
      <c r="H33" s="10">
        <f t="shared" si="5"/>
        <v>-0.18000037668802796</v>
      </c>
      <c r="I33" s="1">
        <f t="shared" si="3"/>
        <v>1.84</v>
      </c>
      <c r="J33">
        <f t="shared" si="6"/>
        <v>-9.7826291678276056E-2</v>
      </c>
      <c r="K33" s="10">
        <f t="shared" si="9"/>
        <v>3.7668802795459704E-7</v>
      </c>
      <c r="L33" s="95">
        <f t="shared" si="8"/>
        <v>2.7173595125695438E-2</v>
      </c>
      <c r="M33" s="10"/>
      <c r="N33" s="11"/>
      <c r="O33" s="11"/>
    </row>
    <row r="34" spans="2:15" ht="14.45" x14ac:dyDescent="0.3">
      <c r="B34" s="1">
        <f t="shared" si="10"/>
        <v>1.0999999999999999</v>
      </c>
      <c r="C34" s="1">
        <v>0</v>
      </c>
      <c r="D34" s="1">
        <f t="shared" si="4"/>
        <v>0</v>
      </c>
      <c r="E34" s="1">
        <f t="shared" si="11"/>
        <v>0</v>
      </c>
      <c r="F34" s="1">
        <f t="shared" si="12"/>
        <v>0.18</v>
      </c>
      <c r="G34" s="10">
        <f t="shared" si="2"/>
        <v>0.17999992075757942</v>
      </c>
      <c r="H34" s="10">
        <f t="shared" si="5"/>
        <v>-0.17999992075757942</v>
      </c>
      <c r="I34" s="1">
        <f t="shared" si="3"/>
        <v>1.84</v>
      </c>
      <c r="J34">
        <f t="shared" si="6"/>
        <v>-9.7826043889988806E-2</v>
      </c>
      <c r="K34" s="10">
        <f t="shared" si="9"/>
        <v>-7.9242420565617266E-8</v>
      </c>
      <c r="L34" s="95">
        <f t="shared" si="8"/>
        <v>2.7173971813723392E-2</v>
      </c>
      <c r="M34" s="10"/>
      <c r="N34" s="11"/>
      <c r="O34" s="11"/>
    </row>
    <row r="35" spans="2:15" ht="14.45" x14ac:dyDescent="0.3">
      <c r="B35" s="1">
        <f t="shared" si="10"/>
        <v>1.2</v>
      </c>
      <c r="C35" s="1">
        <v>0</v>
      </c>
      <c r="D35" s="1">
        <f t="shared" si="4"/>
        <v>0</v>
      </c>
      <c r="E35" s="1">
        <f t="shared" si="11"/>
        <v>0</v>
      </c>
      <c r="F35" s="1">
        <f t="shared" si="12"/>
        <v>0.18</v>
      </c>
      <c r="G35" s="10">
        <f t="shared" si="2"/>
        <v>0.1800000247788287</v>
      </c>
      <c r="H35" s="10">
        <f t="shared" si="5"/>
        <v>-0.1800000247788287</v>
      </c>
      <c r="I35" s="1">
        <f t="shared" si="3"/>
        <v>1.84</v>
      </c>
      <c r="J35">
        <f t="shared" si="6"/>
        <v>-9.7826100423276469E-2</v>
      </c>
      <c r="K35" s="10">
        <f t="shared" si="9"/>
        <v>2.4778828724980606E-8</v>
      </c>
      <c r="L35" s="95">
        <f t="shared" si="8"/>
        <v>2.7173892571302826E-2</v>
      </c>
      <c r="M35" s="10"/>
      <c r="N35" s="11"/>
      <c r="O35" s="11"/>
    </row>
    <row r="36" spans="2:15" ht="14.45" x14ac:dyDescent="0.3">
      <c r="B36" s="1">
        <f t="shared" si="10"/>
        <v>1.3</v>
      </c>
      <c r="C36" s="1">
        <v>0</v>
      </c>
      <c r="D36" s="1">
        <f t="shared" si="4"/>
        <v>0</v>
      </c>
      <c r="E36" s="1">
        <f t="shared" si="11"/>
        <v>0</v>
      </c>
      <c r="F36" s="1">
        <f t="shared" si="12"/>
        <v>0.18</v>
      </c>
      <c r="G36" s="10">
        <f t="shared" si="2"/>
        <v>0.17999999434667122</v>
      </c>
      <c r="H36" s="10">
        <f t="shared" si="5"/>
        <v>-0.17999999434667122</v>
      </c>
      <c r="I36" s="1">
        <f t="shared" si="3"/>
        <v>1.84</v>
      </c>
      <c r="J36">
        <f t="shared" si="6"/>
        <v>-9.7826083884060444E-2</v>
      </c>
      <c r="K36" s="10">
        <f t="shared" si="9"/>
        <v>-5.6533287662308147E-9</v>
      </c>
      <c r="L36" s="95">
        <f t="shared" si="8"/>
        <v>2.7173917350131551E-2</v>
      </c>
      <c r="M36" s="10"/>
      <c r="N36" s="11"/>
      <c r="O36" s="11"/>
    </row>
    <row r="37" spans="2:15" ht="14.45" x14ac:dyDescent="0.3">
      <c r="B37" s="1">
        <f t="shared" si="10"/>
        <v>1.4000000000000001</v>
      </c>
      <c r="C37" s="1">
        <v>0</v>
      </c>
      <c r="D37" s="1">
        <f t="shared" si="4"/>
        <v>0</v>
      </c>
      <c r="E37" s="1">
        <f t="shared" si="11"/>
        <v>0</v>
      </c>
      <c r="F37" s="1">
        <f t="shared" si="12"/>
        <v>0.18</v>
      </c>
      <c r="G37" s="10">
        <f t="shared" si="2"/>
        <v>0.1800000016539216</v>
      </c>
      <c r="H37" s="10">
        <f t="shared" si="5"/>
        <v>-0.1800000016539216</v>
      </c>
      <c r="I37" s="1">
        <f t="shared" si="3"/>
        <v>1.84</v>
      </c>
      <c r="J37">
        <f t="shared" si="6"/>
        <v>-9.7826087855392166E-2</v>
      </c>
      <c r="K37" s="10">
        <f t="shared" si="9"/>
        <v>1.6539216024513693E-9</v>
      </c>
      <c r="L37" s="95">
        <f t="shared" si="8"/>
        <v>2.7173911696802784E-2</v>
      </c>
      <c r="M37" s="10"/>
      <c r="N37" s="11"/>
      <c r="O37" s="11"/>
    </row>
    <row r="38" spans="2:15" ht="14.45" x14ac:dyDescent="0.3">
      <c r="B38" s="1">
        <f t="shared" si="10"/>
        <v>1.5000000000000002</v>
      </c>
      <c r="C38" s="1">
        <v>0</v>
      </c>
      <c r="D38" s="1">
        <f t="shared" si="4"/>
        <v>0</v>
      </c>
      <c r="E38" s="1">
        <f t="shared" si="11"/>
        <v>0</v>
      </c>
      <c r="F38" s="1">
        <f t="shared" si="12"/>
        <v>0.18</v>
      </c>
      <c r="G38" s="10">
        <f t="shared" si="2"/>
        <v>0.17999999960286683</v>
      </c>
      <c r="H38" s="10">
        <f t="shared" si="5"/>
        <v>-0.17999999960286683</v>
      </c>
      <c r="I38" s="1">
        <f t="shared" si="3"/>
        <v>1.84</v>
      </c>
      <c r="J38">
        <f t="shared" si="6"/>
        <v>-9.7826086740688489E-2</v>
      </c>
      <c r="K38" s="10">
        <f t="shared" si="9"/>
        <v>-3.9713317218081915E-10</v>
      </c>
      <c r="L38" s="95">
        <f t="shared" si="8"/>
        <v>2.7173913350724388E-2</v>
      </c>
      <c r="M38" s="10"/>
      <c r="N38" s="11"/>
      <c r="O38" s="11"/>
    </row>
    <row r="39" spans="2:15" ht="14.45" x14ac:dyDescent="0.3">
      <c r="B39" s="1">
        <f t="shared" si="10"/>
        <v>1.6000000000000003</v>
      </c>
      <c r="C39" s="1">
        <v>0</v>
      </c>
      <c r="D39" s="1">
        <f t="shared" si="4"/>
        <v>0</v>
      </c>
      <c r="E39" s="1">
        <f t="shared" si="11"/>
        <v>0</v>
      </c>
      <c r="F39" s="1">
        <f t="shared" si="12"/>
        <v>0.18</v>
      </c>
      <c r="G39" s="10">
        <f t="shared" si="2"/>
        <v>0.18000000011147035</v>
      </c>
      <c r="H39" s="10">
        <f t="shared" si="5"/>
        <v>-0.18000000011147035</v>
      </c>
      <c r="I39" s="1">
        <f t="shared" si="3"/>
        <v>1.84</v>
      </c>
      <c r="J39">
        <f t="shared" si="6"/>
        <v>-9.782608701710345E-2</v>
      </c>
      <c r="K39" s="10">
        <f t="shared" si="9"/>
        <v>1.1147036765857266E-10</v>
      </c>
      <c r="L39" s="95">
        <f t="shared" si="8"/>
        <v>2.7173912953591214E-2</v>
      </c>
      <c r="M39" s="10"/>
      <c r="N39" s="11"/>
      <c r="O39" s="11"/>
    </row>
    <row r="40" spans="2:15" ht="14.45" x14ac:dyDescent="0.3">
      <c r="B40" s="1">
        <f t="shared" si="10"/>
        <v>1.7000000000000004</v>
      </c>
      <c r="C40" s="1">
        <v>0</v>
      </c>
      <c r="D40" s="1">
        <f t="shared" si="4"/>
        <v>0</v>
      </c>
      <c r="E40" s="1">
        <f t="shared" si="11"/>
        <v>0</v>
      </c>
      <c r="F40" s="1">
        <f t="shared" si="12"/>
        <v>0.18</v>
      </c>
      <c r="G40" s="10">
        <f t="shared" si="2"/>
        <v>0.17999999997235849</v>
      </c>
      <c r="H40" s="10">
        <f t="shared" si="5"/>
        <v>-0.17999999997235849</v>
      </c>
      <c r="I40" s="1">
        <f t="shared" si="3"/>
        <v>1.84</v>
      </c>
      <c r="J40">
        <f t="shared" si="6"/>
        <v>-9.7826086941499177E-2</v>
      </c>
      <c r="K40" s="10">
        <f t="shared" si="9"/>
        <v>-2.7641496036512339E-11</v>
      </c>
      <c r="L40" s="95">
        <f t="shared" si="8"/>
        <v>2.7173913065061582E-2</v>
      </c>
      <c r="M40" s="10"/>
      <c r="N40" s="11"/>
      <c r="O40" s="11"/>
    </row>
    <row r="41" spans="2:15" ht="14.45" x14ac:dyDescent="0.3">
      <c r="B41" s="1">
        <f t="shared" si="10"/>
        <v>1.8000000000000005</v>
      </c>
      <c r="C41" s="1">
        <v>0</v>
      </c>
      <c r="D41" s="1">
        <f t="shared" si="4"/>
        <v>0</v>
      </c>
      <c r="E41" s="1">
        <f t="shared" si="11"/>
        <v>0</v>
      </c>
      <c r="F41" s="1">
        <f t="shared" si="12"/>
        <v>0.18</v>
      </c>
      <c r="G41" s="10">
        <f t="shared" si="2"/>
        <v>0.18000000000756042</v>
      </c>
      <c r="H41" s="10">
        <f t="shared" si="5"/>
        <v>-0.18000000000756042</v>
      </c>
      <c r="I41" s="1">
        <f t="shared" si="3"/>
        <v>1.84</v>
      </c>
      <c r="J41">
        <f t="shared" si="6"/>
        <v>-9.7826086960630651E-2</v>
      </c>
      <c r="K41" s="10">
        <f t="shared" si="9"/>
        <v>7.5604272842255692E-12</v>
      </c>
      <c r="L41" s="95">
        <f t="shared" si="8"/>
        <v>2.7173913037420085E-2</v>
      </c>
      <c r="M41" s="10"/>
      <c r="N41" s="11"/>
      <c r="O41" s="11"/>
    </row>
    <row r="42" spans="2:15" x14ac:dyDescent="0.25">
      <c r="B42" s="1">
        <f t="shared" si="10"/>
        <v>1.9000000000000006</v>
      </c>
      <c r="C42" s="1">
        <v>0</v>
      </c>
      <c r="D42" s="1">
        <f t="shared" si="4"/>
        <v>0</v>
      </c>
      <c r="E42" s="1">
        <f t="shared" si="11"/>
        <v>0</v>
      </c>
      <c r="F42" s="1">
        <f t="shared" si="12"/>
        <v>0.18</v>
      </c>
      <c r="G42" s="10">
        <f t="shared" si="2"/>
        <v>0.17999999999808686</v>
      </c>
      <c r="H42" s="10">
        <f t="shared" si="5"/>
        <v>-0.17999999999808686</v>
      </c>
      <c r="I42" s="1">
        <f t="shared" si="3"/>
        <v>1.84</v>
      </c>
      <c r="J42">
        <f t="shared" si="6"/>
        <v>-9.7826086955481978E-2</v>
      </c>
      <c r="K42" s="10">
        <f t="shared" si="9"/>
        <v>-1.9131474182643162E-12</v>
      </c>
      <c r="L42" s="95">
        <f t="shared" si="8"/>
        <v>2.7173913044980513E-2</v>
      </c>
      <c r="M42" s="10"/>
      <c r="N42" s="11"/>
      <c r="O42" s="11"/>
    </row>
    <row r="43" spans="2:15" x14ac:dyDescent="0.25">
      <c r="B43" s="1">
        <f t="shared" si="10"/>
        <v>2.0000000000000004</v>
      </c>
      <c r="C43" s="1">
        <v>0</v>
      </c>
      <c r="D43" s="1">
        <f t="shared" si="4"/>
        <v>0</v>
      </c>
      <c r="E43" s="1">
        <f t="shared" si="11"/>
        <v>0</v>
      </c>
      <c r="F43" s="1">
        <f t="shared" si="12"/>
        <v>0.18</v>
      </c>
      <c r="G43" s="10">
        <f t="shared" si="2"/>
        <v>0.18000000000051486</v>
      </c>
      <c r="H43" s="10">
        <f t="shared" si="5"/>
        <v>-0.18000000000051486</v>
      </c>
      <c r="I43" s="1">
        <f t="shared" si="3"/>
        <v>1.84</v>
      </c>
      <c r="J43">
        <f t="shared" si="6"/>
        <v>-9.7826086956801547E-2</v>
      </c>
      <c r="K43" s="10">
        <f t="shared" si="9"/>
        <v>5.1486731544869711E-13</v>
      </c>
      <c r="L43" s="95">
        <f t="shared" si="8"/>
        <v>2.7173913043067367E-2</v>
      </c>
      <c r="M43" s="10"/>
      <c r="N43" s="11"/>
      <c r="O43" s="11"/>
    </row>
    <row r="44" spans="2:15" x14ac:dyDescent="0.25">
      <c r="B44" s="1">
        <f t="shared" si="10"/>
        <v>2.1000000000000005</v>
      </c>
      <c r="C44" s="1">
        <v>0</v>
      </c>
      <c r="D44" s="1">
        <f t="shared" si="4"/>
        <v>0</v>
      </c>
      <c r="E44" s="1">
        <f t="shared" si="11"/>
        <v>0</v>
      </c>
      <c r="F44" s="1">
        <f t="shared" si="12"/>
        <v>0.18</v>
      </c>
      <c r="G44" s="10">
        <f t="shared" si="2"/>
        <v>0.17999999999986804</v>
      </c>
      <c r="H44" s="10">
        <f t="shared" si="5"/>
        <v>-0.17999999999986804</v>
      </c>
      <c r="I44" s="1">
        <f t="shared" si="3"/>
        <v>1.84</v>
      </c>
      <c r="J44">
        <f t="shared" si="6"/>
        <v>-9.7826086956450023E-2</v>
      </c>
      <c r="K44" s="10">
        <f t="shared" si="9"/>
        <v>-1.3195694537060376E-13</v>
      </c>
      <c r="L44" s="95">
        <f t="shared" si="8"/>
        <v>2.7173913043582233E-2</v>
      </c>
      <c r="M44" s="10"/>
      <c r="N44" s="11"/>
      <c r="O44" s="11"/>
    </row>
    <row r="45" spans="2:15" x14ac:dyDescent="0.25">
      <c r="B45" s="1">
        <f t="shared" si="10"/>
        <v>2.2000000000000006</v>
      </c>
      <c r="C45" s="1">
        <v>0</v>
      </c>
      <c r="D45" s="1">
        <f t="shared" si="4"/>
        <v>0</v>
      </c>
      <c r="E45" s="1">
        <f t="shared" si="11"/>
        <v>0</v>
      </c>
      <c r="F45" s="1">
        <f t="shared" si="12"/>
        <v>0.18</v>
      </c>
      <c r="G45" s="10">
        <f t="shared" si="2"/>
        <v>0.18000000000003513</v>
      </c>
      <c r="H45" s="10">
        <f t="shared" si="5"/>
        <v>-0.18000000000003513</v>
      </c>
      <c r="I45" s="1">
        <f t="shared" si="3"/>
        <v>1.84</v>
      </c>
      <c r="J45">
        <f t="shared" si="6"/>
        <v>-9.7826086956540825E-2</v>
      </c>
      <c r="K45" s="10">
        <f t="shared" si="9"/>
        <v>3.5152436517194019E-14</v>
      </c>
      <c r="L45" s="95">
        <f t="shared" si="8"/>
        <v>2.7173913043450276E-2</v>
      </c>
      <c r="M45" s="10"/>
      <c r="N45" s="11"/>
      <c r="O45" s="11"/>
    </row>
    <row r="46" spans="2:15" x14ac:dyDescent="0.25">
      <c r="B46" s="1">
        <f t="shared" si="10"/>
        <v>2.3000000000000007</v>
      </c>
      <c r="C46" s="1">
        <v>0</v>
      </c>
      <c r="D46" s="1">
        <f t="shared" si="4"/>
        <v>0</v>
      </c>
      <c r="E46" s="1">
        <f t="shared" si="11"/>
        <v>0</v>
      </c>
      <c r="F46" s="1">
        <f t="shared" si="12"/>
        <v>0.18</v>
      </c>
      <c r="G46" s="10">
        <f t="shared" si="2"/>
        <v>0.17999999999999092</v>
      </c>
      <c r="H46" s="10">
        <f t="shared" si="5"/>
        <v>-0.17999999999999092</v>
      </c>
      <c r="I46" s="1">
        <f t="shared" si="3"/>
        <v>1.84</v>
      </c>
      <c r="J46">
        <f t="shared" si="6"/>
        <v>-9.7826086956516803E-2</v>
      </c>
      <c r="K46" s="10">
        <f t="shared" si="9"/>
        <v>-9.080236562653E-15</v>
      </c>
      <c r="L46" s="95">
        <f t="shared" si="8"/>
        <v>2.7173913043485428E-2</v>
      </c>
      <c r="M46" s="10"/>
      <c r="N46" s="11"/>
      <c r="O46" s="11"/>
    </row>
    <row r="47" spans="2:15" x14ac:dyDescent="0.25">
      <c r="B47" s="1">
        <f t="shared" si="10"/>
        <v>2.4000000000000008</v>
      </c>
      <c r="C47" s="1">
        <v>0</v>
      </c>
      <c r="D47" s="1">
        <f t="shared" si="4"/>
        <v>0</v>
      </c>
      <c r="E47" s="1">
        <f t="shared" si="11"/>
        <v>0</v>
      </c>
      <c r="F47" s="1">
        <f t="shared" si="12"/>
        <v>0.18</v>
      </c>
      <c r="G47" s="10">
        <f t="shared" si="2"/>
        <v>0.18000000000000241</v>
      </c>
      <c r="H47" s="10">
        <f t="shared" si="5"/>
        <v>-0.18000000000000241</v>
      </c>
      <c r="I47" s="1">
        <f t="shared" si="3"/>
        <v>1.84</v>
      </c>
      <c r="J47">
        <f t="shared" si="6"/>
        <v>-9.7826086956523048E-2</v>
      </c>
      <c r="K47" s="10">
        <f t="shared" si="9"/>
        <v>2.4022450695326828E-15</v>
      </c>
      <c r="L47" s="95">
        <f t="shared" si="8"/>
        <v>2.7173913043476348E-2</v>
      </c>
      <c r="M47" s="10"/>
      <c r="N47" s="11"/>
      <c r="O47" s="11"/>
    </row>
    <row r="48" spans="2:15" x14ac:dyDescent="0.25">
      <c r="B48" s="1">
        <f t="shared" si="10"/>
        <v>2.5000000000000009</v>
      </c>
      <c r="C48" s="1">
        <v>0</v>
      </c>
      <c r="D48" s="1">
        <f t="shared" si="4"/>
        <v>0</v>
      </c>
      <c r="E48" s="1">
        <f t="shared" si="11"/>
        <v>0</v>
      </c>
      <c r="F48" s="1">
        <f t="shared" si="12"/>
        <v>0.18</v>
      </c>
      <c r="G48" s="10">
        <f t="shared" si="2"/>
        <v>0.17999999999999938</v>
      </c>
      <c r="H48" s="10">
        <f t="shared" si="5"/>
        <v>-0.17999999999999938</v>
      </c>
      <c r="I48" s="1">
        <f t="shared" si="3"/>
        <v>1.84</v>
      </c>
      <c r="J48">
        <f t="shared" si="6"/>
        <v>-9.7826086956521396E-2</v>
      </c>
      <c r="K48" s="10">
        <f t="shared" si="9"/>
        <v>-6.2450045135165055E-16</v>
      </c>
      <c r="L48" s="95">
        <f t="shared" si="8"/>
        <v>2.7173913043478749E-2</v>
      </c>
      <c r="M48" s="10"/>
      <c r="N48" s="11"/>
      <c r="O48" s="11"/>
    </row>
    <row r="49" spans="2:15" x14ac:dyDescent="0.25">
      <c r="B49" s="1">
        <f t="shared" si="10"/>
        <v>2.600000000000001</v>
      </c>
      <c r="C49" s="1">
        <v>1</v>
      </c>
      <c r="D49" s="1">
        <f t="shared" si="4"/>
        <v>0.98</v>
      </c>
      <c r="E49" s="1">
        <f t="shared" si="11"/>
        <v>0.98</v>
      </c>
      <c r="F49" s="1">
        <f t="shared" si="12"/>
        <v>0.18</v>
      </c>
      <c r="G49" s="10">
        <f t="shared" si="2"/>
        <v>0.18000000000000016</v>
      </c>
      <c r="H49" s="10">
        <f t="shared" si="5"/>
        <v>0.79999999999999982</v>
      </c>
      <c r="I49" s="1">
        <f t="shared" si="3"/>
        <v>1.84</v>
      </c>
      <c r="J49">
        <f t="shared" si="6"/>
        <v>0.43478260869565205</v>
      </c>
      <c r="K49" s="10">
        <f t="shared" si="9"/>
        <v>1.6514567491299204E-16</v>
      </c>
      <c r="L49" s="95">
        <f t="shared" si="8"/>
        <v>2.7173913043478125E-2</v>
      </c>
      <c r="M49" s="10"/>
      <c r="N49" s="11"/>
      <c r="O49" s="11"/>
    </row>
    <row r="50" spans="2:15" x14ac:dyDescent="0.25">
      <c r="B50" s="1">
        <f t="shared" si="10"/>
        <v>2.7000000000000011</v>
      </c>
      <c r="C50" s="1">
        <v>1</v>
      </c>
      <c r="D50" s="1">
        <f t="shared" si="4"/>
        <v>0.98</v>
      </c>
      <c r="E50" s="1">
        <f t="shared" si="11"/>
        <v>0.98</v>
      </c>
      <c r="F50" s="1">
        <f t="shared" si="12"/>
        <v>0.18</v>
      </c>
      <c r="G50" s="10">
        <f t="shared" si="2"/>
        <v>0.23326086956521733</v>
      </c>
      <c r="H50" s="10">
        <f t="shared" si="5"/>
        <v>0.74673913043478268</v>
      </c>
      <c r="I50" s="1">
        <f t="shared" si="3"/>
        <v>1.84</v>
      </c>
      <c r="J50">
        <f t="shared" si="6"/>
        <v>0.4058364839319471</v>
      </c>
      <c r="K50" s="10">
        <f t="shared" si="9"/>
        <v>5.3260869565217341E-2</v>
      </c>
      <c r="L50" s="95">
        <f t="shared" si="8"/>
        <v>2.7173913043478291E-2</v>
      </c>
      <c r="M50" s="10"/>
      <c r="N50" s="11"/>
      <c r="O50" s="11"/>
    </row>
    <row r="51" spans="2:15" x14ac:dyDescent="0.25">
      <c r="B51" s="1">
        <f t="shared" si="10"/>
        <v>2.8000000000000012</v>
      </c>
      <c r="C51" s="1">
        <v>1</v>
      </c>
      <c r="D51" s="1">
        <f t="shared" si="4"/>
        <v>0.98</v>
      </c>
      <c r="E51" s="1">
        <f t="shared" si="11"/>
        <v>0.98</v>
      </c>
      <c r="F51" s="1">
        <f t="shared" si="12"/>
        <v>0.18</v>
      </c>
      <c r="G51" s="10">
        <f t="shared" si="2"/>
        <v>0.1771053875236295</v>
      </c>
      <c r="H51" s="10">
        <f t="shared" si="5"/>
        <v>0.80289461247637051</v>
      </c>
      <c r="I51" s="1">
        <f t="shared" si="3"/>
        <v>1.84</v>
      </c>
      <c r="J51">
        <f t="shared" si="6"/>
        <v>0.43635576765020134</v>
      </c>
      <c r="K51" s="10">
        <f t="shared" si="9"/>
        <v>-2.8946124763704951E-3</v>
      </c>
      <c r="L51" s="95">
        <f t="shared" si="8"/>
        <v>8.0434782608695632E-2</v>
      </c>
      <c r="M51" s="10"/>
      <c r="N51" s="11"/>
      <c r="O51" s="11"/>
    </row>
    <row r="52" spans="2:15" x14ac:dyDescent="0.25">
      <c r="B52" s="1">
        <f t="shared" si="10"/>
        <v>2.9000000000000012</v>
      </c>
      <c r="C52" s="1">
        <v>1</v>
      </c>
      <c r="D52" s="1">
        <f t="shared" si="4"/>
        <v>0.98</v>
      </c>
      <c r="E52" s="1">
        <f t="shared" si="11"/>
        <v>0.98</v>
      </c>
      <c r="F52" s="1">
        <f t="shared" si="12"/>
        <v>0.18</v>
      </c>
      <c r="G52" s="10">
        <f t="shared" si="2"/>
        <v>0.18305192837182541</v>
      </c>
      <c r="H52" s="10">
        <f t="shared" si="5"/>
        <v>0.7969480716281746</v>
      </c>
      <c r="I52" s="1">
        <f t="shared" si="3"/>
        <v>1.84</v>
      </c>
      <c r="J52">
        <f t="shared" si="6"/>
        <v>0.43312395197183401</v>
      </c>
      <c r="K52" s="10">
        <f t="shared" si="9"/>
        <v>3.0519283718254244E-3</v>
      </c>
      <c r="L52" s="95">
        <f t="shared" si="8"/>
        <v>7.7540170132325142E-2</v>
      </c>
      <c r="M52" s="10"/>
      <c r="N52" s="11"/>
      <c r="O52" s="11"/>
    </row>
    <row r="53" spans="2:15" x14ac:dyDescent="0.25">
      <c r="B53" s="1">
        <f t="shared" si="10"/>
        <v>3.0000000000000013</v>
      </c>
      <c r="C53" s="1">
        <v>1</v>
      </c>
      <c r="D53" s="1">
        <f t="shared" si="4"/>
        <v>0.98</v>
      </c>
      <c r="E53" s="1">
        <f t="shared" si="11"/>
        <v>0.98</v>
      </c>
      <c r="F53" s="1">
        <f t="shared" si="12"/>
        <v>0.18</v>
      </c>
      <c r="G53" s="10">
        <f t="shared" si="2"/>
        <v>0.17967681843216327</v>
      </c>
      <c r="H53" s="10">
        <f t="shared" si="5"/>
        <v>0.80032318156783666</v>
      </c>
      <c r="I53" s="1">
        <f t="shared" si="3"/>
        <v>1.84</v>
      </c>
      <c r="J53">
        <f t="shared" si="6"/>
        <v>0.43495825085208512</v>
      </c>
      <c r="K53" s="10">
        <f t="shared" si="9"/>
        <v>-3.2318156783673338E-4</v>
      </c>
      <c r="L53" s="95">
        <f t="shared" si="8"/>
        <v>8.0592098504150569E-2</v>
      </c>
      <c r="M53" s="10"/>
      <c r="N53" s="11"/>
      <c r="O53" s="11"/>
    </row>
    <row r="54" spans="2:15" x14ac:dyDescent="0.25">
      <c r="B54" s="1">
        <f t="shared" ref="B54:B117" si="13">B53+$B$19</f>
        <v>3.1000000000000014</v>
      </c>
      <c r="C54" s="1">
        <v>1</v>
      </c>
      <c r="D54" s="1">
        <f t="shared" si="4"/>
        <v>0.98</v>
      </c>
      <c r="E54" s="1">
        <f t="shared" ref="E54:E117" si="14">C54*D54</f>
        <v>0.98</v>
      </c>
      <c r="F54" s="1">
        <f t="shared" si="12"/>
        <v>0.18</v>
      </c>
      <c r="G54" s="10">
        <f t="shared" si="2"/>
        <v>0.1801834298880251</v>
      </c>
      <c r="H54" s="10">
        <f t="shared" si="5"/>
        <v>0.79981657011197482</v>
      </c>
      <c r="I54" s="1">
        <f t="shared" si="3"/>
        <v>1.84</v>
      </c>
      <c r="J54">
        <f t="shared" si="6"/>
        <v>0.43468291853911672</v>
      </c>
      <c r="K54" s="10">
        <f t="shared" si="9"/>
        <v>1.8342988802511062E-4</v>
      </c>
      <c r="L54" s="95">
        <f t="shared" si="8"/>
        <v>8.0268916936313842E-2</v>
      </c>
      <c r="M54" s="10"/>
      <c r="N54" s="11"/>
      <c r="O54" s="11"/>
    </row>
    <row r="55" spans="2:15" x14ac:dyDescent="0.25">
      <c r="B55" s="1">
        <f t="shared" si="13"/>
        <v>3.2000000000000015</v>
      </c>
      <c r="C55" s="1">
        <v>1</v>
      </c>
      <c r="D55" s="1">
        <f t="shared" si="4"/>
        <v>0.98</v>
      </c>
      <c r="E55" s="1">
        <f t="shared" si="14"/>
        <v>0.98</v>
      </c>
      <c r="F55" s="1">
        <f t="shared" si="12"/>
        <v>0.18</v>
      </c>
      <c r="G55" s="10">
        <f t="shared" si="2"/>
        <v>0.17997246676870315</v>
      </c>
      <c r="H55" s="10">
        <f t="shared" si="5"/>
        <v>0.80002753323129683</v>
      </c>
      <c r="I55" s="1">
        <f t="shared" si="3"/>
        <v>1.84</v>
      </c>
      <c r="J55">
        <f t="shared" si="6"/>
        <v>0.43479757240831346</v>
      </c>
      <c r="K55" s="10">
        <f t="shared" si="9"/>
        <v>-2.7533231296839045E-5</v>
      </c>
      <c r="L55" s="95">
        <f t="shared" si="8"/>
        <v>8.0452346824338952E-2</v>
      </c>
      <c r="M55" s="10"/>
      <c r="N55" s="11"/>
      <c r="O55" s="11"/>
    </row>
    <row r="56" spans="2:15" x14ac:dyDescent="0.25">
      <c r="B56" s="1">
        <f t="shared" si="13"/>
        <v>3.3000000000000016</v>
      </c>
      <c r="C56" s="1">
        <v>1</v>
      </c>
      <c r="D56" s="1">
        <f t="shared" si="4"/>
        <v>0.98</v>
      </c>
      <c r="E56" s="1">
        <f t="shared" si="14"/>
        <v>0.98</v>
      </c>
      <c r="F56" s="1">
        <f t="shared" si="12"/>
        <v>0.18</v>
      </c>
      <c r="G56" s="10">
        <f t="shared" si="2"/>
        <v>0.18001146538691967</v>
      </c>
      <c r="H56" s="10">
        <f t="shared" si="5"/>
        <v>0.79998853461308028</v>
      </c>
      <c r="I56" s="1">
        <f t="shared" si="3"/>
        <v>1.84</v>
      </c>
      <c r="J56">
        <f t="shared" si="6"/>
        <v>0.43477637750710885</v>
      </c>
      <c r="K56" s="10">
        <f t="shared" si="9"/>
        <v>1.1465386919673472E-5</v>
      </c>
      <c r="L56" s="95">
        <f t="shared" si="8"/>
        <v>8.0424813593042113E-2</v>
      </c>
      <c r="M56" s="10"/>
      <c r="N56" s="11"/>
      <c r="O56" s="11"/>
    </row>
    <row r="57" spans="2:15" x14ac:dyDescent="0.25">
      <c r="B57" s="1">
        <f t="shared" si="13"/>
        <v>3.4000000000000017</v>
      </c>
      <c r="C57" s="1">
        <v>1</v>
      </c>
      <c r="D57" s="1">
        <f t="shared" si="4"/>
        <v>0.98</v>
      </c>
      <c r="E57" s="1">
        <f t="shared" si="14"/>
        <v>0.98</v>
      </c>
      <c r="F57" s="1">
        <f t="shared" si="12"/>
        <v>0.18</v>
      </c>
      <c r="G57" s="10">
        <f t="shared" si="2"/>
        <v>0.17999788050987953</v>
      </c>
      <c r="H57" s="10">
        <f t="shared" si="5"/>
        <v>0.80000211949012046</v>
      </c>
      <c r="I57" s="1">
        <f t="shared" si="3"/>
        <v>1.84</v>
      </c>
      <c r="J57">
        <f t="shared" si="6"/>
        <v>0.43478376059245677</v>
      </c>
      <c r="K57" s="10">
        <f t="shared" si="9"/>
        <v>-2.1194901204613093E-6</v>
      </c>
      <c r="L57" s="95">
        <f t="shared" si="8"/>
        <v>8.0436278979961792E-2</v>
      </c>
      <c r="M57" s="10"/>
      <c r="N57" s="11"/>
      <c r="O57" s="11"/>
    </row>
    <row r="58" spans="2:15" x14ac:dyDescent="0.25">
      <c r="B58" s="1">
        <f t="shared" si="13"/>
        <v>3.5000000000000018</v>
      </c>
      <c r="C58" s="1">
        <v>1</v>
      </c>
      <c r="D58" s="1">
        <f t="shared" si="4"/>
        <v>0.98</v>
      </c>
      <c r="E58" s="1">
        <f t="shared" si="14"/>
        <v>0.98</v>
      </c>
      <c r="F58" s="1">
        <f t="shared" si="12"/>
        <v>0.18</v>
      </c>
      <c r="G58" s="10">
        <f t="shared" si="2"/>
        <v>0.18000073830853477</v>
      </c>
      <c r="H58" s="10">
        <f t="shared" si="5"/>
        <v>0.79999926169146518</v>
      </c>
      <c r="I58" s="1">
        <f t="shared" si="3"/>
        <v>1.84</v>
      </c>
      <c r="J58">
        <f t="shared" si="6"/>
        <v>0.43478220744101365</v>
      </c>
      <c r="K58" s="10">
        <f t="shared" si="9"/>
        <v>7.3830853479228691E-7</v>
      </c>
      <c r="L58" s="95">
        <f t="shared" si="8"/>
        <v>8.0434159489841325E-2</v>
      </c>
      <c r="M58" s="10"/>
      <c r="N58" s="11"/>
      <c r="O58" s="11"/>
    </row>
    <row r="59" spans="2:15" x14ac:dyDescent="0.25">
      <c r="B59" s="1">
        <f t="shared" si="13"/>
        <v>3.6000000000000019</v>
      </c>
      <c r="C59" s="1">
        <v>1</v>
      </c>
      <c r="D59" s="1">
        <f t="shared" si="4"/>
        <v>0.98</v>
      </c>
      <c r="E59" s="1">
        <f t="shared" si="14"/>
        <v>0.98</v>
      </c>
      <c r="F59" s="1">
        <f t="shared" si="12"/>
        <v>0.18</v>
      </c>
      <c r="G59" s="10">
        <f t="shared" si="2"/>
        <v>0.17999984468485569</v>
      </c>
      <c r="H59" s="10">
        <f t="shared" si="5"/>
        <v>0.80000015531514435</v>
      </c>
      <c r="I59" s="1">
        <f t="shared" si="3"/>
        <v>1.84</v>
      </c>
      <c r="J59">
        <f t="shared" si="6"/>
        <v>0.43478269310605672</v>
      </c>
      <c r="K59" s="10">
        <f t="shared" si="9"/>
        <v>-1.5531514431232908E-7</v>
      </c>
      <c r="L59" s="95">
        <f t="shared" si="8"/>
        <v>8.043489779837612E-2</v>
      </c>
      <c r="M59" s="10"/>
      <c r="N59" s="11"/>
      <c r="O59" s="11"/>
    </row>
    <row r="60" spans="2:15" x14ac:dyDescent="0.25">
      <c r="B60" s="1">
        <f t="shared" si="13"/>
        <v>3.700000000000002</v>
      </c>
      <c r="C60" s="1">
        <v>1</v>
      </c>
      <c r="D60" s="1">
        <f t="shared" si="4"/>
        <v>0.98</v>
      </c>
      <c r="E60" s="1">
        <f t="shared" si="14"/>
        <v>0.98</v>
      </c>
      <c r="F60" s="1">
        <f t="shared" si="12"/>
        <v>0.18</v>
      </c>
      <c r="G60" s="10">
        <f t="shared" si="2"/>
        <v>0.18000004856650431</v>
      </c>
      <c r="H60" s="10">
        <f t="shared" si="5"/>
        <v>0.79999995143349567</v>
      </c>
      <c r="I60" s="1">
        <f t="shared" si="3"/>
        <v>1.84</v>
      </c>
      <c r="J60">
        <f t="shared" si="6"/>
        <v>0.43478258230081285</v>
      </c>
      <c r="K60" s="10">
        <f t="shared" si="9"/>
        <v>4.8566504307068219E-8</v>
      </c>
      <c r="L60" s="95">
        <f t="shared" si="8"/>
        <v>8.0434742483231805E-2</v>
      </c>
      <c r="M60" s="10"/>
      <c r="N60" s="11"/>
      <c r="O60" s="11"/>
    </row>
    <row r="61" spans="2:15" x14ac:dyDescent="0.25">
      <c r="B61" s="1">
        <f t="shared" si="13"/>
        <v>3.800000000000002</v>
      </c>
      <c r="C61" s="1">
        <v>1</v>
      </c>
      <c r="D61" s="1">
        <f t="shared" si="4"/>
        <v>0.98</v>
      </c>
      <c r="E61" s="1">
        <f t="shared" si="14"/>
        <v>0.98</v>
      </c>
      <c r="F61" s="1">
        <f t="shared" si="12"/>
        <v>0.18</v>
      </c>
      <c r="G61" s="10">
        <f t="shared" si="2"/>
        <v>0.17999998891947561</v>
      </c>
      <c r="H61" s="10">
        <f t="shared" si="5"/>
        <v>0.80000001108052432</v>
      </c>
      <c r="I61" s="1">
        <f t="shared" si="3"/>
        <v>1.84</v>
      </c>
      <c r="J61">
        <f t="shared" si="6"/>
        <v>0.43478261471767626</v>
      </c>
      <c r="K61" s="10">
        <f t="shared" si="9"/>
        <v>-1.1080524386919421E-8</v>
      </c>
      <c r="L61" s="95">
        <f t="shared" si="8"/>
        <v>8.043479104973611E-2</v>
      </c>
      <c r="M61" s="10"/>
      <c r="N61" s="11"/>
      <c r="O61" s="11"/>
    </row>
    <row r="62" spans="2:15" x14ac:dyDescent="0.25">
      <c r="B62" s="1">
        <f t="shared" si="13"/>
        <v>3.9000000000000021</v>
      </c>
      <c r="C62" s="1">
        <v>0</v>
      </c>
      <c r="D62" s="1">
        <f t="shared" si="4"/>
        <v>0</v>
      </c>
      <c r="E62" s="1">
        <f t="shared" si="14"/>
        <v>0</v>
      </c>
      <c r="F62" s="1">
        <f t="shared" si="12"/>
        <v>0.18</v>
      </c>
      <c r="G62" s="10">
        <f t="shared" si="2"/>
        <v>0.18000000324168633</v>
      </c>
      <c r="H62" s="10">
        <f t="shared" si="5"/>
        <v>-0.18000000324168633</v>
      </c>
      <c r="I62" s="1">
        <f t="shared" si="3"/>
        <v>1.84</v>
      </c>
      <c r="J62">
        <f t="shared" si="6"/>
        <v>-9.782608871830778E-2</v>
      </c>
      <c r="K62" s="10">
        <f t="shared" si="9"/>
        <v>3.2416863415818399E-9</v>
      </c>
      <c r="L62" s="95">
        <f t="shared" si="8"/>
        <v>8.0434779969211723E-2</v>
      </c>
      <c r="M62" s="10"/>
      <c r="N62" s="11"/>
      <c r="O62" s="11"/>
    </row>
    <row r="63" spans="2:15" x14ac:dyDescent="0.25">
      <c r="B63" s="1">
        <f t="shared" si="13"/>
        <v>4.0000000000000018</v>
      </c>
      <c r="C63" s="1">
        <v>0</v>
      </c>
      <c r="D63" s="1">
        <f t="shared" si="4"/>
        <v>0</v>
      </c>
      <c r="E63" s="1">
        <f t="shared" si="14"/>
        <v>0</v>
      </c>
      <c r="F63" s="1">
        <f t="shared" si="12"/>
        <v>0.18</v>
      </c>
      <c r="G63" s="10">
        <f t="shared" si="2"/>
        <v>0.12673912965640158</v>
      </c>
      <c r="H63" s="10">
        <f t="shared" si="5"/>
        <v>-0.12673912965640158</v>
      </c>
      <c r="I63" s="1">
        <f t="shared" si="3"/>
        <v>1.84</v>
      </c>
      <c r="J63">
        <f t="shared" si="6"/>
        <v>-6.8879961769783463E-2</v>
      </c>
      <c r="K63" s="10">
        <f t="shared" si="9"/>
        <v>-5.3260870343598415E-2</v>
      </c>
      <c r="L63" s="95">
        <f t="shared" si="8"/>
        <v>8.0434783210898059E-2</v>
      </c>
      <c r="M63" s="10"/>
      <c r="N63" s="11"/>
      <c r="O63" s="11"/>
    </row>
    <row r="64" spans="2:15" x14ac:dyDescent="0.25">
      <c r="B64" s="1">
        <f t="shared" si="13"/>
        <v>4.1000000000000014</v>
      </c>
      <c r="C64" s="1">
        <v>0</v>
      </c>
      <c r="D64" s="1">
        <f t="shared" si="4"/>
        <v>0</v>
      </c>
      <c r="E64" s="1">
        <f t="shared" si="14"/>
        <v>0</v>
      </c>
      <c r="F64" s="1">
        <f t="shared" si="12"/>
        <v>0.18</v>
      </c>
      <c r="G64" s="10">
        <f t="shared" si="2"/>
        <v>0.18289461269485244</v>
      </c>
      <c r="H64" s="10">
        <f t="shared" si="5"/>
        <v>-0.18289461269485244</v>
      </c>
      <c r="I64" s="1">
        <f t="shared" si="3"/>
        <v>1.84</v>
      </c>
      <c r="J64">
        <f t="shared" si="6"/>
        <v>-9.9399246029811109E-2</v>
      </c>
      <c r="K64" s="10">
        <f t="shared" si="9"/>
        <v>2.8946126948524321E-3</v>
      </c>
      <c r="L64" s="95">
        <f t="shared" si="8"/>
        <v>2.7173912867299643E-2</v>
      </c>
      <c r="M64" s="10"/>
      <c r="N64" s="11"/>
      <c r="O64" s="11"/>
    </row>
    <row r="65" spans="2:15" x14ac:dyDescent="0.25">
      <c r="B65" s="1">
        <f t="shared" si="13"/>
        <v>4.2000000000000011</v>
      </c>
      <c r="C65" s="1">
        <v>0</v>
      </c>
      <c r="D65" s="1">
        <f t="shared" si="4"/>
        <v>0</v>
      </c>
      <c r="E65" s="1">
        <f t="shared" si="14"/>
        <v>0</v>
      </c>
      <c r="F65" s="1">
        <f t="shared" si="12"/>
        <v>0.18</v>
      </c>
      <c r="G65" s="10">
        <f t="shared" si="2"/>
        <v>0.17694807157399722</v>
      </c>
      <c r="H65" s="10">
        <f t="shared" si="5"/>
        <v>-0.17694807157399722</v>
      </c>
      <c r="I65" s="1">
        <f t="shared" si="3"/>
        <v>1.84</v>
      </c>
      <c r="J65">
        <f t="shared" si="6"/>
        <v>-9.6167430203259352E-2</v>
      </c>
      <c r="K65" s="10">
        <f t="shared" si="9"/>
        <v>-3.0519284260027649E-3</v>
      </c>
      <c r="L65" s="95">
        <f t="shared" si="8"/>
        <v>3.0068525562152074E-2</v>
      </c>
      <c r="M65" s="10"/>
      <c r="N65" s="11"/>
      <c r="O65" s="11"/>
    </row>
    <row r="66" spans="2:15" x14ac:dyDescent="0.25">
      <c r="B66" s="1">
        <f t="shared" si="13"/>
        <v>4.3000000000000007</v>
      </c>
      <c r="C66" s="1">
        <v>0</v>
      </c>
      <c r="D66" s="1">
        <f t="shared" si="4"/>
        <v>0</v>
      </c>
      <c r="E66" s="1">
        <f t="shared" si="14"/>
        <v>0</v>
      </c>
      <c r="F66" s="1">
        <f t="shared" si="12"/>
        <v>0.18</v>
      </c>
      <c r="G66" s="10">
        <f t="shared" si="2"/>
        <v>0.18032318158265517</v>
      </c>
      <c r="H66" s="10">
        <f t="shared" si="5"/>
        <v>-0.18032318158265517</v>
      </c>
      <c r="I66" s="1">
        <f t="shared" si="3"/>
        <v>1.84</v>
      </c>
      <c r="J66">
        <f t="shared" si="6"/>
        <v>-9.8001729121008241E-2</v>
      </c>
      <c r="K66" s="10">
        <f t="shared" si="9"/>
        <v>3.231815826551757E-4</v>
      </c>
      <c r="L66" s="95">
        <f t="shared" si="8"/>
        <v>2.701659713614931E-2</v>
      </c>
      <c r="M66" s="10"/>
      <c r="N66" s="11"/>
      <c r="O66" s="11"/>
    </row>
    <row r="67" spans="2:15" x14ac:dyDescent="0.25">
      <c r="B67" s="1">
        <f t="shared" si="13"/>
        <v>4.4000000000000004</v>
      </c>
      <c r="C67" s="1">
        <v>0</v>
      </c>
      <c r="D67" s="1">
        <f t="shared" si="4"/>
        <v>0</v>
      </c>
      <c r="E67" s="1">
        <f t="shared" si="14"/>
        <v>0</v>
      </c>
      <c r="F67" s="1">
        <f t="shared" si="12"/>
        <v>0.18</v>
      </c>
      <c r="G67" s="10">
        <f t="shared" si="2"/>
        <v>0.1798165701082251</v>
      </c>
      <c r="H67" s="10">
        <f t="shared" si="5"/>
        <v>-0.1798165701082251</v>
      </c>
      <c r="I67" s="1">
        <f t="shared" si="3"/>
        <v>1.84</v>
      </c>
      <c r="J67">
        <f t="shared" si="6"/>
        <v>-9.7726396797948423E-2</v>
      </c>
      <c r="K67" s="10">
        <f t="shared" si="9"/>
        <v>-1.8342989177488889E-4</v>
      </c>
      <c r="L67" s="95">
        <f t="shared" si="8"/>
        <v>2.7339778718804487E-2</v>
      </c>
      <c r="M67" s="10"/>
      <c r="N67" s="11"/>
      <c r="O67" s="11"/>
    </row>
    <row r="68" spans="2:15" x14ac:dyDescent="0.25">
      <c r="B68" s="1">
        <f t="shared" si="13"/>
        <v>4.5</v>
      </c>
      <c r="C68" s="1">
        <v>0</v>
      </c>
      <c r="D68" s="1">
        <f t="shared" si="4"/>
        <v>0</v>
      </c>
      <c r="E68" s="1">
        <f t="shared" si="14"/>
        <v>0</v>
      </c>
      <c r="F68" s="1">
        <f t="shared" si="12"/>
        <v>0.18</v>
      </c>
      <c r="G68" s="10">
        <f t="shared" si="2"/>
        <v>0.18002753323230597</v>
      </c>
      <c r="H68" s="10">
        <f t="shared" si="5"/>
        <v>-0.18002753323230597</v>
      </c>
      <c r="I68" s="1">
        <f t="shared" si="3"/>
        <v>1.84</v>
      </c>
      <c r="J68">
        <f t="shared" si="6"/>
        <v>-9.7841050669731505E-2</v>
      </c>
      <c r="K68" s="10">
        <f t="shared" si="9"/>
        <v>2.7533232305981816E-5</v>
      </c>
      <c r="L68" s="95">
        <f t="shared" si="8"/>
        <v>2.7156348827029598E-2</v>
      </c>
      <c r="M68" s="10"/>
      <c r="N68" s="11"/>
      <c r="O68" s="11"/>
    </row>
    <row r="69" spans="2:15" x14ac:dyDescent="0.25">
      <c r="B69" s="1">
        <f t="shared" si="13"/>
        <v>4.5999999999999996</v>
      </c>
      <c r="C69" s="1">
        <v>0</v>
      </c>
      <c r="D69" s="1">
        <f t="shared" si="4"/>
        <v>0</v>
      </c>
      <c r="E69" s="1">
        <f t="shared" si="14"/>
        <v>0</v>
      </c>
      <c r="F69" s="1">
        <f t="shared" si="12"/>
        <v>0.18</v>
      </c>
      <c r="G69" s="10">
        <f t="shared" si="2"/>
        <v>0.17998853461282169</v>
      </c>
      <c r="H69" s="10">
        <f t="shared" si="5"/>
        <v>-0.17998853461282169</v>
      </c>
      <c r="I69" s="1">
        <f t="shared" si="3"/>
        <v>1.84</v>
      </c>
      <c r="J69">
        <f t="shared" si="6"/>
        <v>-9.7819855767837874E-2</v>
      </c>
      <c r="K69" s="10">
        <f t="shared" si="9"/>
        <v>-1.1465387178308252E-5</v>
      </c>
      <c r="L69" s="95">
        <f t="shared" si="8"/>
        <v>2.7183882059335581E-2</v>
      </c>
      <c r="M69" s="10"/>
      <c r="N69" s="11"/>
      <c r="O69" s="11"/>
    </row>
    <row r="70" spans="2:15" x14ac:dyDescent="0.25">
      <c r="B70" s="1">
        <f t="shared" si="13"/>
        <v>4.6999999999999993</v>
      </c>
      <c r="C70" s="1">
        <v>0</v>
      </c>
      <c r="D70" s="1">
        <f t="shared" si="4"/>
        <v>0</v>
      </c>
      <c r="E70" s="1">
        <f t="shared" si="14"/>
        <v>0</v>
      </c>
      <c r="F70" s="1">
        <f t="shared" si="12"/>
        <v>0.18</v>
      </c>
      <c r="G70" s="10">
        <f t="shared" si="2"/>
        <v>0.18000211949018935</v>
      </c>
      <c r="H70" s="10">
        <f t="shared" si="5"/>
        <v>-0.18000211949018935</v>
      </c>
      <c r="I70" s="1">
        <f t="shared" si="3"/>
        <v>1.84</v>
      </c>
      <c r="J70">
        <f t="shared" si="6"/>
        <v>-9.7827238853363779E-2</v>
      </c>
      <c r="K70" s="10">
        <f t="shared" si="9"/>
        <v>2.1194901893631379E-6</v>
      </c>
      <c r="L70" s="95">
        <f t="shared" si="8"/>
        <v>2.7172416672157272E-2</v>
      </c>
      <c r="M70" s="10"/>
      <c r="N70" s="11"/>
      <c r="O70" s="11"/>
    </row>
    <row r="71" spans="2:15" x14ac:dyDescent="0.25">
      <c r="B71" s="1">
        <f t="shared" si="13"/>
        <v>4.7999999999999989</v>
      </c>
      <c r="C71" s="1">
        <v>0</v>
      </c>
      <c r="D71" s="1">
        <f t="shared" si="4"/>
        <v>0</v>
      </c>
      <c r="E71" s="1">
        <f t="shared" si="14"/>
        <v>0</v>
      </c>
      <c r="F71" s="1">
        <f t="shared" si="12"/>
        <v>0.18</v>
      </c>
      <c r="G71" s="10">
        <f t="shared" si="2"/>
        <v>0.17999926169144739</v>
      </c>
      <c r="H71" s="10">
        <f t="shared" si="5"/>
        <v>-0.17999926169144739</v>
      </c>
      <c r="I71" s="1">
        <f t="shared" si="3"/>
        <v>1.84</v>
      </c>
      <c r="J71">
        <f t="shared" si="6"/>
        <v>-9.7825685701873583E-2</v>
      </c>
      <c r="K71" s="10">
        <f t="shared" si="9"/>
        <v>-7.3830855259054977E-7</v>
      </c>
      <c r="L71" s="95">
        <f t="shared" si="8"/>
        <v>2.7174536162346635E-2</v>
      </c>
      <c r="M71" s="10"/>
      <c r="N71" s="11"/>
      <c r="O71" s="11"/>
    </row>
    <row r="72" spans="2:15" x14ac:dyDescent="0.25">
      <c r="B72" s="1">
        <f t="shared" si="13"/>
        <v>4.8999999999999986</v>
      </c>
      <c r="C72" s="1">
        <v>0</v>
      </c>
      <c r="D72" s="1">
        <f t="shared" si="4"/>
        <v>0</v>
      </c>
      <c r="E72" s="1">
        <f t="shared" si="14"/>
        <v>0</v>
      </c>
      <c r="F72" s="1">
        <f t="shared" si="12"/>
        <v>0.18</v>
      </c>
      <c r="G72" s="10">
        <f t="shared" si="2"/>
        <v>0.18000015531514901</v>
      </c>
      <c r="H72" s="10">
        <f t="shared" si="5"/>
        <v>-0.18000015531514901</v>
      </c>
      <c r="I72" s="1">
        <f t="shared" si="3"/>
        <v>1.84</v>
      </c>
      <c r="J72">
        <f t="shared" si="6"/>
        <v>-9.782617136692881E-2</v>
      </c>
      <c r="K72" s="10">
        <f t="shared" si="9"/>
        <v>1.5531514901967469E-7</v>
      </c>
      <c r="L72" s="95">
        <f t="shared" si="8"/>
        <v>2.7173797853794045E-2</v>
      </c>
      <c r="M72" s="10"/>
      <c r="N72" s="11"/>
      <c r="O72" s="11"/>
    </row>
    <row r="73" spans="2:15" x14ac:dyDescent="0.25">
      <c r="B73" s="1">
        <f t="shared" si="13"/>
        <v>4.9999999999999982</v>
      </c>
      <c r="C73" s="1">
        <v>0</v>
      </c>
      <c r="D73" s="1">
        <f t="shared" si="4"/>
        <v>0</v>
      </c>
      <c r="E73" s="1">
        <f t="shared" si="14"/>
        <v>0</v>
      </c>
      <c r="F73" s="1">
        <f t="shared" si="12"/>
        <v>0.18</v>
      </c>
      <c r="G73" s="10">
        <f t="shared" si="2"/>
        <v>0.17999995143349448</v>
      </c>
      <c r="H73" s="10">
        <f t="shared" si="5"/>
        <v>-0.17999995143349448</v>
      </c>
      <c r="I73" s="1">
        <f t="shared" si="3"/>
        <v>1.84</v>
      </c>
      <c r="J73">
        <f t="shared" si="6"/>
        <v>-9.7826060561681777E-2</v>
      </c>
      <c r="K73" s="10">
        <f t="shared" si="9"/>
        <v>-4.8566505522762429E-8</v>
      </c>
      <c r="L73" s="95">
        <f t="shared" si="8"/>
        <v>2.7173953168943065E-2</v>
      </c>
      <c r="M73" s="10"/>
      <c r="N73" s="11"/>
      <c r="O73" s="11"/>
    </row>
    <row r="74" spans="2:15" x14ac:dyDescent="0.25">
      <c r="B74" s="1">
        <f t="shared" si="13"/>
        <v>5.0999999999999979</v>
      </c>
      <c r="C74" s="1">
        <v>0</v>
      </c>
      <c r="D74" s="1">
        <f t="shared" si="4"/>
        <v>0</v>
      </c>
      <c r="E74" s="1">
        <f t="shared" si="14"/>
        <v>0</v>
      </c>
      <c r="F74" s="1">
        <f t="shared" si="12"/>
        <v>0.18</v>
      </c>
      <c r="G74" s="10">
        <f t="shared" si="2"/>
        <v>0.18000001108052469</v>
      </c>
      <c r="H74" s="10">
        <f t="shared" si="5"/>
        <v>-0.18000001108052469</v>
      </c>
      <c r="I74" s="1">
        <f t="shared" si="3"/>
        <v>1.84</v>
      </c>
      <c r="J74">
        <f t="shared" si="6"/>
        <v>-9.7826092978546025E-2</v>
      </c>
      <c r="K74" s="10">
        <f t="shared" si="9"/>
        <v>1.1080524703332984E-8</v>
      </c>
      <c r="L74" s="95">
        <f t="shared" si="8"/>
        <v>2.7173904602437543E-2</v>
      </c>
      <c r="M74" s="10"/>
      <c r="N74" s="11"/>
      <c r="O74" s="11"/>
    </row>
    <row r="75" spans="2:15" x14ac:dyDescent="0.25">
      <c r="B75" s="1">
        <f t="shared" si="13"/>
        <v>5.1999999999999975</v>
      </c>
      <c r="C75" s="1">
        <v>0</v>
      </c>
      <c r="D75" s="1">
        <f t="shared" si="4"/>
        <v>0</v>
      </c>
      <c r="E75" s="1">
        <f t="shared" si="14"/>
        <v>0</v>
      </c>
      <c r="F75" s="1">
        <f t="shared" si="12"/>
        <v>0.18</v>
      </c>
      <c r="G75" s="10">
        <f t="shared" si="2"/>
        <v>0.17999999675831357</v>
      </c>
      <c r="H75" s="10">
        <f t="shared" si="5"/>
        <v>-0.17999999675831357</v>
      </c>
      <c r="I75" s="1">
        <f t="shared" si="3"/>
        <v>1.84</v>
      </c>
      <c r="J75">
        <f t="shared" si="6"/>
        <v>-9.7826085194735637E-2</v>
      </c>
      <c r="K75" s="10">
        <f t="shared" si="9"/>
        <v>-3.2416864248485667E-9</v>
      </c>
      <c r="L75" s="95">
        <f t="shared" si="8"/>
        <v>2.7173915682962246E-2</v>
      </c>
      <c r="M75" s="10"/>
      <c r="N75" s="11"/>
      <c r="O75" s="11"/>
    </row>
    <row r="76" spans="2:15" x14ac:dyDescent="0.25">
      <c r="B76" s="1">
        <f t="shared" si="13"/>
        <v>5.2999999999999972</v>
      </c>
      <c r="C76" s="1">
        <v>0</v>
      </c>
      <c r="D76" s="1">
        <f t="shared" si="4"/>
        <v>0</v>
      </c>
      <c r="E76" s="1">
        <f t="shared" si="14"/>
        <v>0</v>
      </c>
      <c r="F76" s="1">
        <f t="shared" si="12"/>
        <v>0.18</v>
      </c>
      <c r="G76" s="10">
        <f t="shared" si="2"/>
        <v>0.18000000077838102</v>
      </c>
      <c r="H76" s="10">
        <f t="shared" si="5"/>
        <v>-0.18000000077838102</v>
      </c>
      <c r="I76" s="1">
        <f t="shared" si="3"/>
        <v>1.84</v>
      </c>
      <c r="J76">
        <f t="shared" si="6"/>
        <v>-9.7826087379554894E-2</v>
      </c>
      <c r="K76" s="10">
        <f t="shared" si="9"/>
        <v>7.7838103879068762E-10</v>
      </c>
      <c r="L76" s="95">
        <f t="shared" si="8"/>
        <v>2.7173912441275819E-2</v>
      </c>
      <c r="M76" s="10"/>
      <c r="N76" s="11"/>
      <c r="O76" s="11"/>
    </row>
    <row r="77" spans="2:15" x14ac:dyDescent="0.25">
      <c r="B77" s="1">
        <f t="shared" si="13"/>
        <v>5.3999999999999968</v>
      </c>
      <c r="C77" s="1">
        <v>0</v>
      </c>
      <c r="D77" s="1">
        <f t="shared" si="4"/>
        <v>0</v>
      </c>
      <c r="E77" s="1">
        <f t="shared" si="14"/>
        <v>0</v>
      </c>
      <c r="F77" s="1">
        <f t="shared" si="12"/>
        <v>0.18</v>
      </c>
      <c r="G77" s="10">
        <f t="shared" si="2"/>
        <v>0.17999999978151807</v>
      </c>
      <c r="H77" s="10">
        <f t="shared" si="5"/>
        <v>-0.17999999978151807</v>
      </c>
      <c r="I77" s="1">
        <f t="shared" si="3"/>
        <v>1.84</v>
      </c>
      <c r="J77">
        <f t="shared" si="6"/>
        <v>-9.7826086837781559E-2</v>
      </c>
      <c r="K77" s="10">
        <f t="shared" si="9"/>
        <v>-2.1848192560680602E-10</v>
      </c>
      <c r="L77" s="95">
        <f t="shared" si="8"/>
        <v>2.717391321965686E-2</v>
      </c>
      <c r="M77" s="10"/>
      <c r="N77" s="11"/>
      <c r="O77" s="11"/>
    </row>
    <row r="78" spans="2:15" x14ac:dyDescent="0.25">
      <c r="B78" s="1">
        <f t="shared" si="13"/>
        <v>5.4999999999999964</v>
      </c>
      <c r="C78" s="1">
        <v>0</v>
      </c>
      <c r="D78" s="1">
        <f t="shared" si="4"/>
        <v>0</v>
      </c>
      <c r="E78" s="1">
        <f t="shared" si="14"/>
        <v>0</v>
      </c>
      <c r="F78" s="1">
        <f t="shared" si="12"/>
        <v>0.18</v>
      </c>
      <c r="G78" s="10">
        <f t="shared" si="2"/>
        <v>0.18000000005417732</v>
      </c>
      <c r="H78" s="10">
        <f t="shared" si="5"/>
        <v>-0.18000000005417732</v>
      </c>
      <c r="I78" s="1">
        <f t="shared" si="3"/>
        <v>1.84</v>
      </c>
      <c r="J78">
        <f t="shared" si="6"/>
        <v>-9.7826086985965927E-2</v>
      </c>
      <c r="K78" s="10">
        <f t="shared" si="9"/>
        <v>5.417733345280951E-11</v>
      </c>
      <c r="L78" s="95">
        <f t="shared" si="8"/>
        <v>2.7173913001174933E-2</v>
      </c>
      <c r="M78" s="10"/>
      <c r="N78" s="11"/>
      <c r="O78" s="11"/>
    </row>
    <row r="79" spans="2:15" x14ac:dyDescent="0.25">
      <c r="B79" s="1">
        <f t="shared" si="13"/>
        <v>5.5999999999999961</v>
      </c>
      <c r="C79" s="1">
        <v>0</v>
      </c>
      <c r="D79" s="1">
        <f t="shared" si="4"/>
        <v>0</v>
      </c>
      <c r="E79" s="1">
        <f t="shared" si="14"/>
        <v>0</v>
      </c>
      <c r="F79" s="1">
        <f t="shared" si="12"/>
        <v>0.18</v>
      </c>
      <c r="G79" s="10">
        <f t="shared" si="2"/>
        <v>0.17999999998518157</v>
      </c>
      <c r="H79" s="10">
        <f t="shared" si="5"/>
        <v>-0.17999999998518157</v>
      </c>
      <c r="I79" s="1">
        <f t="shared" si="3"/>
        <v>1.84</v>
      </c>
      <c r="J79">
        <f t="shared" si="6"/>
        <v>-9.7826086948468241E-2</v>
      </c>
      <c r="K79" s="10">
        <f t="shared" si="9"/>
        <v>-1.481843675543715E-11</v>
      </c>
      <c r="L79" s="95">
        <f t="shared" si="8"/>
        <v>2.7173913055352265E-2</v>
      </c>
      <c r="M79" s="10"/>
      <c r="N79" s="11"/>
      <c r="O79" s="11"/>
    </row>
    <row r="80" spans="2:15" x14ac:dyDescent="0.25">
      <c r="B80" s="1">
        <f t="shared" si="13"/>
        <v>5.6999999999999957</v>
      </c>
      <c r="C80" s="1">
        <v>0</v>
      </c>
      <c r="D80" s="1">
        <f t="shared" si="4"/>
        <v>0</v>
      </c>
      <c r="E80" s="1">
        <f t="shared" si="14"/>
        <v>0</v>
      </c>
      <c r="F80" s="1">
        <f t="shared" si="12"/>
        <v>0.18</v>
      </c>
      <c r="G80" s="10">
        <f t="shared" si="2"/>
        <v>0.18000000000374977</v>
      </c>
      <c r="H80" s="10">
        <f t="shared" si="5"/>
        <v>-0.18000000000374977</v>
      </c>
      <c r="I80" s="1">
        <f t="shared" si="3"/>
        <v>1.84</v>
      </c>
      <c r="J80">
        <f t="shared" si="6"/>
        <v>-9.7826086958559655E-2</v>
      </c>
      <c r="K80" s="10">
        <f t="shared" si="9"/>
        <v>3.7497685512200006E-12</v>
      </c>
      <c r="L80" s="95">
        <f t="shared" si="8"/>
        <v>2.7173913040533827E-2</v>
      </c>
      <c r="M80" s="10"/>
      <c r="N80" s="11"/>
      <c r="O80" s="11"/>
    </row>
    <row r="81" spans="2:15" x14ac:dyDescent="0.25">
      <c r="B81" s="1">
        <f t="shared" si="13"/>
        <v>5.7999999999999954</v>
      </c>
      <c r="C81" s="1">
        <v>0</v>
      </c>
      <c r="D81" s="1">
        <f t="shared" si="4"/>
        <v>0</v>
      </c>
      <c r="E81" s="1">
        <f t="shared" si="14"/>
        <v>0</v>
      </c>
      <c r="F81" s="1">
        <f t="shared" si="12"/>
        <v>0.18</v>
      </c>
      <c r="G81" s="10">
        <f t="shared" si="2"/>
        <v>0.17999999999899086</v>
      </c>
      <c r="H81" s="10">
        <f t="shared" si="5"/>
        <v>-0.17999999999899086</v>
      </c>
      <c r="I81" s="1">
        <f t="shared" si="3"/>
        <v>1.84</v>
      </c>
      <c r="J81">
        <f t="shared" si="6"/>
        <v>-9.7826086955973293E-2</v>
      </c>
      <c r="K81" s="10">
        <f t="shared" si="9"/>
        <v>-1.0091413815693784E-12</v>
      </c>
      <c r="L81" s="95">
        <f t="shared" si="8"/>
        <v>2.7173913044283595E-2</v>
      </c>
      <c r="M81" s="10"/>
      <c r="N81" s="11"/>
      <c r="O81" s="11"/>
    </row>
    <row r="82" spans="2:15" x14ac:dyDescent="0.25">
      <c r="B82" s="1">
        <f t="shared" si="13"/>
        <v>5.899999999999995</v>
      </c>
      <c r="C82" s="1">
        <v>0</v>
      </c>
      <c r="D82" s="1">
        <f t="shared" si="4"/>
        <v>0</v>
      </c>
      <c r="E82" s="1">
        <f t="shared" si="14"/>
        <v>0</v>
      </c>
      <c r="F82" s="1">
        <f t="shared" si="12"/>
        <v>0.18</v>
      </c>
      <c r="G82" s="10">
        <f t="shared" si="2"/>
        <v>0.18000000000025862</v>
      </c>
      <c r="H82" s="10">
        <f t="shared" si="5"/>
        <v>-0.18000000000025862</v>
      </c>
      <c r="I82" s="1">
        <f t="shared" si="3"/>
        <v>1.84</v>
      </c>
      <c r="J82">
        <f t="shared" si="6"/>
        <v>-9.7826086956662284E-2</v>
      </c>
      <c r="K82" s="10">
        <f t="shared" si="9"/>
        <v>2.586361680378957E-13</v>
      </c>
      <c r="L82" s="95">
        <f t="shared" si="8"/>
        <v>2.7173913043274454E-2</v>
      </c>
      <c r="M82" s="10"/>
      <c r="N82" s="11"/>
      <c r="O82" s="11"/>
    </row>
    <row r="83" spans="2:15" x14ac:dyDescent="0.25">
      <c r="B83" s="1">
        <f t="shared" si="13"/>
        <v>5.9999999999999947</v>
      </c>
      <c r="C83" s="1">
        <v>0</v>
      </c>
      <c r="D83" s="1">
        <f t="shared" si="4"/>
        <v>0</v>
      </c>
      <c r="E83" s="1">
        <f t="shared" si="14"/>
        <v>0</v>
      </c>
      <c r="F83" s="1">
        <f t="shared" si="12"/>
        <v>0.18</v>
      </c>
      <c r="G83" s="10">
        <f t="shared" si="2"/>
        <v>0.1799999999999311</v>
      </c>
      <c r="H83" s="10">
        <f t="shared" si="5"/>
        <v>-0.1799999999999311</v>
      </c>
      <c r="I83" s="1">
        <f t="shared" si="3"/>
        <v>1.84</v>
      </c>
      <c r="J83">
        <f t="shared" si="6"/>
        <v>-9.7826086956484287E-2</v>
      </c>
      <c r="K83" s="10">
        <f t="shared" si="9"/>
        <v>-6.8899053129456444E-14</v>
      </c>
      <c r="L83" s="95">
        <f t="shared" si="8"/>
        <v>2.7173913043533091E-2</v>
      </c>
      <c r="M83" s="10"/>
      <c r="N83" s="11"/>
      <c r="O83" s="11"/>
    </row>
    <row r="84" spans="2:15" x14ac:dyDescent="0.25">
      <c r="B84" s="1">
        <f t="shared" si="13"/>
        <v>6.0999999999999943</v>
      </c>
      <c r="C84" s="1">
        <v>0</v>
      </c>
      <c r="D84" s="1">
        <f t="shared" si="4"/>
        <v>0</v>
      </c>
      <c r="E84" s="1">
        <f t="shared" si="14"/>
        <v>0</v>
      </c>
      <c r="F84" s="1">
        <f t="shared" si="12"/>
        <v>0.18</v>
      </c>
      <c r="G84" s="10">
        <f t="shared" si="2"/>
        <v>0.18000000000001778</v>
      </c>
      <c r="H84" s="10">
        <f t="shared" si="5"/>
        <v>-0.18000000000001778</v>
      </c>
      <c r="I84" s="1">
        <f t="shared" si="3"/>
        <v>1.84</v>
      </c>
      <c r="J84">
        <f t="shared" si="6"/>
        <v>-9.7826086956531402E-2</v>
      </c>
      <c r="K84" s="10">
        <f t="shared" si="9"/>
        <v>1.7799650642302824E-14</v>
      </c>
      <c r="L84" s="95">
        <f t="shared" si="8"/>
        <v>2.7173913043464192E-2</v>
      </c>
      <c r="M84" s="10"/>
      <c r="N84" s="11"/>
      <c r="O84" s="11"/>
    </row>
    <row r="85" spans="2:15" x14ac:dyDescent="0.25">
      <c r="B85" s="1">
        <f t="shared" si="13"/>
        <v>6.199999999999994</v>
      </c>
      <c r="C85" s="1">
        <v>0</v>
      </c>
      <c r="D85" s="1">
        <f t="shared" si="4"/>
        <v>0</v>
      </c>
      <c r="E85" s="1">
        <f t="shared" si="14"/>
        <v>0</v>
      </c>
      <c r="F85" s="1">
        <f t="shared" si="12"/>
        <v>0.18</v>
      </c>
      <c r="G85" s="10">
        <f t="shared" si="2"/>
        <v>0.17999999999999527</v>
      </c>
      <c r="H85" s="10">
        <f t="shared" si="5"/>
        <v>-0.17999999999999527</v>
      </c>
      <c r="I85" s="1">
        <f t="shared" si="3"/>
        <v>1.84</v>
      </c>
      <c r="J85">
        <f t="shared" si="6"/>
        <v>-9.7826086956519162E-2</v>
      </c>
      <c r="K85" s="10">
        <f t="shared" si="9"/>
        <v>-4.7115089607530081E-15</v>
      </c>
      <c r="L85" s="95">
        <f t="shared" si="8"/>
        <v>2.717391304348199E-2</v>
      </c>
      <c r="M85" s="10"/>
      <c r="N85" s="11"/>
      <c r="O85" s="11"/>
    </row>
    <row r="86" spans="2:15" x14ac:dyDescent="0.25">
      <c r="B86" s="1">
        <f t="shared" si="13"/>
        <v>6.2999999999999936</v>
      </c>
      <c r="C86" s="1">
        <v>0</v>
      </c>
      <c r="D86" s="1">
        <f t="shared" si="4"/>
        <v>0</v>
      </c>
      <c r="E86" s="1">
        <f t="shared" si="14"/>
        <v>0</v>
      </c>
      <c r="F86" s="1">
        <f t="shared" si="12"/>
        <v>0.18</v>
      </c>
      <c r="G86" s="10">
        <f t="shared" si="2"/>
        <v>0.18000000000000121</v>
      </c>
      <c r="H86" s="10">
        <f t="shared" si="5"/>
        <v>-0.18000000000000121</v>
      </c>
      <c r="I86" s="1">
        <f t="shared" si="3"/>
        <v>1.84</v>
      </c>
      <c r="J86">
        <f t="shared" si="6"/>
        <v>-9.7826086956522396E-2</v>
      </c>
      <c r="K86" s="10">
        <f t="shared" si="9"/>
        <v>1.2240208846492351E-15</v>
      </c>
      <c r="L86" s="95">
        <f t="shared" si="8"/>
        <v>2.7173913043477278E-2</v>
      </c>
      <c r="M86" s="10"/>
      <c r="N86" s="11"/>
      <c r="O86" s="11"/>
    </row>
    <row r="87" spans="2:15" x14ac:dyDescent="0.25">
      <c r="B87" s="1">
        <f t="shared" si="13"/>
        <v>6.3999999999999932</v>
      </c>
      <c r="C87" s="1">
        <v>0</v>
      </c>
      <c r="D87" s="1">
        <f t="shared" si="4"/>
        <v>0</v>
      </c>
      <c r="E87" s="1">
        <f t="shared" si="14"/>
        <v>0</v>
      </c>
      <c r="F87" s="1">
        <f t="shared" si="12"/>
        <v>0.18</v>
      </c>
      <c r="G87" s="10">
        <f t="shared" ref="G87:G150" si="15">F87+K87</f>
        <v>0.17999999999999966</v>
      </c>
      <c r="H87" s="10">
        <f t="shared" si="5"/>
        <v>-0.17999999999999966</v>
      </c>
      <c r="I87" s="1">
        <f t="shared" ref="I87:I150" si="16">$J$19</f>
        <v>1.84</v>
      </c>
      <c r="J87">
        <f t="shared" si="6"/>
        <v>-9.7826086956521549E-2</v>
      </c>
      <c r="K87" s="10">
        <f t="shared" si="9"/>
        <v>-3.2335245592207685E-16</v>
      </c>
      <c r="L87" s="95">
        <f t="shared" si="8"/>
        <v>2.7173913043478503E-2</v>
      </c>
      <c r="M87" s="10"/>
      <c r="N87" s="11"/>
      <c r="O87" s="11"/>
    </row>
    <row r="88" spans="2:15" x14ac:dyDescent="0.25">
      <c r="B88" s="1">
        <f t="shared" si="13"/>
        <v>6.4999999999999929</v>
      </c>
      <c r="C88" s="1">
        <v>1</v>
      </c>
      <c r="D88" s="1">
        <f t="shared" ref="D88:D151" si="17">C88*$D$19</f>
        <v>0.98</v>
      </c>
      <c r="E88" s="1">
        <f t="shared" si="14"/>
        <v>0.98</v>
      </c>
      <c r="F88" s="1">
        <f t="shared" si="12"/>
        <v>0.18</v>
      </c>
      <c r="G88" s="10">
        <f t="shared" si="15"/>
        <v>0.18000000000000008</v>
      </c>
      <c r="H88" s="10">
        <f t="shared" ref="H88:H151" si="18">E88-G88</f>
        <v>0.79999999999999993</v>
      </c>
      <c r="I88" s="1">
        <f t="shared" si="16"/>
        <v>1.84</v>
      </c>
      <c r="J88">
        <f t="shared" ref="J88:J151" si="19">H88/I88</f>
        <v>0.43478260869565211</v>
      </c>
      <c r="K88" s="10">
        <f t="shared" si="9"/>
        <v>8.4654505627668194E-17</v>
      </c>
      <c r="L88" s="95">
        <f t="shared" si="8"/>
        <v>2.717391304347818E-2</v>
      </c>
      <c r="M88" s="10"/>
      <c r="N88" s="11"/>
      <c r="O88" s="11"/>
    </row>
    <row r="89" spans="2:15" x14ac:dyDescent="0.25">
      <c r="B89" s="1">
        <f t="shared" si="13"/>
        <v>6.5999999999999925</v>
      </c>
      <c r="C89" s="1">
        <v>1</v>
      </c>
      <c r="D89" s="1">
        <f t="shared" si="17"/>
        <v>0.98</v>
      </c>
      <c r="E89" s="1">
        <f t="shared" si="14"/>
        <v>0.98</v>
      </c>
      <c r="F89" s="1">
        <f t="shared" si="12"/>
        <v>0.18</v>
      </c>
      <c r="G89" s="10">
        <f t="shared" si="15"/>
        <v>0.23326086956521735</v>
      </c>
      <c r="H89" s="10">
        <f t="shared" si="18"/>
        <v>0.74673913043478257</v>
      </c>
      <c r="I89" s="1">
        <f t="shared" si="16"/>
        <v>1.84</v>
      </c>
      <c r="J89">
        <f t="shared" si="19"/>
        <v>0.40583648393194705</v>
      </c>
      <c r="K89" s="10">
        <f t="shared" si="9"/>
        <v>5.3260869565217361E-2</v>
      </c>
      <c r="L89" s="95">
        <f t="shared" ref="L89:L152" si="20">L88+K88</f>
        <v>2.7173913043478264E-2</v>
      </c>
      <c r="M89" s="10"/>
      <c r="N89" s="11"/>
      <c r="O89" s="11"/>
    </row>
    <row r="90" spans="2:15" x14ac:dyDescent="0.25">
      <c r="B90" s="1">
        <f t="shared" si="13"/>
        <v>6.6999999999999922</v>
      </c>
      <c r="C90" s="1">
        <v>1</v>
      </c>
      <c r="D90" s="1">
        <f t="shared" si="17"/>
        <v>0.98</v>
      </c>
      <c r="E90" s="1">
        <f t="shared" si="14"/>
        <v>0.98</v>
      </c>
      <c r="F90" s="1">
        <f t="shared" si="12"/>
        <v>0.18</v>
      </c>
      <c r="G90" s="10">
        <f t="shared" si="15"/>
        <v>0.17710538752362948</v>
      </c>
      <c r="H90" s="10">
        <f t="shared" si="18"/>
        <v>0.80289461247637051</v>
      </c>
      <c r="I90" s="1">
        <f t="shared" si="16"/>
        <v>1.84</v>
      </c>
      <c r="J90">
        <f t="shared" si="19"/>
        <v>0.43635576765020134</v>
      </c>
      <c r="K90" s="10">
        <f t="shared" ref="K90:K153" si="21">(J89-J88) * $B$19</f>
        <v>-2.8946124763705064E-3</v>
      </c>
      <c r="L90" s="95">
        <f t="shared" si="20"/>
        <v>8.0434782608695632E-2</v>
      </c>
      <c r="M90" s="10"/>
      <c r="N90" s="11"/>
      <c r="O90" s="11"/>
    </row>
    <row r="91" spans="2:15" x14ac:dyDescent="0.25">
      <c r="B91" s="1">
        <f t="shared" si="13"/>
        <v>6.7999999999999918</v>
      </c>
      <c r="C91" s="1">
        <v>1</v>
      </c>
      <c r="D91" s="1">
        <f t="shared" si="17"/>
        <v>0.98</v>
      </c>
      <c r="E91" s="1">
        <f t="shared" si="14"/>
        <v>0.98</v>
      </c>
      <c r="F91" s="1">
        <f t="shared" si="12"/>
        <v>0.18</v>
      </c>
      <c r="G91" s="10">
        <f t="shared" si="15"/>
        <v>0.18305192837182543</v>
      </c>
      <c r="H91" s="10">
        <f t="shared" si="18"/>
        <v>0.79694807162817449</v>
      </c>
      <c r="I91" s="1">
        <f t="shared" si="16"/>
        <v>1.84</v>
      </c>
      <c r="J91">
        <f t="shared" si="19"/>
        <v>0.43312395197183395</v>
      </c>
      <c r="K91" s="10">
        <f t="shared" si="21"/>
        <v>3.05192837182543E-3</v>
      </c>
      <c r="L91" s="95">
        <f t="shared" si="20"/>
        <v>7.7540170132325129E-2</v>
      </c>
      <c r="M91" s="10"/>
      <c r="N91" s="11"/>
      <c r="O91" s="11"/>
    </row>
    <row r="92" spans="2:15" x14ac:dyDescent="0.25">
      <c r="B92" s="1">
        <f t="shared" si="13"/>
        <v>6.8999999999999915</v>
      </c>
      <c r="C92" s="1">
        <v>1</v>
      </c>
      <c r="D92" s="1">
        <f t="shared" si="17"/>
        <v>0.98</v>
      </c>
      <c r="E92" s="1">
        <f t="shared" si="14"/>
        <v>0.98</v>
      </c>
      <c r="F92" s="1">
        <f t="shared" si="12"/>
        <v>0.18</v>
      </c>
      <c r="G92" s="10">
        <f t="shared" si="15"/>
        <v>0.17967681843216327</v>
      </c>
      <c r="H92" s="10">
        <f t="shared" si="18"/>
        <v>0.80032318156783666</v>
      </c>
      <c r="I92" s="1">
        <f t="shared" si="16"/>
        <v>1.84</v>
      </c>
      <c r="J92">
        <f t="shared" si="19"/>
        <v>0.43495825085208512</v>
      </c>
      <c r="K92" s="10">
        <f t="shared" si="21"/>
        <v>-3.2318156783673891E-4</v>
      </c>
      <c r="L92" s="95">
        <f t="shared" si="20"/>
        <v>8.0592098504150556E-2</v>
      </c>
      <c r="M92" s="10"/>
      <c r="N92" s="11"/>
      <c r="O92" s="11"/>
    </row>
    <row r="93" spans="2:15" x14ac:dyDescent="0.25">
      <c r="B93" s="1">
        <f t="shared" si="13"/>
        <v>6.9999999999999911</v>
      </c>
      <c r="C93" s="1">
        <v>1</v>
      </c>
      <c r="D93" s="1">
        <f t="shared" si="17"/>
        <v>0.98</v>
      </c>
      <c r="E93" s="1">
        <f t="shared" si="14"/>
        <v>0.98</v>
      </c>
      <c r="F93" s="1">
        <f t="shared" si="12"/>
        <v>0.18</v>
      </c>
      <c r="G93" s="10">
        <f t="shared" si="15"/>
        <v>0.1801834298880251</v>
      </c>
      <c r="H93" s="10">
        <f t="shared" si="18"/>
        <v>0.79981657011197482</v>
      </c>
      <c r="I93" s="1">
        <f t="shared" si="16"/>
        <v>1.84</v>
      </c>
      <c r="J93">
        <f t="shared" si="19"/>
        <v>0.43468291853911672</v>
      </c>
      <c r="K93" s="10">
        <f t="shared" si="21"/>
        <v>1.8342988802511618E-4</v>
      </c>
      <c r="L93" s="95">
        <f t="shared" si="20"/>
        <v>8.0268916936313814E-2</v>
      </c>
      <c r="M93" s="10"/>
      <c r="N93" s="11"/>
      <c r="O93" s="11"/>
    </row>
    <row r="94" spans="2:15" x14ac:dyDescent="0.25">
      <c r="B94" s="1">
        <f t="shared" si="13"/>
        <v>7.0999999999999908</v>
      </c>
      <c r="C94" s="1">
        <v>1</v>
      </c>
      <c r="D94" s="1">
        <f t="shared" si="17"/>
        <v>0.98</v>
      </c>
      <c r="E94" s="1">
        <f t="shared" si="14"/>
        <v>0.98</v>
      </c>
      <c r="F94" s="1">
        <f t="shared" si="12"/>
        <v>0.18</v>
      </c>
      <c r="G94" s="10">
        <f t="shared" si="15"/>
        <v>0.17997246676870315</v>
      </c>
      <c r="H94" s="10">
        <f t="shared" si="18"/>
        <v>0.80002753323129683</v>
      </c>
      <c r="I94" s="1">
        <f t="shared" si="16"/>
        <v>1.84</v>
      </c>
      <c r="J94">
        <f t="shared" si="19"/>
        <v>0.43479757240831346</v>
      </c>
      <c r="K94" s="10">
        <f t="shared" si="21"/>
        <v>-2.7533231296839045E-5</v>
      </c>
      <c r="L94" s="95">
        <f t="shared" si="20"/>
        <v>8.0452346824338924E-2</v>
      </c>
      <c r="M94" s="10"/>
      <c r="N94" s="11"/>
      <c r="O94" s="11"/>
    </row>
    <row r="95" spans="2:15" x14ac:dyDescent="0.25">
      <c r="B95" s="1">
        <f t="shared" si="13"/>
        <v>7.1999999999999904</v>
      </c>
      <c r="C95" s="1">
        <v>1</v>
      </c>
      <c r="D95" s="1">
        <f t="shared" si="17"/>
        <v>0.98</v>
      </c>
      <c r="E95" s="1">
        <f t="shared" si="14"/>
        <v>0.98</v>
      </c>
      <c r="F95" s="1">
        <f t="shared" si="12"/>
        <v>0.18</v>
      </c>
      <c r="G95" s="10">
        <f t="shared" si="15"/>
        <v>0.18001146538691967</v>
      </c>
      <c r="H95" s="10">
        <f t="shared" si="18"/>
        <v>0.79998853461308028</v>
      </c>
      <c r="I95" s="1">
        <f t="shared" si="16"/>
        <v>1.84</v>
      </c>
      <c r="J95">
        <f t="shared" si="19"/>
        <v>0.43477637750710885</v>
      </c>
      <c r="K95" s="10">
        <f t="shared" si="21"/>
        <v>1.1465386919673472E-5</v>
      </c>
      <c r="L95" s="95">
        <f t="shared" si="20"/>
        <v>8.0424813593042085E-2</v>
      </c>
      <c r="M95" s="10"/>
      <c r="N95" s="11"/>
      <c r="O95" s="11"/>
    </row>
    <row r="96" spans="2:15" x14ac:dyDescent="0.25">
      <c r="B96" s="1">
        <f t="shared" si="13"/>
        <v>7.2999999999999901</v>
      </c>
      <c r="C96" s="1">
        <v>1</v>
      </c>
      <c r="D96" s="1">
        <f t="shared" si="17"/>
        <v>0.98</v>
      </c>
      <c r="E96" s="1">
        <f t="shared" si="14"/>
        <v>0.98</v>
      </c>
      <c r="F96" s="1">
        <f t="shared" si="12"/>
        <v>0.18</v>
      </c>
      <c r="G96" s="10">
        <f t="shared" si="15"/>
        <v>0.17999788050987953</v>
      </c>
      <c r="H96" s="10">
        <f t="shared" si="18"/>
        <v>0.80000211949012046</v>
      </c>
      <c r="I96" s="1">
        <f t="shared" si="16"/>
        <v>1.84</v>
      </c>
      <c r="J96">
        <f t="shared" si="19"/>
        <v>0.43478376059245677</v>
      </c>
      <c r="K96" s="10">
        <f t="shared" si="21"/>
        <v>-2.1194901204613093E-6</v>
      </c>
      <c r="L96" s="95">
        <f t="shared" si="20"/>
        <v>8.0436278979961764E-2</v>
      </c>
      <c r="M96" s="10"/>
      <c r="N96" s="11"/>
      <c r="O96" s="11"/>
    </row>
    <row r="97" spans="2:15" x14ac:dyDescent="0.25">
      <c r="B97" s="1">
        <f t="shared" si="13"/>
        <v>7.3999999999999897</v>
      </c>
      <c r="C97" s="1">
        <v>1</v>
      </c>
      <c r="D97" s="1">
        <f t="shared" si="17"/>
        <v>0.98</v>
      </c>
      <c r="E97" s="1">
        <f t="shared" si="14"/>
        <v>0.98</v>
      </c>
      <c r="F97" s="1">
        <f t="shared" ref="F97:F160" si="22">$F$19</f>
        <v>0.18</v>
      </c>
      <c r="G97" s="10">
        <f t="shared" si="15"/>
        <v>0.18000073830853477</v>
      </c>
      <c r="H97" s="10">
        <f t="shared" si="18"/>
        <v>0.79999926169146518</v>
      </c>
      <c r="I97" s="1">
        <f t="shared" si="16"/>
        <v>1.84</v>
      </c>
      <c r="J97">
        <f t="shared" si="19"/>
        <v>0.43478220744101365</v>
      </c>
      <c r="K97" s="10">
        <f t="shared" si="21"/>
        <v>7.3830853479228691E-7</v>
      </c>
      <c r="L97" s="95">
        <f t="shared" si="20"/>
        <v>8.0434159489841298E-2</v>
      </c>
      <c r="M97" s="10"/>
      <c r="N97" s="11"/>
      <c r="O97" s="11"/>
    </row>
    <row r="98" spans="2:15" x14ac:dyDescent="0.25">
      <c r="B98" s="1">
        <f t="shared" si="13"/>
        <v>7.4999999999999893</v>
      </c>
      <c r="C98" s="1">
        <v>1</v>
      </c>
      <c r="D98" s="1">
        <f t="shared" si="17"/>
        <v>0.98</v>
      </c>
      <c r="E98" s="1">
        <f t="shared" si="14"/>
        <v>0.98</v>
      </c>
      <c r="F98" s="1">
        <f t="shared" si="22"/>
        <v>0.18</v>
      </c>
      <c r="G98" s="10">
        <f t="shared" si="15"/>
        <v>0.17999984468485569</v>
      </c>
      <c r="H98" s="10">
        <f t="shared" si="18"/>
        <v>0.80000015531514435</v>
      </c>
      <c r="I98" s="1">
        <f t="shared" si="16"/>
        <v>1.84</v>
      </c>
      <c r="J98">
        <f t="shared" si="19"/>
        <v>0.43478269310605672</v>
      </c>
      <c r="K98" s="10">
        <f t="shared" si="21"/>
        <v>-1.5531514431232908E-7</v>
      </c>
      <c r="L98" s="95">
        <f t="shared" si="20"/>
        <v>8.0434897798376093E-2</v>
      </c>
      <c r="M98" s="10"/>
      <c r="N98" s="11"/>
      <c r="O98" s="11"/>
    </row>
    <row r="99" spans="2:15" x14ac:dyDescent="0.25">
      <c r="B99" s="1">
        <f t="shared" si="13"/>
        <v>7.599999999999989</v>
      </c>
      <c r="C99" s="1">
        <v>1</v>
      </c>
      <c r="D99" s="1">
        <f t="shared" si="17"/>
        <v>0.98</v>
      </c>
      <c r="E99" s="1">
        <f t="shared" si="14"/>
        <v>0.98</v>
      </c>
      <c r="F99" s="1">
        <f t="shared" si="22"/>
        <v>0.18</v>
      </c>
      <c r="G99" s="10">
        <f t="shared" si="15"/>
        <v>0.18000004856650431</v>
      </c>
      <c r="H99" s="10">
        <f t="shared" si="18"/>
        <v>0.79999995143349567</v>
      </c>
      <c r="I99" s="1">
        <f t="shared" si="16"/>
        <v>1.84</v>
      </c>
      <c r="J99">
        <f t="shared" si="19"/>
        <v>0.43478258230081285</v>
      </c>
      <c r="K99" s="10">
        <f t="shared" si="21"/>
        <v>4.8566504307068219E-8</v>
      </c>
      <c r="L99" s="95">
        <f t="shared" si="20"/>
        <v>8.0434742483231778E-2</v>
      </c>
      <c r="M99" s="10"/>
      <c r="N99" s="11"/>
      <c r="O99" s="11"/>
    </row>
    <row r="100" spans="2:15" x14ac:dyDescent="0.25">
      <c r="B100" s="1">
        <f t="shared" si="13"/>
        <v>7.6999999999999886</v>
      </c>
      <c r="C100" s="1">
        <v>1</v>
      </c>
      <c r="D100" s="1">
        <f t="shared" si="17"/>
        <v>0.98</v>
      </c>
      <c r="E100" s="1">
        <f t="shared" si="14"/>
        <v>0.98</v>
      </c>
      <c r="F100" s="1">
        <f t="shared" si="22"/>
        <v>0.18</v>
      </c>
      <c r="G100" s="10">
        <f t="shared" si="15"/>
        <v>0.17999998891947561</v>
      </c>
      <c r="H100" s="10">
        <f t="shared" si="18"/>
        <v>0.80000001108052432</v>
      </c>
      <c r="I100" s="1">
        <f t="shared" si="16"/>
        <v>1.84</v>
      </c>
      <c r="J100">
        <f t="shared" si="19"/>
        <v>0.43478261471767626</v>
      </c>
      <c r="K100" s="10">
        <f t="shared" si="21"/>
        <v>-1.1080524386919421E-8</v>
      </c>
      <c r="L100" s="95">
        <f t="shared" si="20"/>
        <v>8.0434791049736082E-2</v>
      </c>
      <c r="M100" s="10"/>
      <c r="N100" s="11"/>
      <c r="O100" s="11"/>
    </row>
    <row r="101" spans="2:15" x14ac:dyDescent="0.25">
      <c r="B101" s="1">
        <f t="shared" si="13"/>
        <v>7.7999999999999883</v>
      </c>
      <c r="C101" s="1">
        <v>0</v>
      </c>
      <c r="D101" s="1">
        <f t="shared" si="17"/>
        <v>0</v>
      </c>
      <c r="E101" s="1">
        <f t="shared" si="14"/>
        <v>0</v>
      </c>
      <c r="F101" s="1">
        <f t="shared" si="22"/>
        <v>0.18</v>
      </c>
      <c r="G101" s="10">
        <f t="shared" si="15"/>
        <v>0.18000000324168633</v>
      </c>
      <c r="H101" s="10">
        <f t="shared" si="18"/>
        <v>-0.18000000324168633</v>
      </c>
      <c r="I101" s="1">
        <f t="shared" si="16"/>
        <v>1.84</v>
      </c>
      <c r="J101">
        <f t="shared" si="19"/>
        <v>-9.782608871830778E-2</v>
      </c>
      <c r="K101" s="10">
        <f t="shared" si="21"/>
        <v>3.2416863415818399E-9</v>
      </c>
      <c r="L101" s="95">
        <f t="shared" si="20"/>
        <v>8.0434779969211695E-2</v>
      </c>
      <c r="M101" s="10"/>
      <c r="N101" s="11"/>
      <c r="O101" s="11"/>
    </row>
    <row r="102" spans="2:15" x14ac:dyDescent="0.25">
      <c r="B102" s="1">
        <f t="shared" si="13"/>
        <v>7.8999999999999879</v>
      </c>
      <c r="C102" s="1">
        <v>0</v>
      </c>
      <c r="D102" s="1">
        <f t="shared" si="17"/>
        <v>0</v>
      </c>
      <c r="E102" s="1">
        <f t="shared" si="14"/>
        <v>0</v>
      </c>
      <c r="F102" s="1">
        <f t="shared" si="22"/>
        <v>0.18</v>
      </c>
      <c r="G102" s="10">
        <f t="shared" si="15"/>
        <v>0.12673912965640158</v>
      </c>
      <c r="H102" s="10">
        <f t="shared" si="18"/>
        <v>-0.12673912965640158</v>
      </c>
      <c r="I102" s="1">
        <f t="shared" si="16"/>
        <v>1.84</v>
      </c>
      <c r="J102">
        <f t="shared" si="19"/>
        <v>-6.8879961769783463E-2</v>
      </c>
      <c r="K102" s="10">
        <f t="shared" si="21"/>
        <v>-5.3260870343598415E-2</v>
      </c>
      <c r="L102" s="95">
        <f t="shared" si="20"/>
        <v>8.0434783210898031E-2</v>
      </c>
      <c r="M102" s="10"/>
      <c r="N102" s="11"/>
      <c r="O102" s="11"/>
    </row>
    <row r="103" spans="2:15" x14ac:dyDescent="0.25">
      <c r="B103" s="1">
        <f t="shared" si="13"/>
        <v>7.9999999999999876</v>
      </c>
      <c r="C103" s="1">
        <v>0</v>
      </c>
      <c r="D103" s="1">
        <f t="shared" si="17"/>
        <v>0</v>
      </c>
      <c r="E103" s="1">
        <f t="shared" si="14"/>
        <v>0</v>
      </c>
      <c r="F103" s="1">
        <f t="shared" si="22"/>
        <v>0.18</v>
      </c>
      <c r="G103" s="10">
        <f t="shared" si="15"/>
        <v>0.18289461269485244</v>
      </c>
      <c r="H103" s="10">
        <f t="shared" si="18"/>
        <v>-0.18289461269485244</v>
      </c>
      <c r="I103" s="1">
        <f t="shared" si="16"/>
        <v>1.84</v>
      </c>
      <c r="J103">
        <f t="shared" si="19"/>
        <v>-9.9399246029811109E-2</v>
      </c>
      <c r="K103" s="10">
        <f t="shared" si="21"/>
        <v>2.8946126948524321E-3</v>
      </c>
      <c r="L103" s="95">
        <f t="shared" si="20"/>
        <v>2.7173912867299616E-2</v>
      </c>
      <c r="M103" s="10"/>
      <c r="N103" s="11"/>
      <c r="O103" s="11"/>
    </row>
    <row r="104" spans="2:15" x14ac:dyDescent="0.25">
      <c r="B104" s="1">
        <f t="shared" si="13"/>
        <v>8.0999999999999872</v>
      </c>
      <c r="C104" s="1">
        <v>0</v>
      </c>
      <c r="D104" s="1">
        <f t="shared" si="17"/>
        <v>0</v>
      </c>
      <c r="E104" s="1">
        <f t="shared" si="14"/>
        <v>0</v>
      </c>
      <c r="F104" s="1">
        <f t="shared" si="22"/>
        <v>0.18</v>
      </c>
      <c r="G104" s="10">
        <f t="shared" si="15"/>
        <v>0.17694807157399722</v>
      </c>
      <c r="H104" s="10">
        <f t="shared" si="18"/>
        <v>-0.17694807157399722</v>
      </c>
      <c r="I104" s="1">
        <f t="shared" si="16"/>
        <v>1.84</v>
      </c>
      <c r="J104">
        <f t="shared" si="19"/>
        <v>-9.6167430203259352E-2</v>
      </c>
      <c r="K104" s="10">
        <f t="shared" si="21"/>
        <v>-3.0519284260027649E-3</v>
      </c>
      <c r="L104" s="95">
        <f t="shared" si="20"/>
        <v>3.0068525562152046E-2</v>
      </c>
      <c r="M104" s="10"/>
      <c r="N104" s="11"/>
      <c r="O104" s="11"/>
    </row>
    <row r="105" spans="2:15" x14ac:dyDescent="0.25">
      <c r="B105" s="1">
        <f t="shared" si="13"/>
        <v>8.1999999999999869</v>
      </c>
      <c r="C105" s="1">
        <v>0</v>
      </c>
      <c r="D105" s="1">
        <f t="shared" si="17"/>
        <v>0</v>
      </c>
      <c r="E105" s="1">
        <f t="shared" si="14"/>
        <v>0</v>
      </c>
      <c r="F105" s="1">
        <f t="shared" si="22"/>
        <v>0.18</v>
      </c>
      <c r="G105" s="10">
        <f t="shared" si="15"/>
        <v>0.18032318158265517</v>
      </c>
      <c r="H105" s="10">
        <f t="shared" si="18"/>
        <v>-0.18032318158265517</v>
      </c>
      <c r="I105" s="1">
        <f t="shared" si="16"/>
        <v>1.84</v>
      </c>
      <c r="J105">
        <f t="shared" si="19"/>
        <v>-9.8001729121008241E-2</v>
      </c>
      <c r="K105" s="10">
        <f t="shared" si="21"/>
        <v>3.231815826551757E-4</v>
      </c>
      <c r="L105" s="95">
        <f t="shared" si="20"/>
        <v>2.7016597136149283E-2</v>
      </c>
      <c r="M105" s="10"/>
      <c r="N105" s="11"/>
      <c r="O105" s="11"/>
    </row>
    <row r="106" spans="2:15" x14ac:dyDescent="0.25">
      <c r="B106" s="1">
        <f t="shared" si="13"/>
        <v>8.2999999999999865</v>
      </c>
      <c r="C106" s="1">
        <v>0</v>
      </c>
      <c r="D106" s="1">
        <f t="shared" si="17"/>
        <v>0</v>
      </c>
      <c r="E106" s="1">
        <f t="shared" si="14"/>
        <v>0</v>
      </c>
      <c r="F106" s="1">
        <f t="shared" si="22"/>
        <v>0.18</v>
      </c>
      <c r="G106" s="10">
        <f t="shared" si="15"/>
        <v>0.1798165701082251</v>
      </c>
      <c r="H106" s="10">
        <f t="shared" si="18"/>
        <v>-0.1798165701082251</v>
      </c>
      <c r="I106" s="1">
        <f t="shared" si="16"/>
        <v>1.84</v>
      </c>
      <c r="J106">
        <f t="shared" si="19"/>
        <v>-9.7726396797948423E-2</v>
      </c>
      <c r="K106" s="10">
        <f t="shared" si="21"/>
        <v>-1.8342989177488889E-4</v>
      </c>
      <c r="L106" s="95">
        <f t="shared" si="20"/>
        <v>2.7339778718804459E-2</v>
      </c>
      <c r="M106" s="10"/>
      <c r="N106" s="11"/>
      <c r="O106" s="11"/>
    </row>
    <row r="107" spans="2:15" x14ac:dyDescent="0.25">
      <c r="B107" s="1">
        <f t="shared" si="13"/>
        <v>8.3999999999999861</v>
      </c>
      <c r="C107" s="1">
        <v>0</v>
      </c>
      <c r="D107" s="1">
        <f t="shared" si="17"/>
        <v>0</v>
      </c>
      <c r="E107" s="1">
        <f t="shared" si="14"/>
        <v>0</v>
      </c>
      <c r="F107" s="1">
        <f t="shared" si="22"/>
        <v>0.18</v>
      </c>
      <c r="G107" s="10">
        <f t="shared" si="15"/>
        <v>0.18002753323230597</v>
      </c>
      <c r="H107" s="10">
        <f t="shared" si="18"/>
        <v>-0.18002753323230597</v>
      </c>
      <c r="I107" s="1">
        <f t="shared" si="16"/>
        <v>1.84</v>
      </c>
      <c r="J107">
        <f t="shared" si="19"/>
        <v>-9.7841050669731505E-2</v>
      </c>
      <c r="K107" s="10">
        <f t="shared" si="21"/>
        <v>2.7533232305981816E-5</v>
      </c>
      <c r="L107" s="95">
        <f t="shared" si="20"/>
        <v>2.715634882702957E-2</v>
      </c>
      <c r="M107" s="10"/>
      <c r="N107" s="11"/>
      <c r="O107" s="11"/>
    </row>
    <row r="108" spans="2:15" x14ac:dyDescent="0.25">
      <c r="B108" s="1">
        <f t="shared" si="13"/>
        <v>8.4999999999999858</v>
      </c>
      <c r="C108" s="1">
        <v>0</v>
      </c>
      <c r="D108" s="1">
        <f t="shared" si="17"/>
        <v>0</v>
      </c>
      <c r="E108" s="1">
        <f t="shared" si="14"/>
        <v>0</v>
      </c>
      <c r="F108" s="1">
        <f t="shared" si="22"/>
        <v>0.18</v>
      </c>
      <c r="G108" s="10">
        <f t="shared" si="15"/>
        <v>0.17998853461282169</v>
      </c>
      <c r="H108" s="10">
        <f t="shared" si="18"/>
        <v>-0.17998853461282169</v>
      </c>
      <c r="I108" s="1">
        <f t="shared" si="16"/>
        <v>1.84</v>
      </c>
      <c r="J108">
        <f t="shared" si="19"/>
        <v>-9.7819855767837874E-2</v>
      </c>
      <c r="K108" s="10">
        <f t="shared" si="21"/>
        <v>-1.1465387178308252E-5</v>
      </c>
      <c r="L108" s="95">
        <f t="shared" si="20"/>
        <v>2.7183882059335553E-2</v>
      </c>
      <c r="M108" s="10"/>
      <c r="N108" s="11"/>
      <c r="O108" s="11"/>
    </row>
    <row r="109" spans="2:15" x14ac:dyDescent="0.25">
      <c r="B109" s="1">
        <f t="shared" si="13"/>
        <v>8.5999999999999854</v>
      </c>
      <c r="C109" s="1">
        <v>0</v>
      </c>
      <c r="D109" s="1">
        <f t="shared" si="17"/>
        <v>0</v>
      </c>
      <c r="E109" s="1">
        <f t="shared" si="14"/>
        <v>0</v>
      </c>
      <c r="F109" s="1">
        <f t="shared" si="22"/>
        <v>0.18</v>
      </c>
      <c r="G109" s="10">
        <f t="shared" si="15"/>
        <v>0.18000211949018935</v>
      </c>
      <c r="H109" s="10">
        <f t="shared" si="18"/>
        <v>-0.18000211949018935</v>
      </c>
      <c r="I109" s="1">
        <f t="shared" si="16"/>
        <v>1.84</v>
      </c>
      <c r="J109">
        <f t="shared" si="19"/>
        <v>-9.7827238853363779E-2</v>
      </c>
      <c r="K109" s="10">
        <f t="shared" si="21"/>
        <v>2.1194901893631379E-6</v>
      </c>
      <c r="L109" s="95">
        <f t="shared" si="20"/>
        <v>2.7172416672157244E-2</v>
      </c>
      <c r="M109" s="10"/>
      <c r="N109" s="11"/>
      <c r="O109" s="11"/>
    </row>
    <row r="110" spans="2:15" x14ac:dyDescent="0.25">
      <c r="B110" s="1">
        <f t="shared" si="13"/>
        <v>8.6999999999999851</v>
      </c>
      <c r="C110" s="1">
        <v>0</v>
      </c>
      <c r="D110" s="1">
        <f t="shared" si="17"/>
        <v>0</v>
      </c>
      <c r="E110" s="1">
        <f t="shared" si="14"/>
        <v>0</v>
      </c>
      <c r="F110" s="1">
        <f t="shared" si="22"/>
        <v>0.18</v>
      </c>
      <c r="G110" s="10">
        <f t="shared" si="15"/>
        <v>0.17999926169144739</v>
      </c>
      <c r="H110" s="10">
        <f t="shared" si="18"/>
        <v>-0.17999926169144739</v>
      </c>
      <c r="I110" s="1">
        <f t="shared" si="16"/>
        <v>1.84</v>
      </c>
      <c r="J110">
        <f t="shared" si="19"/>
        <v>-9.7825685701873583E-2</v>
      </c>
      <c r="K110" s="10">
        <f t="shared" si="21"/>
        <v>-7.3830855259054977E-7</v>
      </c>
      <c r="L110" s="95">
        <f t="shared" si="20"/>
        <v>2.7174536162346608E-2</v>
      </c>
      <c r="M110" s="10"/>
      <c r="N110" s="11"/>
      <c r="O110" s="11"/>
    </row>
    <row r="111" spans="2:15" x14ac:dyDescent="0.25">
      <c r="B111" s="1">
        <f t="shared" si="13"/>
        <v>8.7999999999999847</v>
      </c>
      <c r="C111" s="1">
        <v>0</v>
      </c>
      <c r="D111" s="1">
        <f t="shared" si="17"/>
        <v>0</v>
      </c>
      <c r="E111" s="1">
        <f t="shared" si="14"/>
        <v>0</v>
      </c>
      <c r="F111" s="1">
        <f t="shared" si="22"/>
        <v>0.18</v>
      </c>
      <c r="G111" s="10">
        <f t="shared" si="15"/>
        <v>0.18000015531514901</v>
      </c>
      <c r="H111" s="10">
        <f t="shared" si="18"/>
        <v>-0.18000015531514901</v>
      </c>
      <c r="I111" s="1">
        <f t="shared" si="16"/>
        <v>1.84</v>
      </c>
      <c r="J111">
        <f t="shared" si="19"/>
        <v>-9.782617136692881E-2</v>
      </c>
      <c r="K111" s="10">
        <f t="shared" si="21"/>
        <v>1.5531514901967469E-7</v>
      </c>
      <c r="L111" s="95">
        <f t="shared" si="20"/>
        <v>2.7173797853794018E-2</v>
      </c>
      <c r="M111" s="10"/>
      <c r="N111" s="11"/>
      <c r="O111" s="11"/>
    </row>
    <row r="112" spans="2:15" x14ac:dyDescent="0.25">
      <c r="B112" s="1">
        <f t="shared" si="13"/>
        <v>8.8999999999999844</v>
      </c>
      <c r="C112" s="1">
        <v>0</v>
      </c>
      <c r="D112" s="1">
        <f t="shared" si="17"/>
        <v>0</v>
      </c>
      <c r="E112" s="1">
        <f t="shared" si="14"/>
        <v>0</v>
      </c>
      <c r="F112" s="1">
        <f t="shared" si="22"/>
        <v>0.18</v>
      </c>
      <c r="G112" s="10">
        <f t="shared" si="15"/>
        <v>0.17999995143349448</v>
      </c>
      <c r="H112" s="10">
        <f t="shared" si="18"/>
        <v>-0.17999995143349448</v>
      </c>
      <c r="I112" s="1">
        <f t="shared" si="16"/>
        <v>1.84</v>
      </c>
      <c r="J112">
        <f t="shared" si="19"/>
        <v>-9.7826060561681777E-2</v>
      </c>
      <c r="K112" s="10">
        <f t="shared" si="21"/>
        <v>-4.8566505522762429E-8</v>
      </c>
      <c r="L112" s="95">
        <f t="shared" si="20"/>
        <v>2.7173953168943037E-2</v>
      </c>
      <c r="M112" s="10"/>
      <c r="N112" s="11"/>
      <c r="O112" s="11"/>
    </row>
    <row r="113" spans="2:15" x14ac:dyDescent="0.25">
      <c r="B113" s="1">
        <f t="shared" si="13"/>
        <v>8.999999999999984</v>
      </c>
      <c r="C113" s="1">
        <v>0</v>
      </c>
      <c r="D113" s="1">
        <f t="shared" si="17"/>
        <v>0</v>
      </c>
      <c r="E113" s="1">
        <f t="shared" si="14"/>
        <v>0</v>
      </c>
      <c r="F113" s="1">
        <f t="shared" si="22"/>
        <v>0.18</v>
      </c>
      <c r="G113" s="10">
        <f t="shared" si="15"/>
        <v>0.18000001108052469</v>
      </c>
      <c r="H113" s="10">
        <f t="shared" si="18"/>
        <v>-0.18000001108052469</v>
      </c>
      <c r="I113" s="1">
        <f t="shared" si="16"/>
        <v>1.84</v>
      </c>
      <c r="J113">
        <f t="shared" si="19"/>
        <v>-9.7826092978546025E-2</v>
      </c>
      <c r="K113" s="10">
        <f t="shared" si="21"/>
        <v>1.1080524703332984E-8</v>
      </c>
      <c r="L113" s="95">
        <f t="shared" si="20"/>
        <v>2.7173904602437515E-2</v>
      </c>
      <c r="M113" s="10"/>
      <c r="N113" s="11"/>
      <c r="O113" s="11"/>
    </row>
    <row r="114" spans="2:15" x14ac:dyDescent="0.25">
      <c r="B114" s="1">
        <f t="shared" si="13"/>
        <v>9.0999999999999837</v>
      </c>
      <c r="C114" s="1">
        <v>0</v>
      </c>
      <c r="D114" s="1">
        <f t="shared" si="17"/>
        <v>0</v>
      </c>
      <c r="E114" s="1">
        <f t="shared" si="14"/>
        <v>0</v>
      </c>
      <c r="F114" s="1">
        <f t="shared" si="22"/>
        <v>0.18</v>
      </c>
      <c r="G114" s="10">
        <f t="shared" si="15"/>
        <v>0.17999999675831357</v>
      </c>
      <c r="H114" s="10">
        <f t="shared" si="18"/>
        <v>-0.17999999675831357</v>
      </c>
      <c r="I114" s="1">
        <f t="shared" si="16"/>
        <v>1.84</v>
      </c>
      <c r="J114">
        <f t="shared" si="19"/>
        <v>-9.7826085194735637E-2</v>
      </c>
      <c r="K114" s="10">
        <f t="shared" si="21"/>
        <v>-3.2416864248485667E-9</v>
      </c>
      <c r="L114" s="95">
        <f t="shared" si="20"/>
        <v>2.7173915682962218E-2</v>
      </c>
      <c r="M114" s="10"/>
      <c r="N114" s="11"/>
      <c r="O114" s="11"/>
    </row>
    <row r="115" spans="2:15" x14ac:dyDescent="0.25">
      <c r="B115" s="1">
        <f t="shared" si="13"/>
        <v>9.1999999999999833</v>
      </c>
      <c r="C115" s="1">
        <v>0</v>
      </c>
      <c r="D115" s="1">
        <f t="shared" si="17"/>
        <v>0</v>
      </c>
      <c r="E115" s="1">
        <f t="shared" si="14"/>
        <v>0</v>
      </c>
      <c r="F115" s="1">
        <f t="shared" si="22"/>
        <v>0.18</v>
      </c>
      <c r="G115" s="10">
        <f t="shared" si="15"/>
        <v>0.18000000077838102</v>
      </c>
      <c r="H115" s="10">
        <f t="shared" si="18"/>
        <v>-0.18000000077838102</v>
      </c>
      <c r="I115" s="1">
        <f t="shared" si="16"/>
        <v>1.84</v>
      </c>
      <c r="J115">
        <f t="shared" si="19"/>
        <v>-9.7826087379554894E-2</v>
      </c>
      <c r="K115" s="10">
        <f t="shared" si="21"/>
        <v>7.7838103879068762E-10</v>
      </c>
      <c r="L115" s="95">
        <f t="shared" si="20"/>
        <v>2.7173912441275792E-2</v>
      </c>
      <c r="M115" s="10"/>
      <c r="N115" s="11"/>
      <c r="O115" s="11"/>
    </row>
    <row r="116" spans="2:15" x14ac:dyDescent="0.25">
      <c r="B116" s="1">
        <f t="shared" si="13"/>
        <v>9.2999999999999829</v>
      </c>
      <c r="C116" s="1">
        <v>0</v>
      </c>
      <c r="D116" s="1">
        <f t="shared" si="17"/>
        <v>0</v>
      </c>
      <c r="E116" s="1">
        <f t="shared" si="14"/>
        <v>0</v>
      </c>
      <c r="F116" s="1">
        <f t="shared" si="22"/>
        <v>0.18</v>
      </c>
      <c r="G116" s="10">
        <f t="shared" si="15"/>
        <v>0.17999999978151807</v>
      </c>
      <c r="H116" s="10">
        <f t="shared" si="18"/>
        <v>-0.17999999978151807</v>
      </c>
      <c r="I116" s="1">
        <f t="shared" si="16"/>
        <v>1.84</v>
      </c>
      <c r="J116">
        <f t="shared" si="19"/>
        <v>-9.7826086837781559E-2</v>
      </c>
      <c r="K116" s="10">
        <f t="shared" si="21"/>
        <v>-2.1848192560680602E-10</v>
      </c>
      <c r="L116" s="95">
        <f t="shared" si="20"/>
        <v>2.7173913219656832E-2</v>
      </c>
      <c r="M116" s="10"/>
      <c r="N116" s="11"/>
      <c r="O116" s="11"/>
    </row>
    <row r="117" spans="2:15" x14ac:dyDescent="0.25">
      <c r="B117" s="1">
        <f t="shared" si="13"/>
        <v>9.3999999999999826</v>
      </c>
      <c r="C117" s="1">
        <v>0</v>
      </c>
      <c r="D117" s="1">
        <f t="shared" si="17"/>
        <v>0</v>
      </c>
      <c r="E117" s="1">
        <f t="shared" si="14"/>
        <v>0</v>
      </c>
      <c r="F117" s="1">
        <f t="shared" si="22"/>
        <v>0.18</v>
      </c>
      <c r="G117" s="10">
        <f t="shared" si="15"/>
        <v>0.18000000005417732</v>
      </c>
      <c r="H117" s="10">
        <f t="shared" si="18"/>
        <v>-0.18000000005417732</v>
      </c>
      <c r="I117" s="1">
        <f t="shared" si="16"/>
        <v>1.84</v>
      </c>
      <c r="J117">
        <f t="shared" si="19"/>
        <v>-9.7826086985965927E-2</v>
      </c>
      <c r="K117" s="10">
        <f t="shared" si="21"/>
        <v>5.417733345280951E-11</v>
      </c>
      <c r="L117" s="95">
        <f t="shared" si="20"/>
        <v>2.7173913001174905E-2</v>
      </c>
      <c r="M117" s="10"/>
      <c r="N117" s="11"/>
      <c r="O117" s="11"/>
    </row>
    <row r="118" spans="2:15" x14ac:dyDescent="0.25">
      <c r="B118" s="1">
        <f t="shared" ref="B118:B181" si="23">B117+$B$19</f>
        <v>9.4999999999999822</v>
      </c>
      <c r="C118" s="1">
        <v>0</v>
      </c>
      <c r="D118" s="1">
        <f t="shared" si="17"/>
        <v>0</v>
      </c>
      <c r="E118" s="1">
        <f t="shared" ref="E118:E181" si="24">C118*D118</f>
        <v>0</v>
      </c>
      <c r="F118" s="1">
        <f t="shared" si="22"/>
        <v>0.18</v>
      </c>
      <c r="G118" s="10">
        <f t="shared" si="15"/>
        <v>0.17999999998518157</v>
      </c>
      <c r="H118" s="10">
        <f t="shared" si="18"/>
        <v>-0.17999999998518157</v>
      </c>
      <c r="I118" s="1">
        <f t="shared" si="16"/>
        <v>1.84</v>
      </c>
      <c r="J118">
        <f t="shared" si="19"/>
        <v>-9.7826086948468241E-2</v>
      </c>
      <c r="K118" s="10">
        <f t="shared" si="21"/>
        <v>-1.481843675543715E-11</v>
      </c>
      <c r="L118" s="95">
        <f t="shared" si="20"/>
        <v>2.7173913055352238E-2</v>
      </c>
      <c r="M118" s="10"/>
      <c r="N118" s="11"/>
      <c r="O118" s="11"/>
    </row>
    <row r="119" spans="2:15" x14ac:dyDescent="0.25">
      <c r="B119" s="1">
        <f t="shared" si="23"/>
        <v>9.5999999999999819</v>
      </c>
      <c r="C119" s="1">
        <v>0</v>
      </c>
      <c r="D119" s="1">
        <f t="shared" si="17"/>
        <v>0</v>
      </c>
      <c r="E119" s="1">
        <f t="shared" si="24"/>
        <v>0</v>
      </c>
      <c r="F119" s="1">
        <f t="shared" si="22"/>
        <v>0.18</v>
      </c>
      <c r="G119" s="10">
        <f t="shared" si="15"/>
        <v>0.18000000000374977</v>
      </c>
      <c r="H119" s="10">
        <f t="shared" si="18"/>
        <v>-0.18000000000374977</v>
      </c>
      <c r="I119" s="1">
        <f t="shared" si="16"/>
        <v>1.84</v>
      </c>
      <c r="J119">
        <f t="shared" si="19"/>
        <v>-9.7826086958559655E-2</v>
      </c>
      <c r="K119" s="10">
        <f t="shared" si="21"/>
        <v>3.7497685512200006E-12</v>
      </c>
      <c r="L119" s="95">
        <f t="shared" si="20"/>
        <v>2.7173913040533799E-2</v>
      </c>
      <c r="M119" s="10"/>
      <c r="N119" s="11"/>
      <c r="O119" s="11"/>
    </row>
    <row r="120" spans="2:15" x14ac:dyDescent="0.25">
      <c r="B120" s="1">
        <f t="shared" si="23"/>
        <v>9.6999999999999815</v>
      </c>
      <c r="C120" s="1">
        <v>0</v>
      </c>
      <c r="D120" s="1">
        <f t="shared" si="17"/>
        <v>0</v>
      </c>
      <c r="E120" s="1">
        <f t="shared" si="24"/>
        <v>0</v>
      </c>
      <c r="F120" s="1">
        <f t="shared" si="22"/>
        <v>0.18</v>
      </c>
      <c r="G120" s="10">
        <f t="shared" si="15"/>
        <v>0.17999999999899086</v>
      </c>
      <c r="H120" s="10">
        <f t="shared" si="18"/>
        <v>-0.17999999999899086</v>
      </c>
      <c r="I120" s="1">
        <f t="shared" si="16"/>
        <v>1.84</v>
      </c>
      <c r="J120">
        <f t="shared" si="19"/>
        <v>-9.7826086955973293E-2</v>
      </c>
      <c r="K120" s="10">
        <f t="shared" si="21"/>
        <v>-1.0091413815693784E-12</v>
      </c>
      <c r="L120" s="95">
        <f t="shared" si="20"/>
        <v>2.7173913044283567E-2</v>
      </c>
      <c r="M120" s="10"/>
      <c r="N120" s="11"/>
      <c r="O120" s="11"/>
    </row>
    <row r="121" spans="2:15" x14ac:dyDescent="0.25">
      <c r="B121" s="1">
        <f t="shared" si="23"/>
        <v>9.7999999999999812</v>
      </c>
      <c r="C121" s="1">
        <v>0</v>
      </c>
      <c r="D121" s="1">
        <f t="shared" si="17"/>
        <v>0</v>
      </c>
      <c r="E121" s="1">
        <f t="shared" si="24"/>
        <v>0</v>
      </c>
      <c r="F121" s="1">
        <f t="shared" si="22"/>
        <v>0.18</v>
      </c>
      <c r="G121" s="10">
        <f t="shared" si="15"/>
        <v>0.18000000000025862</v>
      </c>
      <c r="H121" s="10">
        <f t="shared" si="18"/>
        <v>-0.18000000000025862</v>
      </c>
      <c r="I121" s="1">
        <f t="shared" si="16"/>
        <v>1.84</v>
      </c>
      <c r="J121">
        <f t="shared" si="19"/>
        <v>-9.7826086956662284E-2</v>
      </c>
      <c r="K121" s="10">
        <f t="shared" si="21"/>
        <v>2.586361680378957E-13</v>
      </c>
      <c r="L121" s="95">
        <f t="shared" si="20"/>
        <v>2.7173913043274427E-2</v>
      </c>
      <c r="M121" s="10"/>
      <c r="N121" s="11"/>
      <c r="O121" s="11"/>
    </row>
    <row r="122" spans="2:15" x14ac:dyDescent="0.25">
      <c r="B122" s="1">
        <f t="shared" si="23"/>
        <v>9.8999999999999808</v>
      </c>
      <c r="C122" s="1">
        <v>0</v>
      </c>
      <c r="D122" s="1">
        <f t="shared" si="17"/>
        <v>0</v>
      </c>
      <c r="E122" s="1">
        <f t="shared" si="24"/>
        <v>0</v>
      </c>
      <c r="F122" s="1">
        <f t="shared" si="22"/>
        <v>0.18</v>
      </c>
      <c r="G122" s="10">
        <f t="shared" si="15"/>
        <v>0.1799999999999311</v>
      </c>
      <c r="H122" s="10">
        <f t="shared" si="18"/>
        <v>-0.1799999999999311</v>
      </c>
      <c r="I122" s="1">
        <f t="shared" si="16"/>
        <v>1.84</v>
      </c>
      <c r="J122">
        <f t="shared" si="19"/>
        <v>-9.7826086956484287E-2</v>
      </c>
      <c r="K122" s="10">
        <f t="shared" si="21"/>
        <v>-6.8899053129456444E-14</v>
      </c>
      <c r="L122" s="95">
        <f t="shared" si="20"/>
        <v>2.7173913043533063E-2</v>
      </c>
      <c r="M122" s="10"/>
      <c r="N122" s="11"/>
      <c r="O122" s="11"/>
    </row>
    <row r="123" spans="2:15" x14ac:dyDescent="0.25">
      <c r="B123" s="1">
        <f t="shared" si="23"/>
        <v>9.9999999999999805</v>
      </c>
      <c r="C123" s="1">
        <v>0</v>
      </c>
      <c r="D123" s="1">
        <f t="shared" si="17"/>
        <v>0</v>
      </c>
      <c r="E123" s="1">
        <f t="shared" si="24"/>
        <v>0</v>
      </c>
      <c r="F123" s="1">
        <f t="shared" si="22"/>
        <v>0.18</v>
      </c>
      <c r="G123" s="10">
        <f t="shared" si="15"/>
        <v>0.18000000000001778</v>
      </c>
      <c r="H123" s="10">
        <f t="shared" si="18"/>
        <v>-0.18000000000001778</v>
      </c>
      <c r="I123" s="1">
        <f t="shared" si="16"/>
        <v>1.84</v>
      </c>
      <c r="J123">
        <f t="shared" si="19"/>
        <v>-9.7826086956531402E-2</v>
      </c>
      <c r="K123" s="10">
        <f t="shared" si="21"/>
        <v>1.7799650642302824E-14</v>
      </c>
      <c r="L123" s="95">
        <f t="shared" si="20"/>
        <v>2.7173913043464164E-2</v>
      </c>
      <c r="M123" s="10"/>
      <c r="N123" s="11"/>
      <c r="O123" s="11"/>
    </row>
    <row r="124" spans="2:15" x14ac:dyDescent="0.25">
      <c r="B124" s="1">
        <f t="shared" si="23"/>
        <v>10.09999999999998</v>
      </c>
      <c r="C124" s="1">
        <v>0</v>
      </c>
      <c r="D124" s="1">
        <f t="shared" si="17"/>
        <v>0</v>
      </c>
      <c r="E124" s="1">
        <f t="shared" si="24"/>
        <v>0</v>
      </c>
      <c r="F124" s="1">
        <f t="shared" si="22"/>
        <v>0.18</v>
      </c>
      <c r="G124" s="10">
        <f t="shared" si="15"/>
        <v>0.17999999999999527</v>
      </c>
      <c r="H124" s="10">
        <f t="shared" si="18"/>
        <v>-0.17999999999999527</v>
      </c>
      <c r="I124" s="1">
        <f t="shared" si="16"/>
        <v>1.84</v>
      </c>
      <c r="J124">
        <f t="shared" si="19"/>
        <v>-9.7826086956519162E-2</v>
      </c>
      <c r="K124" s="10">
        <f t="shared" si="21"/>
        <v>-4.7115089607530081E-15</v>
      </c>
      <c r="L124" s="95">
        <f t="shared" si="20"/>
        <v>2.7173913043481962E-2</v>
      </c>
      <c r="M124" s="10"/>
      <c r="N124" s="11"/>
      <c r="O124" s="11"/>
    </row>
    <row r="125" spans="2:15" x14ac:dyDescent="0.25">
      <c r="B125" s="1">
        <f t="shared" si="23"/>
        <v>10.19999999999998</v>
      </c>
      <c r="C125" s="1">
        <v>0</v>
      </c>
      <c r="D125" s="1">
        <f t="shared" si="17"/>
        <v>0</v>
      </c>
      <c r="E125" s="1">
        <f t="shared" si="24"/>
        <v>0</v>
      </c>
      <c r="F125" s="1">
        <f t="shared" si="22"/>
        <v>0.18</v>
      </c>
      <c r="G125" s="10">
        <f t="shared" si="15"/>
        <v>0.18000000000000121</v>
      </c>
      <c r="H125" s="10">
        <f t="shared" si="18"/>
        <v>-0.18000000000000121</v>
      </c>
      <c r="I125" s="1">
        <f t="shared" si="16"/>
        <v>1.84</v>
      </c>
      <c r="J125">
        <f t="shared" si="19"/>
        <v>-9.7826086956522396E-2</v>
      </c>
      <c r="K125" s="10">
        <f t="shared" si="21"/>
        <v>1.2240208846492351E-15</v>
      </c>
      <c r="L125" s="95">
        <f t="shared" si="20"/>
        <v>2.7173913043477251E-2</v>
      </c>
      <c r="M125" s="10"/>
      <c r="N125" s="11"/>
      <c r="O125" s="11"/>
    </row>
    <row r="126" spans="2:15" x14ac:dyDescent="0.25">
      <c r="B126" s="1">
        <f t="shared" si="23"/>
        <v>10.299999999999979</v>
      </c>
      <c r="C126" s="1">
        <v>0</v>
      </c>
      <c r="D126" s="1">
        <f t="shared" si="17"/>
        <v>0</v>
      </c>
      <c r="E126" s="1">
        <f t="shared" si="24"/>
        <v>0</v>
      </c>
      <c r="F126" s="1">
        <f t="shared" si="22"/>
        <v>0.18</v>
      </c>
      <c r="G126" s="10">
        <f t="shared" si="15"/>
        <v>0.17999999999999966</v>
      </c>
      <c r="H126" s="10">
        <f t="shared" si="18"/>
        <v>-0.17999999999999966</v>
      </c>
      <c r="I126" s="1">
        <f t="shared" si="16"/>
        <v>1.84</v>
      </c>
      <c r="J126">
        <f t="shared" si="19"/>
        <v>-9.7826086956521549E-2</v>
      </c>
      <c r="K126" s="10">
        <f t="shared" si="21"/>
        <v>-3.2335245592207685E-16</v>
      </c>
      <c r="L126" s="95">
        <f t="shared" si="20"/>
        <v>2.7173913043478475E-2</v>
      </c>
      <c r="M126" s="10"/>
      <c r="N126" s="11"/>
      <c r="O126" s="11"/>
    </row>
    <row r="127" spans="2:15" x14ac:dyDescent="0.25">
      <c r="B127" s="1">
        <f t="shared" si="23"/>
        <v>10.399999999999979</v>
      </c>
      <c r="C127" s="1">
        <v>1</v>
      </c>
      <c r="D127" s="1">
        <f t="shared" si="17"/>
        <v>0.98</v>
      </c>
      <c r="E127" s="1">
        <f t="shared" si="24"/>
        <v>0.98</v>
      </c>
      <c r="F127" s="1">
        <f t="shared" si="22"/>
        <v>0.18</v>
      </c>
      <c r="G127" s="10">
        <f t="shared" si="15"/>
        <v>0.18000000000000008</v>
      </c>
      <c r="H127" s="10">
        <f t="shared" si="18"/>
        <v>0.79999999999999993</v>
      </c>
      <c r="I127" s="1">
        <f t="shared" si="16"/>
        <v>1.84</v>
      </c>
      <c r="J127">
        <f t="shared" si="19"/>
        <v>0.43478260869565211</v>
      </c>
      <c r="K127" s="10">
        <f t="shared" si="21"/>
        <v>8.4654505627668194E-17</v>
      </c>
      <c r="L127" s="95">
        <f t="shared" si="20"/>
        <v>2.7173913043478153E-2</v>
      </c>
      <c r="M127" s="10"/>
      <c r="N127" s="11"/>
      <c r="O127" s="11"/>
    </row>
    <row r="128" spans="2:15" x14ac:dyDescent="0.25">
      <c r="B128" s="1">
        <f t="shared" si="23"/>
        <v>10.499999999999979</v>
      </c>
      <c r="C128" s="1">
        <v>1</v>
      </c>
      <c r="D128" s="1">
        <f t="shared" si="17"/>
        <v>0.98</v>
      </c>
      <c r="E128" s="1">
        <f t="shared" si="24"/>
        <v>0.98</v>
      </c>
      <c r="F128" s="1">
        <f t="shared" si="22"/>
        <v>0.18</v>
      </c>
      <c r="G128" s="10">
        <f t="shared" si="15"/>
        <v>0.23326086956521735</v>
      </c>
      <c r="H128" s="10">
        <f t="shared" si="18"/>
        <v>0.74673913043478257</v>
      </c>
      <c r="I128" s="1">
        <f t="shared" si="16"/>
        <v>1.84</v>
      </c>
      <c r="J128">
        <f t="shared" si="19"/>
        <v>0.40583648393194705</v>
      </c>
      <c r="K128" s="10">
        <f t="shared" si="21"/>
        <v>5.3260869565217361E-2</v>
      </c>
      <c r="L128" s="95">
        <f t="shared" si="20"/>
        <v>2.7173913043478236E-2</v>
      </c>
      <c r="M128" s="10"/>
      <c r="N128" s="11"/>
      <c r="O128" s="11"/>
    </row>
    <row r="129" spans="2:15" x14ac:dyDescent="0.25">
      <c r="B129" s="1">
        <f t="shared" si="23"/>
        <v>10.599999999999978</v>
      </c>
      <c r="C129" s="1">
        <v>1</v>
      </c>
      <c r="D129" s="1">
        <f t="shared" si="17"/>
        <v>0.98</v>
      </c>
      <c r="E129" s="1">
        <f t="shared" si="24"/>
        <v>0.98</v>
      </c>
      <c r="F129" s="1">
        <f t="shared" si="22"/>
        <v>0.18</v>
      </c>
      <c r="G129" s="10">
        <f t="shared" si="15"/>
        <v>0.17710538752362948</v>
      </c>
      <c r="H129" s="10">
        <f t="shared" si="18"/>
        <v>0.80289461247637051</v>
      </c>
      <c r="I129" s="1">
        <f t="shared" si="16"/>
        <v>1.84</v>
      </c>
      <c r="J129">
        <f t="shared" si="19"/>
        <v>0.43635576765020134</v>
      </c>
      <c r="K129" s="10">
        <f t="shared" si="21"/>
        <v>-2.8946124763705064E-3</v>
      </c>
      <c r="L129" s="95">
        <f t="shared" si="20"/>
        <v>8.0434782608695604E-2</v>
      </c>
      <c r="M129" s="10"/>
      <c r="N129" s="11"/>
      <c r="O129" s="11"/>
    </row>
    <row r="130" spans="2:15" x14ac:dyDescent="0.25">
      <c r="B130" s="1">
        <f t="shared" si="23"/>
        <v>10.699999999999978</v>
      </c>
      <c r="C130" s="1">
        <v>1</v>
      </c>
      <c r="D130" s="1">
        <f t="shared" si="17"/>
        <v>0.98</v>
      </c>
      <c r="E130" s="1">
        <f t="shared" si="24"/>
        <v>0.98</v>
      </c>
      <c r="F130" s="1">
        <f t="shared" si="22"/>
        <v>0.18</v>
      </c>
      <c r="G130" s="10">
        <f t="shared" si="15"/>
        <v>0.18305192837182543</v>
      </c>
      <c r="H130" s="10">
        <f t="shared" si="18"/>
        <v>0.79694807162817449</v>
      </c>
      <c r="I130" s="1">
        <f t="shared" si="16"/>
        <v>1.84</v>
      </c>
      <c r="J130">
        <f t="shared" si="19"/>
        <v>0.43312395197183395</v>
      </c>
      <c r="K130" s="10">
        <f t="shared" si="21"/>
        <v>3.05192837182543E-3</v>
      </c>
      <c r="L130" s="95">
        <f t="shared" si="20"/>
        <v>7.7540170132325101E-2</v>
      </c>
      <c r="M130" s="10"/>
      <c r="N130" s="11"/>
      <c r="O130" s="11"/>
    </row>
    <row r="131" spans="2:15" x14ac:dyDescent="0.25">
      <c r="B131" s="1">
        <f t="shared" si="23"/>
        <v>10.799999999999978</v>
      </c>
      <c r="C131" s="1">
        <v>1</v>
      </c>
      <c r="D131" s="1">
        <f t="shared" si="17"/>
        <v>0.98</v>
      </c>
      <c r="E131" s="1">
        <f t="shared" si="24"/>
        <v>0.98</v>
      </c>
      <c r="F131" s="1">
        <f t="shared" si="22"/>
        <v>0.18</v>
      </c>
      <c r="G131" s="10">
        <f t="shared" si="15"/>
        <v>0.17967681843216327</v>
      </c>
      <c r="H131" s="10">
        <f t="shared" si="18"/>
        <v>0.80032318156783666</v>
      </c>
      <c r="I131" s="1">
        <f t="shared" si="16"/>
        <v>1.84</v>
      </c>
      <c r="J131">
        <f t="shared" si="19"/>
        <v>0.43495825085208512</v>
      </c>
      <c r="K131" s="10">
        <f t="shared" si="21"/>
        <v>-3.2318156783673891E-4</v>
      </c>
      <c r="L131" s="95">
        <f t="shared" si="20"/>
        <v>8.0592098504150528E-2</v>
      </c>
      <c r="M131" s="10"/>
      <c r="N131" s="11"/>
      <c r="O131" s="11"/>
    </row>
    <row r="132" spans="2:15" x14ac:dyDescent="0.25">
      <c r="B132" s="1">
        <f t="shared" si="23"/>
        <v>10.899999999999977</v>
      </c>
      <c r="C132" s="1">
        <v>1</v>
      </c>
      <c r="D132" s="1">
        <f t="shared" si="17"/>
        <v>0.98</v>
      </c>
      <c r="E132" s="1">
        <f t="shared" si="24"/>
        <v>0.98</v>
      </c>
      <c r="F132" s="1">
        <f t="shared" si="22"/>
        <v>0.18</v>
      </c>
      <c r="G132" s="10">
        <f t="shared" si="15"/>
        <v>0.1801834298880251</v>
      </c>
      <c r="H132" s="10">
        <f t="shared" si="18"/>
        <v>0.79981657011197482</v>
      </c>
      <c r="I132" s="1">
        <f t="shared" si="16"/>
        <v>1.84</v>
      </c>
      <c r="J132">
        <f t="shared" si="19"/>
        <v>0.43468291853911672</v>
      </c>
      <c r="K132" s="10">
        <f t="shared" si="21"/>
        <v>1.8342988802511618E-4</v>
      </c>
      <c r="L132" s="95">
        <f t="shared" si="20"/>
        <v>8.0268916936313786E-2</v>
      </c>
      <c r="M132" s="10"/>
      <c r="N132" s="11"/>
      <c r="O132" s="11"/>
    </row>
    <row r="133" spans="2:15" x14ac:dyDescent="0.25">
      <c r="B133" s="1">
        <f t="shared" si="23"/>
        <v>10.999999999999977</v>
      </c>
      <c r="C133" s="1">
        <v>1</v>
      </c>
      <c r="D133" s="1">
        <f t="shared" si="17"/>
        <v>0.98</v>
      </c>
      <c r="E133" s="1">
        <f t="shared" si="24"/>
        <v>0.98</v>
      </c>
      <c r="F133" s="1">
        <f t="shared" si="22"/>
        <v>0.18</v>
      </c>
      <c r="G133" s="10">
        <f t="shared" si="15"/>
        <v>0.17997246676870315</v>
      </c>
      <c r="H133" s="10">
        <f t="shared" si="18"/>
        <v>0.80002753323129683</v>
      </c>
      <c r="I133" s="1">
        <f t="shared" si="16"/>
        <v>1.84</v>
      </c>
      <c r="J133">
        <f t="shared" si="19"/>
        <v>0.43479757240831346</v>
      </c>
      <c r="K133" s="10">
        <f t="shared" si="21"/>
        <v>-2.7533231296839045E-5</v>
      </c>
      <c r="L133" s="95">
        <f t="shared" si="20"/>
        <v>8.0452346824338897E-2</v>
      </c>
      <c r="M133" s="10"/>
      <c r="N133" s="11"/>
      <c r="O133" s="11"/>
    </row>
    <row r="134" spans="2:15" x14ac:dyDescent="0.25">
      <c r="B134" s="1">
        <f t="shared" si="23"/>
        <v>11.099999999999977</v>
      </c>
      <c r="C134" s="1">
        <v>1</v>
      </c>
      <c r="D134" s="1">
        <f t="shared" si="17"/>
        <v>0.98</v>
      </c>
      <c r="E134" s="1">
        <f t="shared" si="24"/>
        <v>0.98</v>
      </c>
      <c r="F134" s="1">
        <f t="shared" si="22"/>
        <v>0.18</v>
      </c>
      <c r="G134" s="10">
        <f t="shared" si="15"/>
        <v>0.18001146538691967</v>
      </c>
      <c r="H134" s="10">
        <f t="shared" si="18"/>
        <v>0.79998853461308028</v>
      </c>
      <c r="I134" s="1">
        <f t="shared" si="16"/>
        <v>1.84</v>
      </c>
      <c r="J134">
        <f t="shared" si="19"/>
        <v>0.43477637750710885</v>
      </c>
      <c r="K134" s="10">
        <f t="shared" si="21"/>
        <v>1.1465386919673472E-5</v>
      </c>
      <c r="L134" s="95">
        <f t="shared" si="20"/>
        <v>8.0424813593042058E-2</v>
      </c>
      <c r="M134" s="10"/>
      <c r="N134" s="11"/>
      <c r="O134" s="11"/>
    </row>
    <row r="135" spans="2:15" x14ac:dyDescent="0.25">
      <c r="B135" s="1">
        <f t="shared" si="23"/>
        <v>11.199999999999976</v>
      </c>
      <c r="C135" s="1">
        <v>1</v>
      </c>
      <c r="D135" s="1">
        <f t="shared" si="17"/>
        <v>0.98</v>
      </c>
      <c r="E135" s="1">
        <f t="shared" si="24"/>
        <v>0.98</v>
      </c>
      <c r="F135" s="1">
        <f t="shared" si="22"/>
        <v>0.18</v>
      </c>
      <c r="G135" s="10">
        <f t="shared" si="15"/>
        <v>0.17999788050987953</v>
      </c>
      <c r="H135" s="10">
        <f t="shared" si="18"/>
        <v>0.80000211949012046</v>
      </c>
      <c r="I135" s="1">
        <f t="shared" si="16"/>
        <v>1.84</v>
      </c>
      <c r="J135">
        <f t="shared" si="19"/>
        <v>0.43478376059245677</v>
      </c>
      <c r="K135" s="10">
        <f t="shared" si="21"/>
        <v>-2.1194901204613093E-6</v>
      </c>
      <c r="L135" s="95">
        <f t="shared" si="20"/>
        <v>8.0436278979961737E-2</v>
      </c>
      <c r="M135" s="10"/>
      <c r="N135" s="11"/>
      <c r="O135" s="11"/>
    </row>
    <row r="136" spans="2:15" x14ac:dyDescent="0.25">
      <c r="B136" s="1">
        <f t="shared" si="23"/>
        <v>11.299999999999976</v>
      </c>
      <c r="C136" s="1">
        <v>1</v>
      </c>
      <c r="D136" s="1">
        <f t="shared" si="17"/>
        <v>0.98</v>
      </c>
      <c r="E136" s="1">
        <f t="shared" si="24"/>
        <v>0.98</v>
      </c>
      <c r="F136" s="1">
        <f t="shared" si="22"/>
        <v>0.18</v>
      </c>
      <c r="G136" s="10">
        <f t="shared" si="15"/>
        <v>0.18000073830853477</v>
      </c>
      <c r="H136" s="10">
        <f t="shared" si="18"/>
        <v>0.79999926169146518</v>
      </c>
      <c r="I136" s="1">
        <f t="shared" si="16"/>
        <v>1.84</v>
      </c>
      <c r="J136">
        <f t="shared" si="19"/>
        <v>0.43478220744101365</v>
      </c>
      <c r="K136" s="10">
        <f t="shared" si="21"/>
        <v>7.3830853479228691E-7</v>
      </c>
      <c r="L136" s="95">
        <f t="shared" si="20"/>
        <v>8.043415948984127E-2</v>
      </c>
      <c r="M136" s="10"/>
      <c r="N136" s="11"/>
      <c r="O136" s="11"/>
    </row>
    <row r="137" spans="2:15" x14ac:dyDescent="0.25">
      <c r="B137" s="1">
        <f t="shared" si="23"/>
        <v>11.399999999999975</v>
      </c>
      <c r="C137" s="1">
        <v>1</v>
      </c>
      <c r="D137" s="1">
        <f t="shared" si="17"/>
        <v>0.98</v>
      </c>
      <c r="E137" s="1">
        <f t="shared" si="24"/>
        <v>0.98</v>
      </c>
      <c r="F137" s="1">
        <f t="shared" si="22"/>
        <v>0.18</v>
      </c>
      <c r="G137" s="10">
        <f t="shared" si="15"/>
        <v>0.17999984468485569</v>
      </c>
      <c r="H137" s="10">
        <f t="shared" si="18"/>
        <v>0.80000015531514435</v>
      </c>
      <c r="I137" s="1">
        <f t="shared" si="16"/>
        <v>1.84</v>
      </c>
      <c r="J137">
        <f t="shared" si="19"/>
        <v>0.43478269310605672</v>
      </c>
      <c r="K137" s="10">
        <f t="shared" si="21"/>
        <v>-1.5531514431232908E-7</v>
      </c>
      <c r="L137" s="95">
        <f t="shared" si="20"/>
        <v>8.0434897798376065E-2</v>
      </c>
      <c r="M137" s="10"/>
      <c r="N137" s="11"/>
      <c r="O137" s="11"/>
    </row>
    <row r="138" spans="2:15" x14ac:dyDescent="0.25">
      <c r="B138" s="1">
        <f t="shared" si="23"/>
        <v>11.499999999999975</v>
      </c>
      <c r="C138" s="1">
        <v>1</v>
      </c>
      <c r="D138" s="1">
        <f t="shared" si="17"/>
        <v>0.98</v>
      </c>
      <c r="E138" s="1">
        <f t="shared" si="24"/>
        <v>0.98</v>
      </c>
      <c r="F138" s="1">
        <f t="shared" si="22"/>
        <v>0.18</v>
      </c>
      <c r="G138" s="10">
        <f t="shared" si="15"/>
        <v>0.18000004856650431</v>
      </c>
      <c r="H138" s="10">
        <f t="shared" si="18"/>
        <v>0.79999995143349567</v>
      </c>
      <c r="I138" s="1">
        <f t="shared" si="16"/>
        <v>1.84</v>
      </c>
      <c r="J138">
        <f t="shared" si="19"/>
        <v>0.43478258230081285</v>
      </c>
      <c r="K138" s="10">
        <f t="shared" si="21"/>
        <v>4.8566504307068219E-8</v>
      </c>
      <c r="L138" s="95">
        <f t="shared" si="20"/>
        <v>8.043474248323175E-2</v>
      </c>
      <c r="M138" s="10"/>
      <c r="N138" s="11"/>
      <c r="O138" s="11"/>
    </row>
    <row r="139" spans="2:15" x14ac:dyDescent="0.25">
      <c r="B139" s="1">
        <f t="shared" si="23"/>
        <v>11.599999999999975</v>
      </c>
      <c r="C139" s="1">
        <v>1</v>
      </c>
      <c r="D139" s="1">
        <f t="shared" si="17"/>
        <v>0.98</v>
      </c>
      <c r="E139" s="1">
        <f t="shared" si="24"/>
        <v>0.98</v>
      </c>
      <c r="F139" s="1">
        <f t="shared" si="22"/>
        <v>0.18</v>
      </c>
      <c r="G139" s="10">
        <f t="shared" si="15"/>
        <v>0.17999998891947561</v>
      </c>
      <c r="H139" s="10">
        <f t="shared" si="18"/>
        <v>0.80000001108052432</v>
      </c>
      <c r="I139" s="1">
        <f t="shared" si="16"/>
        <v>1.84</v>
      </c>
      <c r="J139">
        <f t="shared" si="19"/>
        <v>0.43478261471767626</v>
      </c>
      <c r="K139" s="10">
        <f t="shared" si="21"/>
        <v>-1.1080524386919421E-8</v>
      </c>
      <c r="L139" s="95">
        <f t="shared" si="20"/>
        <v>8.0434791049736054E-2</v>
      </c>
      <c r="M139" s="10"/>
      <c r="N139" s="11"/>
      <c r="O139" s="11"/>
    </row>
    <row r="140" spans="2:15" x14ac:dyDescent="0.25">
      <c r="B140" s="1">
        <f t="shared" si="23"/>
        <v>11.699999999999974</v>
      </c>
      <c r="C140" s="1">
        <v>0</v>
      </c>
      <c r="D140" s="1">
        <f t="shared" si="17"/>
        <v>0</v>
      </c>
      <c r="E140" s="1">
        <f t="shared" si="24"/>
        <v>0</v>
      </c>
      <c r="F140" s="1">
        <f t="shared" si="22"/>
        <v>0.18</v>
      </c>
      <c r="G140" s="10">
        <f t="shared" si="15"/>
        <v>0.18000000324168633</v>
      </c>
      <c r="H140" s="10">
        <f t="shared" si="18"/>
        <v>-0.18000000324168633</v>
      </c>
      <c r="I140" s="1">
        <f t="shared" si="16"/>
        <v>1.84</v>
      </c>
      <c r="J140">
        <f t="shared" si="19"/>
        <v>-9.782608871830778E-2</v>
      </c>
      <c r="K140" s="10">
        <f t="shared" si="21"/>
        <v>3.2416863415818399E-9</v>
      </c>
      <c r="L140" s="95">
        <f t="shared" si="20"/>
        <v>8.0434779969211667E-2</v>
      </c>
      <c r="M140" s="10"/>
      <c r="N140" s="11"/>
      <c r="O140" s="11"/>
    </row>
    <row r="141" spans="2:15" x14ac:dyDescent="0.25">
      <c r="B141" s="1">
        <f t="shared" si="23"/>
        <v>11.799999999999974</v>
      </c>
      <c r="C141" s="1">
        <v>0</v>
      </c>
      <c r="D141" s="1">
        <f t="shared" si="17"/>
        <v>0</v>
      </c>
      <c r="E141" s="1">
        <f t="shared" si="24"/>
        <v>0</v>
      </c>
      <c r="F141" s="1">
        <f t="shared" si="22"/>
        <v>0.18</v>
      </c>
      <c r="G141" s="10">
        <f t="shared" si="15"/>
        <v>0.12673912965640158</v>
      </c>
      <c r="H141" s="10">
        <f t="shared" si="18"/>
        <v>-0.12673912965640158</v>
      </c>
      <c r="I141" s="1">
        <f t="shared" si="16"/>
        <v>1.84</v>
      </c>
      <c r="J141">
        <f t="shared" si="19"/>
        <v>-6.8879961769783463E-2</v>
      </c>
      <c r="K141" s="10">
        <f t="shared" si="21"/>
        <v>-5.3260870343598415E-2</v>
      </c>
      <c r="L141" s="95">
        <f t="shared" si="20"/>
        <v>8.0434783210898003E-2</v>
      </c>
      <c r="M141" s="10"/>
      <c r="N141" s="11"/>
      <c r="O141" s="11"/>
    </row>
    <row r="142" spans="2:15" x14ac:dyDescent="0.25">
      <c r="B142" s="1">
        <f t="shared" si="23"/>
        <v>11.899999999999974</v>
      </c>
      <c r="C142" s="1">
        <v>0</v>
      </c>
      <c r="D142" s="1">
        <f t="shared" si="17"/>
        <v>0</v>
      </c>
      <c r="E142" s="1">
        <f t="shared" si="24"/>
        <v>0</v>
      </c>
      <c r="F142" s="1">
        <f t="shared" si="22"/>
        <v>0.18</v>
      </c>
      <c r="G142" s="10">
        <f t="shared" si="15"/>
        <v>0.18289461269485244</v>
      </c>
      <c r="H142" s="10">
        <f t="shared" si="18"/>
        <v>-0.18289461269485244</v>
      </c>
      <c r="I142" s="1">
        <f t="shared" si="16"/>
        <v>1.84</v>
      </c>
      <c r="J142">
        <f t="shared" si="19"/>
        <v>-9.9399246029811109E-2</v>
      </c>
      <c r="K142" s="10">
        <f t="shared" si="21"/>
        <v>2.8946126948524321E-3</v>
      </c>
      <c r="L142" s="95">
        <f t="shared" si="20"/>
        <v>2.7173912867299588E-2</v>
      </c>
      <c r="M142" s="10"/>
      <c r="N142" s="11"/>
      <c r="O142" s="11"/>
    </row>
    <row r="143" spans="2:15" x14ac:dyDescent="0.25">
      <c r="B143" s="1">
        <f t="shared" si="23"/>
        <v>11.999999999999973</v>
      </c>
      <c r="C143" s="1">
        <v>0</v>
      </c>
      <c r="D143" s="1">
        <f t="shared" si="17"/>
        <v>0</v>
      </c>
      <c r="E143" s="1">
        <f t="shared" si="24"/>
        <v>0</v>
      </c>
      <c r="F143" s="1">
        <f t="shared" si="22"/>
        <v>0.18</v>
      </c>
      <c r="G143" s="10">
        <f t="shared" si="15"/>
        <v>0.17694807157399722</v>
      </c>
      <c r="H143" s="10">
        <f t="shared" si="18"/>
        <v>-0.17694807157399722</v>
      </c>
      <c r="I143" s="1">
        <f t="shared" si="16"/>
        <v>1.84</v>
      </c>
      <c r="J143">
        <f t="shared" si="19"/>
        <v>-9.6167430203259352E-2</v>
      </c>
      <c r="K143" s="10">
        <f t="shared" si="21"/>
        <v>-3.0519284260027649E-3</v>
      </c>
      <c r="L143" s="95">
        <f t="shared" si="20"/>
        <v>3.0068525562152018E-2</v>
      </c>
      <c r="M143" s="10"/>
      <c r="N143" s="11"/>
      <c r="O143" s="11"/>
    </row>
    <row r="144" spans="2:15" x14ac:dyDescent="0.25">
      <c r="B144" s="1">
        <f t="shared" si="23"/>
        <v>12.099999999999973</v>
      </c>
      <c r="C144" s="1">
        <v>0</v>
      </c>
      <c r="D144" s="1">
        <f t="shared" si="17"/>
        <v>0</v>
      </c>
      <c r="E144" s="1">
        <f t="shared" si="24"/>
        <v>0</v>
      </c>
      <c r="F144" s="1">
        <f t="shared" si="22"/>
        <v>0.18</v>
      </c>
      <c r="G144" s="10">
        <f t="shared" si="15"/>
        <v>0.18032318158265517</v>
      </c>
      <c r="H144" s="10">
        <f t="shared" si="18"/>
        <v>-0.18032318158265517</v>
      </c>
      <c r="I144" s="1">
        <f t="shared" si="16"/>
        <v>1.84</v>
      </c>
      <c r="J144">
        <f t="shared" si="19"/>
        <v>-9.8001729121008241E-2</v>
      </c>
      <c r="K144" s="10">
        <f t="shared" si="21"/>
        <v>3.231815826551757E-4</v>
      </c>
      <c r="L144" s="95">
        <f t="shared" si="20"/>
        <v>2.7016597136149255E-2</v>
      </c>
      <c r="M144" s="10"/>
      <c r="N144" s="11"/>
      <c r="O144" s="11"/>
    </row>
    <row r="145" spans="2:15" x14ac:dyDescent="0.25">
      <c r="B145" s="1">
        <f t="shared" si="23"/>
        <v>12.199999999999973</v>
      </c>
      <c r="C145" s="1">
        <v>0</v>
      </c>
      <c r="D145" s="1">
        <f t="shared" si="17"/>
        <v>0</v>
      </c>
      <c r="E145" s="1">
        <f t="shared" si="24"/>
        <v>0</v>
      </c>
      <c r="F145" s="1">
        <f t="shared" si="22"/>
        <v>0.18</v>
      </c>
      <c r="G145" s="10">
        <f t="shared" si="15"/>
        <v>0.1798165701082251</v>
      </c>
      <c r="H145" s="10">
        <f t="shared" si="18"/>
        <v>-0.1798165701082251</v>
      </c>
      <c r="I145" s="1">
        <f t="shared" si="16"/>
        <v>1.84</v>
      </c>
      <c r="J145">
        <f t="shared" si="19"/>
        <v>-9.7726396797948423E-2</v>
      </c>
      <c r="K145" s="10">
        <f t="shared" si="21"/>
        <v>-1.8342989177488889E-4</v>
      </c>
      <c r="L145" s="95">
        <f t="shared" si="20"/>
        <v>2.7339778718804431E-2</v>
      </c>
      <c r="M145" s="10"/>
      <c r="N145" s="11"/>
      <c r="O145" s="11"/>
    </row>
    <row r="146" spans="2:15" x14ac:dyDescent="0.25">
      <c r="B146" s="1">
        <f t="shared" si="23"/>
        <v>12.299999999999972</v>
      </c>
      <c r="C146" s="1">
        <v>0</v>
      </c>
      <c r="D146" s="1">
        <f t="shared" si="17"/>
        <v>0</v>
      </c>
      <c r="E146" s="1">
        <f t="shared" si="24"/>
        <v>0</v>
      </c>
      <c r="F146" s="1">
        <f t="shared" si="22"/>
        <v>0.18</v>
      </c>
      <c r="G146" s="10">
        <f t="shared" si="15"/>
        <v>0.18002753323230597</v>
      </c>
      <c r="H146" s="10">
        <f t="shared" si="18"/>
        <v>-0.18002753323230597</v>
      </c>
      <c r="I146" s="1">
        <f t="shared" si="16"/>
        <v>1.84</v>
      </c>
      <c r="J146">
        <f t="shared" si="19"/>
        <v>-9.7841050669731505E-2</v>
      </c>
      <c r="K146" s="10">
        <f t="shared" si="21"/>
        <v>2.7533232305981816E-5</v>
      </c>
      <c r="L146" s="95">
        <f t="shared" si="20"/>
        <v>2.7156348827029542E-2</v>
      </c>
      <c r="M146" s="10"/>
      <c r="N146" s="11"/>
      <c r="O146" s="11"/>
    </row>
    <row r="147" spans="2:15" x14ac:dyDescent="0.25">
      <c r="B147" s="1">
        <f t="shared" si="23"/>
        <v>12.399999999999972</v>
      </c>
      <c r="C147" s="1">
        <v>0</v>
      </c>
      <c r="D147" s="1">
        <f t="shared" si="17"/>
        <v>0</v>
      </c>
      <c r="E147" s="1">
        <f t="shared" si="24"/>
        <v>0</v>
      </c>
      <c r="F147" s="1">
        <f t="shared" si="22"/>
        <v>0.18</v>
      </c>
      <c r="G147" s="10">
        <f t="shared" si="15"/>
        <v>0.17998853461282169</v>
      </c>
      <c r="H147" s="10">
        <f t="shared" si="18"/>
        <v>-0.17998853461282169</v>
      </c>
      <c r="I147" s="1">
        <f t="shared" si="16"/>
        <v>1.84</v>
      </c>
      <c r="J147">
        <f t="shared" si="19"/>
        <v>-9.7819855767837874E-2</v>
      </c>
      <c r="K147" s="10">
        <f t="shared" si="21"/>
        <v>-1.1465387178308252E-5</v>
      </c>
      <c r="L147" s="95">
        <f t="shared" si="20"/>
        <v>2.7183882059335526E-2</v>
      </c>
      <c r="M147" s="10"/>
      <c r="N147" s="11"/>
      <c r="O147" s="11"/>
    </row>
    <row r="148" spans="2:15" x14ac:dyDescent="0.25">
      <c r="B148" s="1">
        <f t="shared" si="23"/>
        <v>12.499999999999972</v>
      </c>
      <c r="C148" s="1">
        <v>0</v>
      </c>
      <c r="D148" s="1">
        <f t="shared" si="17"/>
        <v>0</v>
      </c>
      <c r="E148" s="1">
        <f t="shared" si="24"/>
        <v>0</v>
      </c>
      <c r="F148" s="1">
        <f t="shared" si="22"/>
        <v>0.18</v>
      </c>
      <c r="G148" s="10">
        <f t="shared" si="15"/>
        <v>0.18000211949018935</v>
      </c>
      <c r="H148" s="10">
        <f t="shared" si="18"/>
        <v>-0.18000211949018935</v>
      </c>
      <c r="I148" s="1">
        <f t="shared" si="16"/>
        <v>1.84</v>
      </c>
      <c r="J148">
        <f t="shared" si="19"/>
        <v>-9.7827238853363779E-2</v>
      </c>
      <c r="K148" s="10">
        <f t="shared" si="21"/>
        <v>2.1194901893631379E-6</v>
      </c>
      <c r="L148" s="95">
        <f t="shared" si="20"/>
        <v>2.7172416672157217E-2</v>
      </c>
      <c r="M148" s="10"/>
      <c r="N148" s="11"/>
      <c r="O148" s="11"/>
    </row>
    <row r="149" spans="2:15" x14ac:dyDescent="0.25">
      <c r="B149" s="1">
        <f t="shared" si="23"/>
        <v>12.599999999999971</v>
      </c>
      <c r="C149" s="1">
        <v>0</v>
      </c>
      <c r="D149" s="1">
        <f t="shared" si="17"/>
        <v>0</v>
      </c>
      <c r="E149" s="1">
        <f t="shared" si="24"/>
        <v>0</v>
      </c>
      <c r="F149" s="1">
        <f t="shared" si="22"/>
        <v>0.18</v>
      </c>
      <c r="G149" s="10">
        <f t="shared" si="15"/>
        <v>0.17999926169144739</v>
      </c>
      <c r="H149" s="10">
        <f t="shared" si="18"/>
        <v>-0.17999926169144739</v>
      </c>
      <c r="I149" s="1">
        <f t="shared" si="16"/>
        <v>1.84</v>
      </c>
      <c r="J149">
        <f t="shared" si="19"/>
        <v>-9.7825685701873583E-2</v>
      </c>
      <c r="K149" s="10">
        <f t="shared" si="21"/>
        <v>-7.3830855259054977E-7</v>
      </c>
      <c r="L149" s="95">
        <f t="shared" si="20"/>
        <v>2.717453616234658E-2</v>
      </c>
      <c r="M149" s="10"/>
      <c r="N149" s="11"/>
      <c r="O149" s="11"/>
    </row>
    <row r="150" spans="2:15" x14ac:dyDescent="0.25">
      <c r="B150" s="1">
        <f t="shared" si="23"/>
        <v>12.699999999999971</v>
      </c>
      <c r="C150" s="1">
        <v>0</v>
      </c>
      <c r="D150" s="1">
        <f t="shared" si="17"/>
        <v>0</v>
      </c>
      <c r="E150" s="1">
        <f t="shared" si="24"/>
        <v>0</v>
      </c>
      <c r="F150" s="1">
        <f t="shared" si="22"/>
        <v>0.18</v>
      </c>
      <c r="G150" s="10">
        <f t="shared" si="15"/>
        <v>0.18000015531514901</v>
      </c>
      <c r="H150" s="10">
        <f t="shared" si="18"/>
        <v>-0.18000015531514901</v>
      </c>
      <c r="I150" s="1">
        <f t="shared" si="16"/>
        <v>1.84</v>
      </c>
      <c r="J150">
        <f t="shared" si="19"/>
        <v>-9.782617136692881E-2</v>
      </c>
      <c r="K150" s="10">
        <f t="shared" si="21"/>
        <v>1.5531514901967469E-7</v>
      </c>
      <c r="L150" s="95">
        <f t="shared" si="20"/>
        <v>2.717379785379399E-2</v>
      </c>
      <c r="M150" s="10"/>
      <c r="N150" s="11"/>
      <c r="O150" s="11"/>
    </row>
    <row r="151" spans="2:15" x14ac:dyDescent="0.25">
      <c r="B151" s="1">
        <f t="shared" si="23"/>
        <v>12.799999999999971</v>
      </c>
      <c r="C151" s="1">
        <v>0</v>
      </c>
      <c r="D151" s="1">
        <f t="shared" si="17"/>
        <v>0</v>
      </c>
      <c r="E151" s="1">
        <f t="shared" si="24"/>
        <v>0</v>
      </c>
      <c r="F151" s="1">
        <f t="shared" si="22"/>
        <v>0.18</v>
      </c>
      <c r="G151" s="10">
        <f t="shared" ref="G151:G214" si="25">F151+K151</f>
        <v>0.17999995143349448</v>
      </c>
      <c r="H151" s="10">
        <f t="shared" si="18"/>
        <v>-0.17999995143349448</v>
      </c>
      <c r="I151" s="1">
        <f t="shared" ref="I151:I214" si="26">$J$19</f>
        <v>1.84</v>
      </c>
      <c r="J151">
        <f t="shared" si="19"/>
        <v>-9.7826060561681777E-2</v>
      </c>
      <c r="K151" s="10">
        <f t="shared" si="21"/>
        <v>-4.8566505522762429E-8</v>
      </c>
      <c r="L151" s="95">
        <f t="shared" si="20"/>
        <v>2.717395316894301E-2</v>
      </c>
      <c r="M151" s="10"/>
      <c r="N151" s="11"/>
      <c r="O151" s="11"/>
    </row>
    <row r="152" spans="2:15" x14ac:dyDescent="0.25">
      <c r="B152" s="1">
        <f t="shared" si="23"/>
        <v>12.89999999999997</v>
      </c>
      <c r="C152" s="1">
        <v>0</v>
      </c>
      <c r="D152" s="1">
        <f t="shared" ref="D152:D215" si="27">C152*$D$19</f>
        <v>0</v>
      </c>
      <c r="E152" s="1">
        <f t="shared" si="24"/>
        <v>0</v>
      </c>
      <c r="F152" s="1">
        <f t="shared" si="22"/>
        <v>0.18</v>
      </c>
      <c r="G152" s="10">
        <f t="shared" si="25"/>
        <v>0.18000001108052469</v>
      </c>
      <c r="H152" s="10">
        <f t="shared" ref="H152:H215" si="28">E152-G152</f>
        <v>-0.18000001108052469</v>
      </c>
      <c r="I152" s="1">
        <f t="shared" si="26"/>
        <v>1.84</v>
      </c>
      <c r="J152">
        <f t="shared" ref="J152:J215" si="29">H152/I152</f>
        <v>-9.7826092978546025E-2</v>
      </c>
      <c r="K152" s="10">
        <f t="shared" si="21"/>
        <v>1.1080524703332984E-8</v>
      </c>
      <c r="L152" s="95">
        <f t="shared" si="20"/>
        <v>2.7173904602437488E-2</v>
      </c>
      <c r="M152" s="10"/>
      <c r="N152" s="11"/>
      <c r="O152" s="11"/>
    </row>
    <row r="153" spans="2:15" x14ac:dyDescent="0.25">
      <c r="B153" s="1">
        <f t="shared" si="23"/>
        <v>12.99999999999997</v>
      </c>
      <c r="C153" s="1">
        <v>0</v>
      </c>
      <c r="D153" s="1">
        <f t="shared" si="27"/>
        <v>0</v>
      </c>
      <c r="E153" s="1">
        <f t="shared" si="24"/>
        <v>0</v>
      </c>
      <c r="F153" s="1">
        <f t="shared" si="22"/>
        <v>0.18</v>
      </c>
      <c r="G153" s="10">
        <f t="shared" si="25"/>
        <v>0.17999999675831357</v>
      </c>
      <c r="H153" s="10">
        <f t="shared" si="28"/>
        <v>-0.17999999675831357</v>
      </c>
      <c r="I153" s="1">
        <f t="shared" si="26"/>
        <v>1.84</v>
      </c>
      <c r="J153">
        <f t="shared" si="29"/>
        <v>-9.7826085194735637E-2</v>
      </c>
      <c r="K153" s="10">
        <f t="shared" si="21"/>
        <v>-3.2416864248485667E-9</v>
      </c>
      <c r="L153" s="95">
        <f t="shared" ref="L153:L216" si="30">L152+K152</f>
        <v>2.717391568296219E-2</v>
      </c>
      <c r="M153" s="10"/>
      <c r="N153" s="11"/>
      <c r="O153" s="11"/>
    </row>
    <row r="154" spans="2:15" x14ac:dyDescent="0.25">
      <c r="B154" s="1">
        <f t="shared" si="23"/>
        <v>13.099999999999969</v>
      </c>
      <c r="C154" s="1">
        <v>0</v>
      </c>
      <c r="D154" s="1">
        <f t="shared" si="27"/>
        <v>0</v>
      </c>
      <c r="E154" s="1">
        <f t="shared" si="24"/>
        <v>0</v>
      </c>
      <c r="F154" s="1">
        <f t="shared" si="22"/>
        <v>0.18</v>
      </c>
      <c r="G154" s="10">
        <f t="shared" si="25"/>
        <v>0.18000000077838102</v>
      </c>
      <c r="H154" s="10">
        <f t="shared" si="28"/>
        <v>-0.18000000077838102</v>
      </c>
      <c r="I154" s="1">
        <f t="shared" si="26"/>
        <v>1.84</v>
      </c>
      <c r="J154">
        <f t="shared" si="29"/>
        <v>-9.7826087379554894E-2</v>
      </c>
      <c r="K154" s="10">
        <f t="shared" ref="K154:K217" si="31">(J153-J152) * $B$19</f>
        <v>7.7838103879068762E-10</v>
      </c>
      <c r="L154" s="95">
        <f t="shared" si="30"/>
        <v>2.7173912441275764E-2</v>
      </c>
      <c r="M154" s="10"/>
      <c r="N154" s="11"/>
      <c r="O154" s="11"/>
    </row>
    <row r="155" spans="2:15" x14ac:dyDescent="0.25">
      <c r="B155" s="1">
        <f t="shared" si="23"/>
        <v>13.199999999999969</v>
      </c>
      <c r="C155" s="1">
        <v>0</v>
      </c>
      <c r="D155" s="1">
        <f t="shared" si="27"/>
        <v>0</v>
      </c>
      <c r="E155" s="1">
        <f t="shared" si="24"/>
        <v>0</v>
      </c>
      <c r="F155" s="1">
        <f t="shared" si="22"/>
        <v>0.18</v>
      </c>
      <c r="G155" s="10">
        <f t="shared" si="25"/>
        <v>0.17999999978151807</v>
      </c>
      <c r="H155" s="10">
        <f t="shared" si="28"/>
        <v>-0.17999999978151807</v>
      </c>
      <c r="I155" s="1">
        <f t="shared" si="26"/>
        <v>1.84</v>
      </c>
      <c r="J155">
        <f t="shared" si="29"/>
        <v>-9.7826086837781559E-2</v>
      </c>
      <c r="K155" s="10">
        <f t="shared" si="31"/>
        <v>-2.1848192560680602E-10</v>
      </c>
      <c r="L155" s="95">
        <f t="shared" si="30"/>
        <v>2.7173913219656804E-2</v>
      </c>
      <c r="M155" s="10"/>
      <c r="N155" s="11"/>
      <c r="O155" s="11"/>
    </row>
    <row r="156" spans="2:15" x14ac:dyDescent="0.25">
      <c r="B156" s="1">
        <f t="shared" si="23"/>
        <v>13.299999999999969</v>
      </c>
      <c r="C156" s="1">
        <v>0</v>
      </c>
      <c r="D156" s="1">
        <f t="shared" si="27"/>
        <v>0</v>
      </c>
      <c r="E156" s="1">
        <f t="shared" si="24"/>
        <v>0</v>
      </c>
      <c r="F156" s="1">
        <f t="shared" si="22"/>
        <v>0.18</v>
      </c>
      <c r="G156" s="10">
        <f t="shared" si="25"/>
        <v>0.18000000005417732</v>
      </c>
      <c r="H156" s="10">
        <f t="shared" si="28"/>
        <v>-0.18000000005417732</v>
      </c>
      <c r="I156" s="1">
        <f t="shared" si="26"/>
        <v>1.84</v>
      </c>
      <c r="J156">
        <f t="shared" si="29"/>
        <v>-9.7826086985965927E-2</v>
      </c>
      <c r="K156" s="10">
        <f t="shared" si="31"/>
        <v>5.417733345280951E-11</v>
      </c>
      <c r="L156" s="95">
        <f t="shared" si="30"/>
        <v>2.7173913001174877E-2</v>
      </c>
      <c r="M156" s="10"/>
      <c r="N156" s="11"/>
      <c r="O156" s="11"/>
    </row>
    <row r="157" spans="2:15" x14ac:dyDescent="0.25">
      <c r="B157" s="1">
        <f t="shared" si="23"/>
        <v>13.399999999999968</v>
      </c>
      <c r="C157" s="1">
        <v>0</v>
      </c>
      <c r="D157" s="1">
        <f t="shared" si="27"/>
        <v>0</v>
      </c>
      <c r="E157" s="1">
        <f t="shared" si="24"/>
        <v>0</v>
      </c>
      <c r="F157" s="1">
        <f t="shared" si="22"/>
        <v>0.18</v>
      </c>
      <c r="G157" s="10">
        <f t="shared" si="25"/>
        <v>0.17999999998518157</v>
      </c>
      <c r="H157" s="10">
        <f t="shared" si="28"/>
        <v>-0.17999999998518157</v>
      </c>
      <c r="I157" s="1">
        <f t="shared" si="26"/>
        <v>1.84</v>
      </c>
      <c r="J157">
        <f t="shared" si="29"/>
        <v>-9.7826086948468241E-2</v>
      </c>
      <c r="K157" s="10">
        <f t="shared" si="31"/>
        <v>-1.481843675543715E-11</v>
      </c>
      <c r="L157" s="95">
        <f t="shared" si="30"/>
        <v>2.717391305535221E-2</v>
      </c>
      <c r="M157" s="10"/>
      <c r="N157" s="11"/>
      <c r="O157" s="11"/>
    </row>
    <row r="158" spans="2:15" x14ac:dyDescent="0.25">
      <c r="B158" s="1">
        <f t="shared" si="23"/>
        <v>13.499999999999968</v>
      </c>
      <c r="C158" s="1">
        <v>0</v>
      </c>
      <c r="D158" s="1">
        <f t="shared" si="27"/>
        <v>0</v>
      </c>
      <c r="E158" s="1">
        <f t="shared" si="24"/>
        <v>0</v>
      </c>
      <c r="F158" s="1">
        <f t="shared" si="22"/>
        <v>0.18</v>
      </c>
      <c r="G158" s="10">
        <f t="shared" si="25"/>
        <v>0.18000000000374977</v>
      </c>
      <c r="H158" s="10">
        <f t="shared" si="28"/>
        <v>-0.18000000000374977</v>
      </c>
      <c r="I158" s="1">
        <f t="shared" si="26"/>
        <v>1.84</v>
      </c>
      <c r="J158">
        <f t="shared" si="29"/>
        <v>-9.7826086958559655E-2</v>
      </c>
      <c r="K158" s="10">
        <f t="shared" si="31"/>
        <v>3.7497685512200006E-12</v>
      </c>
      <c r="L158" s="95">
        <f t="shared" si="30"/>
        <v>2.7173913040533772E-2</v>
      </c>
      <c r="M158" s="10"/>
      <c r="N158" s="11"/>
      <c r="O158" s="11"/>
    </row>
    <row r="159" spans="2:15" x14ac:dyDescent="0.25">
      <c r="B159" s="1">
        <f t="shared" si="23"/>
        <v>13.599999999999968</v>
      </c>
      <c r="C159" s="1">
        <v>0</v>
      </c>
      <c r="D159" s="1">
        <f t="shared" si="27"/>
        <v>0</v>
      </c>
      <c r="E159" s="1">
        <f t="shared" si="24"/>
        <v>0</v>
      </c>
      <c r="F159" s="1">
        <f t="shared" si="22"/>
        <v>0.18</v>
      </c>
      <c r="G159" s="10">
        <f t="shared" si="25"/>
        <v>0.17999999999899086</v>
      </c>
      <c r="H159" s="10">
        <f t="shared" si="28"/>
        <v>-0.17999999999899086</v>
      </c>
      <c r="I159" s="1">
        <f t="shared" si="26"/>
        <v>1.84</v>
      </c>
      <c r="J159">
        <f t="shared" si="29"/>
        <v>-9.7826086955973293E-2</v>
      </c>
      <c r="K159" s="10">
        <f t="shared" si="31"/>
        <v>-1.0091413815693784E-12</v>
      </c>
      <c r="L159" s="95">
        <f t="shared" si="30"/>
        <v>2.717391304428354E-2</v>
      </c>
      <c r="M159" s="10"/>
      <c r="N159" s="11"/>
      <c r="O159" s="11"/>
    </row>
    <row r="160" spans="2:15" x14ac:dyDescent="0.25">
      <c r="B160" s="1">
        <f t="shared" si="23"/>
        <v>13.699999999999967</v>
      </c>
      <c r="C160" s="1">
        <v>0</v>
      </c>
      <c r="D160" s="1">
        <f t="shared" si="27"/>
        <v>0</v>
      </c>
      <c r="E160" s="1">
        <f t="shared" si="24"/>
        <v>0</v>
      </c>
      <c r="F160" s="1">
        <f t="shared" si="22"/>
        <v>0.18</v>
      </c>
      <c r="G160" s="10">
        <f t="shared" si="25"/>
        <v>0.18000000000025862</v>
      </c>
      <c r="H160" s="10">
        <f t="shared" si="28"/>
        <v>-0.18000000000025862</v>
      </c>
      <c r="I160" s="1">
        <f t="shared" si="26"/>
        <v>1.84</v>
      </c>
      <c r="J160">
        <f t="shared" si="29"/>
        <v>-9.7826086956662284E-2</v>
      </c>
      <c r="K160" s="10">
        <f t="shared" si="31"/>
        <v>2.586361680378957E-13</v>
      </c>
      <c r="L160" s="95">
        <f t="shared" si="30"/>
        <v>2.7173913043274399E-2</v>
      </c>
      <c r="M160" s="10"/>
      <c r="N160" s="11"/>
      <c r="O160" s="11"/>
    </row>
    <row r="161" spans="2:15" x14ac:dyDescent="0.25">
      <c r="B161" s="1">
        <f t="shared" si="23"/>
        <v>13.799999999999967</v>
      </c>
      <c r="C161" s="1">
        <v>0</v>
      </c>
      <c r="D161" s="1">
        <f t="shared" si="27"/>
        <v>0</v>
      </c>
      <c r="E161" s="1">
        <f t="shared" si="24"/>
        <v>0</v>
      </c>
      <c r="F161" s="1">
        <f t="shared" ref="F161:F224" si="32">$F$19</f>
        <v>0.18</v>
      </c>
      <c r="G161" s="10">
        <f t="shared" si="25"/>
        <v>0.1799999999999311</v>
      </c>
      <c r="H161" s="10">
        <f t="shared" si="28"/>
        <v>-0.1799999999999311</v>
      </c>
      <c r="I161" s="1">
        <f t="shared" si="26"/>
        <v>1.84</v>
      </c>
      <c r="J161">
        <f t="shared" si="29"/>
        <v>-9.7826086956484287E-2</v>
      </c>
      <c r="K161" s="10">
        <f t="shared" si="31"/>
        <v>-6.8899053129456444E-14</v>
      </c>
      <c r="L161" s="95">
        <f t="shared" si="30"/>
        <v>2.7173913043533036E-2</v>
      </c>
      <c r="M161" s="10"/>
      <c r="N161" s="11"/>
      <c r="O161" s="11"/>
    </row>
    <row r="162" spans="2:15" x14ac:dyDescent="0.25">
      <c r="B162" s="1">
        <f t="shared" si="23"/>
        <v>13.899999999999967</v>
      </c>
      <c r="C162" s="1">
        <v>0</v>
      </c>
      <c r="D162" s="1">
        <f t="shared" si="27"/>
        <v>0</v>
      </c>
      <c r="E162" s="1">
        <f t="shared" si="24"/>
        <v>0</v>
      </c>
      <c r="F162" s="1">
        <f t="shared" si="32"/>
        <v>0.18</v>
      </c>
      <c r="G162" s="10">
        <f t="shared" si="25"/>
        <v>0.18000000000001778</v>
      </c>
      <c r="H162" s="10">
        <f t="shared" si="28"/>
        <v>-0.18000000000001778</v>
      </c>
      <c r="I162" s="1">
        <f t="shared" si="26"/>
        <v>1.84</v>
      </c>
      <c r="J162">
        <f t="shared" si="29"/>
        <v>-9.7826086956531402E-2</v>
      </c>
      <c r="K162" s="10">
        <f t="shared" si="31"/>
        <v>1.7799650642302824E-14</v>
      </c>
      <c r="L162" s="95">
        <f t="shared" si="30"/>
        <v>2.7173913043464136E-2</v>
      </c>
      <c r="M162" s="10"/>
      <c r="N162" s="11"/>
      <c r="O162" s="11"/>
    </row>
    <row r="163" spans="2:15" x14ac:dyDescent="0.25">
      <c r="B163" s="1">
        <f t="shared" si="23"/>
        <v>13.999999999999966</v>
      </c>
      <c r="C163" s="1">
        <v>0</v>
      </c>
      <c r="D163" s="1">
        <f t="shared" si="27"/>
        <v>0</v>
      </c>
      <c r="E163" s="1">
        <f t="shared" si="24"/>
        <v>0</v>
      </c>
      <c r="F163" s="1">
        <f t="shared" si="32"/>
        <v>0.18</v>
      </c>
      <c r="G163" s="10">
        <f t="shared" si="25"/>
        <v>0.17999999999999527</v>
      </c>
      <c r="H163" s="10">
        <f t="shared" si="28"/>
        <v>-0.17999999999999527</v>
      </c>
      <c r="I163" s="1">
        <f t="shared" si="26"/>
        <v>1.84</v>
      </c>
      <c r="J163">
        <f t="shared" si="29"/>
        <v>-9.7826086956519162E-2</v>
      </c>
      <c r="K163" s="10">
        <f t="shared" si="31"/>
        <v>-4.7115089607530081E-15</v>
      </c>
      <c r="L163" s="95">
        <f t="shared" si="30"/>
        <v>2.7173913043481934E-2</v>
      </c>
      <c r="M163" s="10"/>
      <c r="N163" s="11"/>
      <c r="O163" s="11"/>
    </row>
    <row r="164" spans="2:15" x14ac:dyDescent="0.25">
      <c r="B164" s="1">
        <f t="shared" si="23"/>
        <v>14.099999999999966</v>
      </c>
      <c r="C164" s="1">
        <v>0</v>
      </c>
      <c r="D164" s="1">
        <f t="shared" si="27"/>
        <v>0</v>
      </c>
      <c r="E164" s="1">
        <f t="shared" si="24"/>
        <v>0</v>
      </c>
      <c r="F164" s="1">
        <f t="shared" si="32"/>
        <v>0.18</v>
      </c>
      <c r="G164" s="10">
        <f t="shared" si="25"/>
        <v>0.18000000000000121</v>
      </c>
      <c r="H164" s="10">
        <f t="shared" si="28"/>
        <v>-0.18000000000000121</v>
      </c>
      <c r="I164" s="1">
        <f t="shared" si="26"/>
        <v>1.84</v>
      </c>
      <c r="J164">
        <f t="shared" si="29"/>
        <v>-9.7826086956522396E-2</v>
      </c>
      <c r="K164" s="10">
        <f t="shared" si="31"/>
        <v>1.2240208846492351E-15</v>
      </c>
      <c r="L164" s="95">
        <f t="shared" si="30"/>
        <v>2.7173913043477223E-2</v>
      </c>
      <c r="M164" s="10"/>
      <c r="N164" s="11"/>
      <c r="O164" s="11"/>
    </row>
    <row r="165" spans="2:15" x14ac:dyDescent="0.25">
      <c r="B165" s="1">
        <f t="shared" si="23"/>
        <v>14.199999999999966</v>
      </c>
      <c r="C165" s="1">
        <v>0</v>
      </c>
      <c r="D165" s="1">
        <f t="shared" si="27"/>
        <v>0</v>
      </c>
      <c r="E165" s="1">
        <f t="shared" si="24"/>
        <v>0</v>
      </c>
      <c r="F165" s="1">
        <f t="shared" si="32"/>
        <v>0.18</v>
      </c>
      <c r="G165" s="10">
        <f t="shared" si="25"/>
        <v>0.17999999999999966</v>
      </c>
      <c r="H165" s="10">
        <f t="shared" si="28"/>
        <v>-0.17999999999999966</v>
      </c>
      <c r="I165" s="1">
        <f t="shared" si="26"/>
        <v>1.84</v>
      </c>
      <c r="J165">
        <f t="shared" si="29"/>
        <v>-9.7826086956521549E-2</v>
      </c>
      <c r="K165" s="10">
        <f t="shared" si="31"/>
        <v>-3.2335245592207685E-16</v>
      </c>
      <c r="L165" s="95">
        <f t="shared" si="30"/>
        <v>2.7173913043478447E-2</v>
      </c>
      <c r="M165" s="10"/>
      <c r="N165" s="11"/>
      <c r="O165" s="11"/>
    </row>
    <row r="166" spans="2:15" x14ac:dyDescent="0.25">
      <c r="B166" s="1">
        <f t="shared" si="23"/>
        <v>14.299999999999965</v>
      </c>
      <c r="C166" s="1">
        <v>1</v>
      </c>
      <c r="D166" s="1">
        <f t="shared" si="27"/>
        <v>0.98</v>
      </c>
      <c r="E166" s="1">
        <f t="shared" si="24"/>
        <v>0.98</v>
      </c>
      <c r="F166" s="1">
        <f t="shared" si="32"/>
        <v>0.18</v>
      </c>
      <c r="G166" s="10">
        <f t="shared" si="25"/>
        <v>0.18000000000000008</v>
      </c>
      <c r="H166" s="10">
        <f t="shared" si="28"/>
        <v>0.79999999999999993</v>
      </c>
      <c r="I166" s="1">
        <f t="shared" si="26"/>
        <v>1.84</v>
      </c>
      <c r="J166">
        <f t="shared" si="29"/>
        <v>0.43478260869565211</v>
      </c>
      <c r="K166" s="10">
        <f t="shared" si="31"/>
        <v>8.4654505627668194E-17</v>
      </c>
      <c r="L166" s="95">
        <f t="shared" si="30"/>
        <v>2.7173913043478125E-2</v>
      </c>
      <c r="M166" s="10"/>
      <c r="N166" s="11"/>
      <c r="O166" s="11"/>
    </row>
    <row r="167" spans="2:15" x14ac:dyDescent="0.25">
      <c r="B167" s="1">
        <f t="shared" si="23"/>
        <v>14.399999999999965</v>
      </c>
      <c r="C167" s="1">
        <v>1</v>
      </c>
      <c r="D167" s="1">
        <f t="shared" si="27"/>
        <v>0.98</v>
      </c>
      <c r="E167" s="1">
        <f t="shared" si="24"/>
        <v>0.98</v>
      </c>
      <c r="F167" s="1">
        <f t="shared" si="32"/>
        <v>0.18</v>
      </c>
      <c r="G167" s="10">
        <f t="shared" si="25"/>
        <v>0.23326086956521735</v>
      </c>
      <c r="H167" s="10">
        <f t="shared" si="28"/>
        <v>0.74673913043478257</v>
      </c>
      <c r="I167" s="1">
        <f t="shared" si="26"/>
        <v>1.84</v>
      </c>
      <c r="J167">
        <f t="shared" si="29"/>
        <v>0.40583648393194705</v>
      </c>
      <c r="K167" s="10">
        <f t="shared" si="31"/>
        <v>5.3260869565217361E-2</v>
      </c>
      <c r="L167" s="95">
        <f t="shared" si="30"/>
        <v>2.7173913043478208E-2</v>
      </c>
      <c r="M167" s="10"/>
      <c r="N167" s="11"/>
      <c r="O167" s="11"/>
    </row>
    <row r="168" spans="2:15" x14ac:dyDescent="0.25">
      <c r="B168" s="1">
        <f t="shared" si="23"/>
        <v>14.499999999999964</v>
      </c>
      <c r="C168" s="1">
        <v>1</v>
      </c>
      <c r="D168" s="1">
        <f t="shared" si="27"/>
        <v>0.98</v>
      </c>
      <c r="E168" s="1">
        <f t="shared" si="24"/>
        <v>0.98</v>
      </c>
      <c r="F168" s="1">
        <f t="shared" si="32"/>
        <v>0.18</v>
      </c>
      <c r="G168" s="10">
        <f t="shared" si="25"/>
        <v>0.17710538752362948</v>
      </c>
      <c r="H168" s="10">
        <f t="shared" si="28"/>
        <v>0.80289461247637051</v>
      </c>
      <c r="I168" s="1">
        <f t="shared" si="26"/>
        <v>1.84</v>
      </c>
      <c r="J168">
        <f t="shared" si="29"/>
        <v>0.43635576765020134</v>
      </c>
      <c r="K168" s="10">
        <f t="shared" si="31"/>
        <v>-2.8946124763705064E-3</v>
      </c>
      <c r="L168" s="95">
        <f t="shared" si="30"/>
        <v>8.0434782608695576E-2</v>
      </c>
      <c r="M168" s="10"/>
      <c r="N168" s="11"/>
      <c r="O168" s="11"/>
    </row>
    <row r="169" spans="2:15" x14ac:dyDescent="0.25">
      <c r="B169" s="1">
        <f t="shared" si="23"/>
        <v>14.599999999999964</v>
      </c>
      <c r="C169" s="1">
        <v>1</v>
      </c>
      <c r="D169" s="1">
        <f t="shared" si="27"/>
        <v>0.98</v>
      </c>
      <c r="E169" s="1">
        <f t="shared" si="24"/>
        <v>0.98</v>
      </c>
      <c r="F169" s="1">
        <f t="shared" si="32"/>
        <v>0.18</v>
      </c>
      <c r="G169" s="10">
        <f t="shared" si="25"/>
        <v>0.18305192837182543</v>
      </c>
      <c r="H169" s="10">
        <f t="shared" si="28"/>
        <v>0.79694807162817449</v>
      </c>
      <c r="I169" s="1">
        <f t="shared" si="26"/>
        <v>1.84</v>
      </c>
      <c r="J169">
        <f t="shared" si="29"/>
        <v>0.43312395197183395</v>
      </c>
      <c r="K169" s="10">
        <f t="shared" si="31"/>
        <v>3.05192837182543E-3</v>
      </c>
      <c r="L169" s="95">
        <f t="shared" si="30"/>
        <v>7.7540170132325073E-2</v>
      </c>
      <c r="M169" s="10"/>
      <c r="N169" s="11"/>
      <c r="O169" s="11"/>
    </row>
    <row r="170" spans="2:15" x14ac:dyDescent="0.25">
      <c r="B170" s="1">
        <f t="shared" si="23"/>
        <v>14.699999999999964</v>
      </c>
      <c r="C170" s="1">
        <v>1</v>
      </c>
      <c r="D170" s="1">
        <f t="shared" si="27"/>
        <v>0.98</v>
      </c>
      <c r="E170" s="1">
        <f t="shared" si="24"/>
        <v>0.98</v>
      </c>
      <c r="F170" s="1">
        <f t="shared" si="32"/>
        <v>0.18</v>
      </c>
      <c r="G170" s="10">
        <f t="shared" si="25"/>
        <v>0.17967681843216327</v>
      </c>
      <c r="H170" s="10">
        <f t="shared" si="28"/>
        <v>0.80032318156783666</v>
      </c>
      <c r="I170" s="1">
        <f t="shared" si="26"/>
        <v>1.84</v>
      </c>
      <c r="J170">
        <f t="shared" si="29"/>
        <v>0.43495825085208512</v>
      </c>
      <c r="K170" s="10">
        <f t="shared" si="31"/>
        <v>-3.2318156783673891E-4</v>
      </c>
      <c r="L170" s="95">
        <f t="shared" si="30"/>
        <v>8.05920985041505E-2</v>
      </c>
      <c r="M170" s="10"/>
      <c r="N170" s="11"/>
      <c r="O170" s="11"/>
    </row>
    <row r="171" spans="2:15" x14ac:dyDescent="0.25">
      <c r="B171" s="1">
        <f t="shared" si="23"/>
        <v>14.799999999999963</v>
      </c>
      <c r="C171" s="1">
        <v>1</v>
      </c>
      <c r="D171" s="1">
        <f t="shared" si="27"/>
        <v>0.98</v>
      </c>
      <c r="E171" s="1">
        <f t="shared" si="24"/>
        <v>0.98</v>
      </c>
      <c r="F171" s="1">
        <f t="shared" si="32"/>
        <v>0.18</v>
      </c>
      <c r="G171" s="10">
        <f t="shared" si="25"/>
        <v>0.1801834298880251</v>
      </c>
      <c r="H171" s="10">
        <f t="shared" si="28"/>
        <v>0.79981657011197482</v>
      </c>
      <c r="I171" s="1">
        <f t="shared" si="26"/>
        <v>1.84</v>
      </c>
      <c r="J171">
        <f t="shared" si="29"/>
        <v>0.43468291853911672</v>
      </c>
      <c r="K171" s="10">
        <f t="shared" si="31"/>
        <v>1.8342988802511618E-4</v>
      </c>
      <c r="L171" s="95">
        <f t="shared" si="30"/>
        <v>8.0268916936313758E-2</v>
      </c>
      <c r="M171" s="10"/>
      <c r="N171" s="11"/>
      <c r="O171" s="11"/>
    </row>
    <row r="172" spans="2:15" x14ac:dyDescent="0.25">
      <c r="B172" s="1">
        <f t="shared" si="23"/>
        <v>14.899999999999963</v>
      </c>
      <c r="C172" s="1">
        <v>1</v>
      </c>
      <c r="D172" s="1">
        <f t="shared" si="27"/>
        <v>0.98</v>
      </c>
      <c r="E172" s="1">
        <f t="shared" si="24"/>
        <v>0.98</v>
      </c>
      <c r="F172" s="1">
        <f t="shared" si="32"/>
        <v>0.18</v>
      </c>
      <c r="G172" s="10">
        <f t="shared" si="25"/>
        <v>0.17997246676870315</v>
      </c>
      <c r="H172" s="10">
        <f t="shared" si="28"/>
        <v>0.80002753323129683</v>
      </c>
      <c r="I172" s="1">
        <f t="shared" si="26"/>
        <v>1.84</v>
      </c>
      <c r="J172">
        <f t="shared" si="29"/>
        <v>0.43479757240831346</v>
      </c>
      <c r="K172" s="10">
        <f t="shared" si="31"/>
        <v>-2.7533231296839045E-5</v>
      </c>
      <c r="L172" s="95">
        <f t="shared" si="30"/>
        <v>8.0452346824338869E-2</v>
      </c>
      <c r="M172" s="10"/>
      <c r="N172" s="11"/>
      <c r="O172" s="11"/>
    </row>
    <row r="173" spans="2:15" x14ac:dyDescent="0.25">
      <c r="B173" s="1">
        <f t="shared" si="23"/>
        <v>14.999999999999963</v>
      </c>
      <c r="C173" s="1">
        <v>1</v>
      </c>
      <c r="D173" s="1">
        <f t="shared" si="27"/>
        <v>0.98</v>
      </c>
      <c r="E173" s="1">
        <f t="shared" si="24"/>
        <v>0.98</v>
      </c>
      <c r="F173" s="1">
        <f t="shared" si="32"/>
        <v>0.18</v>
      </c>
      <c r="G173" s="10">
        <f t="shared" si="25"/>
        <v>0.18001146538691967</v>
      </c>
      <c r="H173" s="10">
        <f t="shared" si="28"/>
        <v>0.79998853461308028</v>
      </c>
      <c r="I173" s="1">
        <f t="shared" si="26"/>
        <v>1.84</v>
      </c>
      <c r="J173">
        <f t="shared" si="29"/>
        <v>0.43477637750710885</v>
      </c>
      <c r="K173" s="10">
        <f t="shared" si="31"/>
        <v>1.1465386919673472E-5</v>
      </c>
      <c r="L173" s="95">
        <f t="shared" si="30"/>
        <v>8.042481359304203E-2</v>
      </c>
      <c r="M173" s="10"/>
      <c r="N173" s="11"/>
      <c r="O173" s="11"/>
    </row>
    <row r="174" spans="2:15" x14ac:dyDescent="0.25">
      <c r="B174" s="1">
        <f t="shared" si="23"/>
        <v>15.099999999999962</v>
      </c>
      <c r="C174" s="1">
        <v>1</v>
      </c>
      <c r="D174" s="1">
        <f t="shared" si="27"/>
        <v>0.98</v>
      </c>
      <c r="E174" s="1">
        <f t="shared" si="24"/>
        <v>0.98</v>
      </c>
      <c r="F174" s="1">
        <f t="shared" si="32"/>
        <v>0.18</v>
      </c>
      <c r="G174" s="10">
        <f t="shared" si="25"/>
        <v>0.17999788050987953</v>
      </c>
      <c r="H174" s="10">
        <f t="shared" si="28"/>
        <v>0.80000211949012046</v>
      </c>
      <c r="I174" s="1">
        <f t="shared" si="26"/>
        <v>1.84</v>
      </c>
      <c r="J174">
        <f t="shared" si="29"/>
        <v>0.43478376059245677</v>
      </c>
      <c r="K174" s="10">
        <f t="shared" si="31"/>
        <v>-2.1194901204613093E-6</v>
      </c>
      <c r="L174" s="95">
        <f t="shared" si="30"/>
        <v>8.0436278979961709E-2</v>
      </c>
      <c r="M174" s="10"/>
      <c r="N174" s="11"/>
      <c r="O174" s="11"/>
    </row>
    <row r="175" spans="2:15" x14ac:dyDescent="0.25">
      <c r="B175" s="1">
        <f t="shared" si="23"/>
        <v>15.199999999999962</v>
      </c>
      <c r="C175" s="1">
        <v>1</v>
      </c>
      <c r="D175" s="1">
        <f t="shared" si="27"/>
        <v>0.98</v>
      </c>
      <c r="E175" s="1">
        <f t="shared" si="24"/>
        <v>0.98</v>
      </c>
      <c r="F175" s="1">
        <f t="shared" si="32"/>
        <v>0.18</v>
      </c>
      <c r="G175" s="10">
        <f t="shared" si="25"/>
        <v>0.18000073830853477</v>
      </c>
      <c r="H175" s="10">
        <f t="shared" si="28"/>
        <v>0.79999926169146518</v>
      </c>
      <c r="I175" s="1">
        <f t="shared" si="26"/>
        <v>1.84</v>
      </c>
      <c r="J175">
        <f t="shared" si="29"/>
        <v>0.43478220744101365</v>
      </c>
      <c r="K175" s="10">
        <f t="shared" si="31"/>
        <v>7.3830853479228691E-7</v>
      </c>
      <c r="L175" s="95">
        <f t="shared" si="30"/>
        <v>8.0434159489841242E-2</v>
      </c>
      <c r="M175" s="10"/>
      <c r="N175" s="11"/>
      <c r="O175" s="11"/>
    </row>
    <row r="176" spans="2:15" x14ac:dyDescent="0.25">
      <c r="B176" s="1">
        <f t="shared" si="23"/>
        <v>15.299999999999962</v>
      </c>
      <c r="C176" s="1">
        <v>1</v>
      </c>
      <c r="D176" s="1">
        <f t="shared" si="27"/>
        <v>0.98</v>
      </c>
      <c r="E176" s="1">
        <f t="shared" si="24"/>
        <v>0.98</v>
      </c>
      <c r="F176" s="1">
        <f t="shared" si="32"/>
        <v>0.18</v>
      </c>
      <c r="G176" s="10">
        <f t="shared" si="25"/>
        <v>0.17999984468485569</v>
      </c>
      <c r="H176" s="10">
        <f t="shared" si="28"/>
        <v>0.80000015531514435</v>
      </c>
      <c r="I176" s="1">
        <f t="shared" si="26"/>
        <v>1.84</v>
      </c>
      <c r="J176">
        <f t="shared" si="29"/>
        <v>0.43478269310605672</v>
      </c>
      <c r="K176" s="10">
        <f t="shared" si="31"/>
        <v>-1.5531514431232908E-7</v>
      </c>
      <c r="L176" s="95">
        <f t="shared" si="30"/>
        <v>8.0434897798376037E-2</v>
      </c>
      <c r="M176" s="10"/>
      <c r="N176" s="11"/>
      <c r="O176" s="11"/>
    </row>
    <row r="177" spans="2:15" x14ac:dyDescent="0.25">
      <c r="B177" s="1">
        <f t="shared" si="23"/>
        <v>15.399999999999961</v>
      </c>
      <c r="C177" s="1">
        <v>1</v>
      </c>
      <c r="D177" s="1">
        <f t="shared" si="27"/>
        <v>0.98</v>
      </c>
      <c r="E177" s="1">
        <f t="shared" si="24"/>
        <v>0.98</v>
      </c>
      <c r="F177" s="1">
        <f t="shared" si="32"/>
        <v>0.18</v>
      </c>
      <c r="G177" s="10">
        <f t="shared" si="25"/>
        <v>0.18000004856650431</v>
      </c>
      <c r="H177" s="10">
        <f t="shared" si="28"/>
        <v>0.79999995143349567</v>
      </c>
      <c r="I177" s="1">
        <f t="shared" si="26"/>
        <v>1.84</v>
      </c>
      <c r="J177">
        <f t="shared" si="29"/>
        <v>0.43478258230081285</v>
      </c>
      <c r="K177" s="10">
        <f t="shared" si="31"/>
        <v>4.8566504307068219E-8</v>
      </c>
      <c r="L177" s="95">
        <f t="shared" si="30"/>
        <v>8.0434742483231722E-2</v>
      </c>
      <c r="M177" s="10"/>
      <c r="N177" s="11"/>
      <c r="O177" s="11"/>
    </row>
    <row r="178" spans="2:15" x14ac:dyDescent="0.25">
      <c r="B178" s="1">
        <f t="shared" si="23"/>
        <v>15.499999999999961</v>
      </c>
      <c r="C178" s="1">
        <v>1</v>
      </c>
      <c r="D178" s="1">
        <f t="shared" si="27"/>
        <v>0.98</v>
      </c>
      <c r="E178" s="1">
        <f t="shared" si="24"/>
        <v>0.98</v>
      </c>
      <c r="F178" s="1">
        <f t="shared" si="32"/>
        <v>0.18</v>
      </c>
      <c r="G178" s="10">
        <f t="shared" si="25"/>
        <v>0.17999998891947561</v>
      </c>
      <c r="H178" s="10">
        <f t="shared" si="28"/>
        <v>0.80000001108052432</v>
      </c>
      <c r="I178" s="1">
        <f t="shared" si="26"/>
        <v>1.84</v>
      </c>
      <c r="J178">
        <f t="shared" si="29"/>
        <v>0.43478261471767626</v>
      </c>
      <c r="K178" s="10">
        <f t="shared" si="31"/>
        <v>-1.1080524386919421E-8</v>
      </c>
      <c r="L178" s="95">
        <f t="shared" si="30"/>
        <v>8.0434791049736026E-2</v>
      </c>
      <c r="M178" s="10"/>
      <c r="N178" s="11"/>
      <c r="O178" s="11"/>
    </row>
    <row r="179" spans="2:15" x14ac:dyDescent="0.25">
      <c r="B179" s="1">
        <f t="shared" si="23"/>
        <v>15.599999999999961</v>
      </c>
      <c r="C179" s="1">
        <v>0</v>
      </c>
      <c r="D179" s="1">
        <f t="shared" si="27"/>
        <v>0</v>
      </c>
      <c r="E179" s="1">
        <f t="shared" si="24"/>
        <v>0</v>
      </c>
      <c r="F179" s="1">
        <f t="shared" si="32"/>
        <v>0.18</v>
      </c>
      <c r="G179" s="10">
        <f t="shared" si="25"/>
        <v>0.18000000324168633</v>
      </c>
      <c r="H179" s="10">
        <f t="shared" si="28"/>
        <v>-0.18000000324168633</v>
      </c>
      <c r="I179" s="1">
        <f t="shared" si="26"/>
        <v>1.84</v>
      </c>
      <c r="J179">
        <f t="shared" si="29"/>
        <v>-9.782608871830778E-2</v>
      </c>
      <c r="K179" s="10">
        <f t="shared" si="31"/>
        <v>3.2416863415818399E-9</v>
      </c>
      <c r="L179" s="95">
        <f t="shared" si="30"/>
        <v>8.0434779969211639E-2</v>
      </c>
      <c r="M179" s="10"/>
      <c r="N179" s="11"/>
      <c r="O179" s="11"/>
    </row>
    <row r="180" spans="2:15" x14ac:dyDescent="0.25">
      <c r="B180" s="1">
        <f t="shared" si="23"/>
        <v>15.69999999999996</v>
      </c>
      <c r="C180" s="1">
        <v>0</v>
      </c>
      <c r="D180" s="1">
        <f t="shared" si="27"/>
        <v>0</v>
      </c>
      <c r="E180" s="1">
        <f t="shared" si="24"/>
        <v>0</v>
      </c>
      <c r="F180" s="1">
        <f t="shared" si="32"/>
        <v>0.18</v>
      </c>
      <c r="G180" s="10">
        <f t="shared" si="25"/>
        <v>0.12673912965640158</v>
      </c>
      <c r="H180" s="10">
        <f t="shared" si="28"/>
        <v>-0.12673912965640158</v>
      </c>
      <c r="I180" s="1">
        <f t="shared" si="26"/>
        <v>1.84</v>
      </c>
      <c r="J180">
        <f t="shared" si="29"/>
        <v>-6.8879961769783463E-2</v>
      </c>
      <c r="K180" s="10">
        <f t="shared" si="31"/>
        <v>-5.3260870343598415E-2</v>
      </c>
      <c r="L180" s="95">
        <f t="shared" si="30"/>
        <v>8.0434783210897975E-2</v>
      </c>
      <c r="M180" s="10"/>
      <c r="N180" s="11"/>
      <c r="O180" s="11"/>
    </row>
    <row r="181" spans="2:15" x14ac:dyDescent="0.25">
      <c r="B181" s="1">
        <f t="shared" si="23"/>
        <v>15.79999999999996</v>
      </c>
      <c r="C181" s="1">
        <v>0</v>
      </c>
      <c r="D181" s="1">
        <f t="shared" si="27"/>
        <v>0</v>
      </c>
      <c r="E181" s="1">
        <f t="shared" si="24"/>
        <v>0</v>
      </c>
      <c r="F181" s="1">
        <f t="shared" si="32"/>
        <v>0.18</v>
      </c>
      <c r="G181" s="10">
        <f t="shared" si="25"/>
        <v>0.18289461269485244</v>
      </c>
      <c r="H181" s="10">
        <f t="shared" si="28"/>
        <v>-0.18289461269485244</v>
      </c>
      <c r="I181" s="1">
        <f t="shared" si="26"/>
        <v>1.84</v>
      </c>
      <c r="J181">
        <f t="shared" si="29"/>
        <v>-9.9399246029811109E-2</v>
      </c>
      <c r="K181" s="10">
        <f t="shared" si="31"/>
        <v>2.8946126948524321E-3</v>
      </c>
      <c r="L181" s="95">
        <f t="shared" si="30"/>
        <v>2.717391286729956E-2</v>
      </c>
      <c r="M181" s="10"/>
      <c r="N181" s="11"/>
      <c r="O181" s="11"/>
    </row>
    <row r="182" spans="2:15" x14ac:dyDescent="0.25">
      <c r="B182" s="1">
        <f t="shared" ref="B182:B244" si="33">B181+$B$19</f>
        <v>15.899999999999959</v>
      </c>
      <c r="C182" s="1">
        <v>0</v>
      </c>
      <c r="D182" s="1">
        <f t="shared" si="27"/>
        <v>0</v>
      </c>
      <c r="E182" s="1">
        <f t="shared" ref="E182:E244" si="34">C182*D182</f>
        <v>0</v>
      </c>
      <c r="F182" s="1">
        <f t="shared" si="32"/>
        <v>0.18</v>
      </c>
      <c r="G182" s="10">
        <f t="shared" si="25"/>
        <v>0.17694807157399722</v>
      </c>
      <c r="H182" s="10">
        <f t="shared" si="28"/>
        <v>-0.17694807157399722</v>
      </c>
      <c r="I182" s="1">
        <f t="shared" si="26"/>
        <v>1.84</v>
      </c>
      <c r="J182">
        <f t="shared" si="29"/>
        <v>-9.6167430203259352E-2</v>
      </c>
      <c r="K182" s="10">
        <f t="shared" si="31"/>
        <v>-3.0519284260027649E-3</v>
      </c>
      <c r="L182" s="95">
        <f t="shared" si="30"/>
        <v>3.006852556215199E-2</v>
      </c>
      <c r="M182" s="10"/>
      <c r="N182" s="11"/>
      <c r="O182" s="11"/>
    </row>
    <row r="183" spans="2:15" x14ac:dyDescent="0.25">
      <c r="B183" s="1">
        <f t="shared" si="33"/>
        <v>15.999999999999959</v>
      </c>
      <c r="C183" s="1">
        <v>0</v>
      </c>
      <c r="D183" s="1">
        <f t="shared" si="27"/>
        <v>0</v>
      </c>
      <c r="E183" s="1">
        <f t="shared" si="34"/>
        <v>0</v>
      </c>
      <c r="F183" s="1">
        <f t="shared" si="32"/>
        <v>0.18</v>
      </c>
      <c r="G183" s="10">
        <f t="shared" si="25"/>
        <v>0.18032318158265517</v>
      </c>
      <c r="H183" s="10">
        <f t="shared" si="28"/>
        <v>-0.18032318158265517</v>
      </c>
      <c r="I183" s="1">
        <f t="shared" si="26"/>
        <v>1.84</v>
      </c>
      <c r="J183">
        <f t="shared" si="29"/>
        <v>-9.8001729121008241E-2</v>
      </c>
      <c r="K183" s="10">
        <f t="shared" si="31"/>
        <v>3.231815826551757E-4</v>
      </c>
      <c r="L183" s="95">
        <f t="shared" si="30"/>
        <v>2.7016597136149227E-2</v>
      </c>
      <c r="M183" s="10"/>
      <c r="N183" s="11"/>
      <c r="O183" s="11"/>
    </row>
    <row r="184" spans="2:15" x14ac:dyDescent="0.25">
      <c r="B184" s="1">
        <f t="shared" si="33"/>
        <v>16.099999999999959</v>
      </c>
      <c r="C184" s="1">
        <v>0</v>
      </c>
      <c r="D184" s="1">
        <f t="shared" si="27"/>
        <v>0</v>
      </c>
      <c r="E184" s="1">
        <f t="shared" si="34"/>
        <v>0</v>
      </c>
      <c r="F184" s="1">
        <f t="shared" si="32"/>
        <v>0.18</v>
      </c>
      <c r="G184" s="10">
        <f t="shared" si="25"/>
        <v>0.1798165701082251</v>
      </c>
      <c r="H184" s="10">
        <f t="shared" si="28"/>
        <v>-0.1798165701082251</v>
      </c>
      <c r="I184" s="1">
        <f t="shared" si="26"/>
        <v>1.84</v>
      </c>
      <c r="J184">
        <f t="shared" si="29"/>
        <v>-9.7726396797948423E-2</v>
      </c>
      <c r="K184" s="10">
        <f t="shared" si="31"/>
        <v>-1.8342989177488889E-4</v>
      </c>
      <c r="L184" s="95">
        <f t="shared" si="30"/>
        <v>2.7339778718804403E-2</v>
      </c>
      <c r="M184" s="10"/>
      <c r="N184" s="11"/>
      <c r="O184" s="11"/>
    </row>
    <row r="185" spans="2:15" x14ac:dyDescent="0.25">
      <c r="B185" s="1">
        <f t="shared" si="33"/>
        <v>16.19999999999996</v>
      </c>
      <c r="C185" s="1">
        <v>0</v>
      </c>
      <c r="D185" s="1">
        <f t="shared" si="27"/>
        <v>0</v>
      </c>
      <c r="E185" s="1">
        <f t="shared" si="34"/>
        <v>0</v>
      </c>
      <c r="F185" s="1">
        <f t="shared" si="32"/>
        <v>0.18</v>
      </c>
      <c r="G185" s="10">
        <f t="shared" si="25"/>
        <v>0.18002753323230597</v>
      </c>
      <c r="H185" s="10">
        <f t="shared" si="28"/>
        <v>-0.18002753323230597</v>
      </c>
      <c r="I185" s="1">
        <f t="shared" si="26"/>
        <v>1.84</v>
      </c>
      <c r="J185">
        <f t="shared" si="29"/>
        <v>-9.7841050669731505E-2</v>
      </c>
      <c r="K185" s="10">
        <f t="shared" si="31"/>
        <v>2.7533232305981816E-5</v>
      </c>
      <c r="L185" s="95">
        <f t="shared" si="30"/>
        <v>2.7156348827029515E-2</v>
      </c>
      <c r="M185" s="10"/>
      <c r="N185" s="11"/>
      <c r="O185" s="11"/>
    </row>
    <row r="186" spans="2:15" x14ac:dyDescent="0.25">
      <c r="B186" s="1">
        <f t="shared" si="33"/>
        <v>16.299999999999962</v>
      </c>
      <c r="C186" s="1">
        <v>0</v>
      </c>
      <c r="D186" s="1">
        <f t="shared" si="27"/>
        <v>0</v>
      </c>
      <c r="E186" s="1">
        <f t="shared" si="34"/>
        <v>0</v>
      </c>
      <c r="F186" s="1">
        <f t="shared" si="32"/>
        <v>0.18</v>
      </c>
      <c r="G186" s="10">
        <f t="shared" si="25"/>
        <v>0.17998853461282169</v>
      </c>
      <c r="H186" s="10">
        <f t="shared" si="28"/>
        <v>-0.17998853461282169</v>
      </c>
      <c r="I186" s="1">
        <f t="shared" si="26"/>
        <v>1.84</v>
      </c>
      <c r="J186">
        <f t="shared" si="29"/>
        <v>-9.7819855767837874E-2</v>
      </c>
      <c r="K186" s="10">
        <f t="shared" si="31"/>
        <v>-1.1465387178308252E-5</v>
      </c>
      <c r="L186" s="95">
        <f t="shared" si="30"/>
        <v>2.7183882059335498E-2</v>
      </c>
      <c r="M186" s="10"/>
      <c r="N186" s="11"/>
      <c r="O186" s="11"/>
    </row>
    <row r="187" spans="2:15" x14ac:dyDescent="0.25">
      <c r="B187" s="1">
        <f t="shared" si="33"/>
        <v>16.399999999999963</v>
      </c>
      <c r="C187" s="1">
        <v>0</v>
      </c>
      <c r="D187" s="1">
        <f t="shared" si="27"/>
        <v>0</v>
      </c>
      <c r="E187" s="1">
        <f t="shared" si="34"/>
        <v>0</v>
      </c>
      <c r="F187" s="1">
        <f t="shared" si="32"/>
        <v>0.18</v>
      </c>
      <c r="G187" s="10">
        <f t="shared" si="25"/>
        <v>0.18000211949018935</v>
      </c>
      <c r="H187" s="10">
        <f t="shared" si="28"/>
        <v>-0.18000211949018935</v>
      </c>
      <c r="I187" s="1">
        <f t="shared" si="26"/>
        <v>1.84</v>
      </c>
      <c r="J187">
        <f t="shared" si="29"/>
        <v>-9.7827238853363779E-2</v>
      </c>
      <c r="K187" s="10">
        <f t="shared" si="31"/>
        <v>2.1194901893631379E-6</v>
      </c>
      <c r="L187" s="95">
        <f t="shared" si="30"/>
        <v>2.7172416672157189E-2</v>
      </c>
      <c r="M187" s="10"/>
      <c r="N187" s="11"/>
      <c r="O187" s="11"/>
    </row>
    <row r="188" spans="2:15" x14ac:dyDescent="0.25">
      <c r="B188" s="1">
        <f t="shared" si="33"/>
        <v>16.499999999999964</v>
      </c>
      <c r="C188" s="1">
        <v>0</v>
      </c>
      <c r="D188" s="1">
        <f t="shared" si="27"/>
        <v>0</v>
      </c>
      <c r="E188" s="1">
        <f t="shared" si="34"/>
        <v>0</v>
      </c>
      <c r="F188" s="1">
        <f t="shared" si="32"/>
        <v>0.18</v>
      </c>
      <c r="G188" s="10">
        <f t="shared" si="25"/>
        <v>0.17999926169144739</v>
      </c>
      <c r="H188" s="10">
        <f t="shared" si="28"/>
        <v>-0.17999926169144739</v>
      </c>
      <c r="I188" s="1">
        <f t="shared" si="26"/>
        <v>1.84</v>
      </c>
      <c r="J188">
        <f t="shared" si="29"/>
        <v>-9.7825685701873583E-2</v>
      </c>
      <c r="K188" s="10">
        <f t="shared" si="31"/>
        <v>-7.3830855259054977E-7</v>
      </c>
      <c r="L188" s="95">
        <f t="shared" si="30"/>
        <v>2.7174536162346552E-2</v>
      </c>
      <c r="M188" s="10"/>
      <c r="N188" s="11"/>
      <c r="O188" s="11"/>
    </row>
    <row r="189" spans="2:15" x14ac:dyDescent="0.25">
      <c r="B189" s="1">
        <f t="shared" si="33"/>
        <v>16.599999999999966</v>
      </c>
      <c r="C189" s="1">
        <v>0</v>
      </c>
      <c r="D189" s="1">
        <f t="shared" si="27"/>
        <v>0</v>
      </c>
      <c r="E189" s="1">
        <f t="shared" si="34"/>
        <v>0</v>
      </c>
      <c r="F189" s="1">
        <f t="shared" si="32"/>
        <v>0.18</v>
      </c>
      <c r="G189" s="10">
        <f t="shared" si="25"/>
        <v>0.18000015531514901</v>
      </c>
      <c r="H189" s="10">
        <f t="shared" si="28"/>
        <v>-0.18000015531514901</v>
      </c>
      <c r="I189" s="1">
        <f t="shared" si="26"/>
        <v>1.84</v>
      </c>
      <c r="J189">
        <f t="shared" si="29"/>
        <v>-9.782617136692881E-2</v>
      </c>
      <c r="K189" s="10">
        <f t="shared" si="31"/>
        <v>1.5531514901967469E-7</v>
      </c>
      <c r="L189" s="95">
        <f t="shared" si="30"/>
        <v>2.7173797853793962E-2</v>
      </c>
      <c r="M189" s="10"/>
      <c r="N189" s="11"/>
      <c r="O189" s="11"/>
    </row>
    <row r="190" spans="2:15" x14ac:dyDescent="0.25">
      <c r="B190" s="1">
        <f t="shared" si="33"/>
        <v>16.699999999999967</v>
      </c>
      <c r="C190" s="1">
        <v>0</v>
      </c>
      <c r="D190" s="1">
        <f t="shared" si="27"/>
        <v>0</v>
      </c>
      <c r="E190" s="1">
        <f t="shared" si="34"/>
        <v>0</v>
      </c>
      <c r="F190" s="1">
        <f t="shared" si="32"/>
        <v>0.18</v>
      </c>
      <c r="G190" s="10">
        <f t="shared" si="25"/>
        <v>0.17999995143349448</v>
      </c>
      <c r="H190" s="10">
        <f t="shared" si="28"/>
        <v>-0.17999995143349448</v>
      </c>
      <c r="I190" s="1">
        <f t="shared" si="26"/>
        <v>1.84</v>
      </c>
      <c r="J190">
        <f t="shared" si="29"/>
        <v>-9.7826060561681777E-2</v>
      </c>
      <c r="K190" s="10">
        <f t="shared" si="31"/>
        <v>-4.8566505522762429E-8</v>
      </c>
      <c r="L190" s="95">
        <f t="shared" si="30"/>
        <v>2.7173953168942982E-2</v>
      </c>
      <c r="M190" s="10"/>
      <c r="N190" s="11"/>
      <c r="O190" s="11"/>
    </row>
    <row r="191" spans="2:15" x14ac:dyDescent="0.25">
      <c r="B191" s="1">
        <f t="shared" si="33"/>
        <v>16.799999999999969</v>
      </c>
      <c r="C191" s="1">
        <v>0</v>
      </c>
      <c r="D191" s="1">
        <f t="shared" si="27"/>
        <v>0</v>
      </c>
      <c r="E191" s="1">
        <f t="shared" si="34"/>
        <v>0</v>
      </c>
      <c r="F191" s="1">
        <f t="shared" si="32"/>
        <v>0.18</v>
      </c>
      <c r="G191" s="10">
        <f t="shared" si="25"/>
        <v>0.18000001108052469</v>
      </c>
      <c r="H191" s="10">
        <f t="shared" si="28"/>
        <v>-0.18000001108052469</v>
      </c>
      <c r="I191" s="1">
        <f t="shared" si="26"/>
        <v>1.84</v>
      </c>
      <c r="J191">
        <f t="shared" si="29"/>
        <v>-9.7826092978546025E-2</v>
      </c>
      <c r="K191" s="10">
        <f t="shared" si="31"/>
        <v>1.1080524703332984E-8</v>
      </c>
      <c r="L191" s="95">
        <f t="shared" si="30"/>
        <v>2.717390460243746E-2</v>
      </c>
      <c r="M191" s="10"/>
      <c r="N191" s="11"/>
      <c r="O191" s="11"/>
    </row>
    <row r="192" spans="2:15" x14ac:dyDescent="0.25">
      <c r="B192" s="1">
        <f t="shared" si="33"/>
        <v>16.89999999999997</v>
      </c>
      <c r="C192" s="1">
        <v>0</v>
      </c>
      <c r="D192" s="1">
        <f t="shared" si="27"/>
        <v>0</v>
      </c>
      <c r="E192" s="1">
        <f t="shared" si="34"/>
        <v>0</v>
      </c>
      <c r="F192" s="1">
        <f t="shared" si="32"/>
        <v>0.18</v>
      </c>
      <c r="G192" s="10">
        <f t="shared" si="25"/>
        <v>0.17999999675831357</v>
      </c>
      <c r="H192" s="10">
        <f t="shared" si="28"/>
        <v>-0.17999999675831357</v>
      </c>
      <c r="I192" s="1">
        <f t="shared" si="26"/>
        <v>1.84</v>
      </c>
      <c r="J192">
        <f t="shared" si="29"/>
        <v>-9.7826085194735637E-2</v>
      </c>
      <c r="K192" s="10">
        <f t="shared" si="31"/>
        <v>-3.2416864248485667E-9</v>
      </c>
      <c r="L192" s="95">
        <f t="shared" si="30"/>
        <v>2.7173915682962162E-2</v>
      </c>
      <c r="M192" s="10"/>
      <c r="N192" s="11"/>
      <c r="O192" s="11"/>
    </row>
    <row r="193" spans="2:15" x14ac:dyDescent="0.25">
      <c r="B193" s="1">
        <f t="shared" si="33"/>
        <v>16.999999999999972</v>
      </c>
      <c r="C193" s="1">
        <v>0</v>
      </c>
      <c r="D193" s="1">
        <f t="shared" si="27"/>
        <v>0</v>
      </c>
      <c r="E193" s="1">
        <f t="shared" si="34"/>
        <v>0</v>
      </c>
      <c r="F193" s="1">
        <f t="shared" si="32"/>
        <v>0.18</v>
      </c>
      <c r="G193" s="10">
        <f t="shared" si="25"/>
        <v>0.18000000077838102</v>
      </c>
      <c r="H193" s="10">
        <f t="shared" si="28"/>
        <v>-0.18000000077838102</v>
      </c>
      <c r="I193" s="1">
        <f t="shared" si="26"/>
        <v>1.84</v>
      </c>
      <c r="J193">
        <f t="shared" si="29"/>
        <v>-9.7826087379554894E-2</v>
      </c>
      <c r="K193" s="10">
        <f t="shared" si="31"/>
        <v>7.7838103879068762E-10</v>
      </c>
      <c r="L193" s="95">
        <f t="shared" si="30"/>
        <v>2.7173912441275736E-2</v>
      </c>
      <c r="M193" s="10"/>
      <c r="N193" s="11"/>
      <c r="O193" s="11"/>
    </row>
    <row r="194" spans="2:15" x14ac:dyDescent="0.25">
      <c r="B194" s="1">
        <f t="shared" si="33"/>
        <v>17.099999999999973</v>
      </c>
      <c r="C194" s="1">
        <v>0</v>
      </c>
      <c r="D194" s="1">
        <f t="shared" si="27"/>
        <v>0</v>
      </c>
      <c r="E194" s="1">
        <f t="shared" si="34"/>
        <v>0</v>
      </c>
      <c r="F194" s="1">
        <f t="shared" si="32"/>
        <v>0.18</v>
      </c>
      <c r="G194" s="10">
        <f t="shared" si="25"/>
        <v>0.17999999978151807</v>
      </c>
      <c r="H194" s="10">
        <f t="shared" si="28"/>
        <v>-0.17999999978151807</v>
      </c>
      <c r="I194" s="1">
        <f t="shared" si="26"/>
        <v>1.84</v>
      </c>
      <c r="J194">
        <f t="shared" si="29"/>
        <v>-9.7826086837781559E-2</v>
      </c>
      <c r="K194" s="10">
        <f t="shared" si="31"/>
        <v>-2.1848192560680602E-10</v>
      </c>
      <c r="L194" s="95">
        <f t="shared" si="30"/>
        <v>2.7173913219656776E-2</v>
      </c>
      <c r="M194" s="10"/>
      <c r="N194" s="11"/>
      <c r="O194" s="11"/>
    </row>
    <row r="195" spans="2:15" x14ac:dyDescent="0.25">
      <c r="B195" s="1">
        <f t="shared" si="33"/>
        <v>17.199999999999974</v>
      </c>
      <c r="C195" s="1">
        <v>0</v>
      </c>
      <c r="D195" s="1">
        <f t="shared" si="27"/>
        <v>0</v>
      </c>
      <c r="E195" s="1">
        <f t="shared" si="34"/>
        <v>0</v>
      </c>
      <c r="F195" s="1">
        <f t="shared" si="32"/>
        <v>0.18</v>
      </c>
      <c r="G195" s="10">
        <f t="shared" si="25"/>
        <v>0.18000000005417732</v>
      </c>
      <c r="H195" s="10">
        <f t="shared" si="28"/>
        <v>-0.18000000005417732</v>
      </c>
      <c r="I195" s="1">
        <f t="shared" si="26"/>
        <v>1.84</v>
      </c>
      <c r="J195">
        <f t="shared" si="29"/>
        <v>-9.7826086985965927E-2</v>
      </c>
      <c r="K195" s="10">
        <f t="shared" si="31"/>
        <v>5.417733345280951E-11</v>
      </c>
      <c r="L195" s="95">
        <f t="shared" si="30"/>
        <v>2.7173913001174849E-2</v>
      </c>
      <c r="M195" s="10"/>
      <c r="N195" s="11"/>
      <c r="O195" s="11"/>
    </row>
    <row r="196" spans="2:15" x14ac:dyDescent="0.25">
      <c r="B196" s="1">
        <f t="shared" si="33"/>
        <v>17.299999999999976</v>
      </c>
      <c r="C196" s="1">
        <v>0</v>
      </c>
      <c r="D196" s="1">
        <f t="shared" si="27"/>
        <v>0</v>
      </c>
      <c r="E196" s="1">
        <f t="shared" si="34"/>
        <v>0</v>
      </c>
      <c r="F196" s="1">
        <f t="shared" si="32"/>
        <v>0.18</v>
      </c>
      <c r="G196" s="10">
        <f t="shared" si="25"/>
        <v>0.17999999998518157</v>
      </c>
      <c r="H196" s="10">
        <f t="shared" si="28"/>
        <v>-0.17999999998518157</v>
      </c>
      <c r="I196" s="1">
        <f t="shared" si="26"/>
        <v>1.84</v>
      </c>
      <c r="J196">
        <f t="shared" si="29"/>
        <v>-9.7826086948468241E-2</v>
      </c>
      <c r="K196" s="10">
        <f t="shared" si="31"/>
        <v>-1.481843675543715E-11</v>
      </c>
      <c r="L196" s="95">
        <f t="shared" si="30"/>
        <v>2.7173913055352182E-2</v>
      </c>
      <c r="M196" s="10"/>
      <c r="N196" s="11"/>
      <c r="O196" s="11"/>
    </row>
    <row r="197" spans="2:15" x14ac:dyDescent="0.25">
      <c r="B197" s="1">
        <f t="shared" si="33"/>
        <v>17.399999999999977</v>
      </c>
      <c r="C197" s="1">
        <v>0</v>
      </c>
      <c r="D197" s="1">
        <f t="shared" si="27"/>
        <v>0</v>
      </c>
      <c r="E197" s="1">
        <f t="shared" si="34"/>
        <v>0</v>
      </c>
      <c r="F197" s="1">
        <f t="shared" si="32"/>
        <v>0.18</v>
      </c>
      <c r="G197" s="10">
        <f t="shared" si="25"/>
        <v>0.18000000000374977</v>
      </c>
      <c r="H197" s="10">
        <f t="shared" si="28"/>
        <v>-0.18000000000374977</v>
      </c>
      <c r="I197" s="1">
        <f t="shared" si="26"/>
        <v>1.84</v>
      </c>
      <c r="J197">
        <f t="shared" si="29"/>
        <v>-9.7826086958559655E-2</v>
      </c>
      <c r="K197" s="10">
        <f t="shared" si="31"/>
        <v>3.7497685512200006E-12</v>
      </c>
      <c r="L197" s="95">
        <f t="shared" si="30"/>
        <v>2.7173913040533744E-2</v>
      </c>
      <c r="M197" s="10"/>
      <c r="N197" s="11"/>
      <c r="O197" s="11"/>
    </row>
    <row r="198" spans="2:15" x14ac:dyDescent="0.25">
      <c r="B198" s="1">
        <f t="shared" si="33"/>
        <v>17.499999999999979</v>
      </c>
      <c r="C198" s="1">
        <v>0</v>
      </c>
      <c r="D198" s="1">
        <f t="shared" si="27"/>
        <v>0</v>
      </c>
      <c r="E198" s="1">
        <f t="shared" si="34"/>
        <v>0</v>
      </c>
      <c r="F198" s="1">
        <f t="shared" si="32"/>
        <v>0.18</v>
      </c>
      <c r="G198" s="10">
        <f t="shared" si="25"/>
        <v>0.17999999999899086</v>
      </c>
      <c r="H198" s="10">
        <f t="shared" si="28"/>
        <v>-0.17999999999899086</v>
      </c>
      <c r="I198" s="1">
        <f t="shared" si="26"/>
        <v>1.84</v>
      </c>
      <c r="J198">
        <f t="shared" si="29"/>
        <v>-9.7826086955973293E-2</v>
      </c>
      <c r="K198" s="10">
        <f t="shared" si="31"/>
        <v>-1.0091413815693784E-12</v>
      </c>
      <c r="L198" s="95">
        <f t="shared" si="30"/>
        <v>2.7173913044283512E-2</v>
      </c>
      <c r="M198" s="10"/>
      <c r="N198" s="11"/>
      <c r="O198" s="11"/>
    </row>
    <row r="199" spans="2:15" x14ac:dyDescent="0.25">
      <c r="B199" s="1">
        <f t="shared" si="33"/>
        <v>17.59999999999998</v>
      </c>
      <c r="C199" s="1">
        <v>0</v>
      </c>
      <c r="D199" s="1">
        <f t="shared" si="27"/>
        <v>0</v>
      </c>
      <c r="E199" s="1">
        <f t="shared" si="34"/>
        <v>0</v>
      </c>
      <c r="F199" s="1">
        <f t="shared" si="32"/>
        <v>0.18</v>
      </c>
      <c r="G199" s="10">
        <f t="shared" si="25"/>
        <v>0.18000000000025862</v>
      </c>
      <c r="H199" s="10">
        <f t="shared" si="28"/>
        <v>-0.18000000000025862</v>
      </c>
      <c r="I199" s="1">
        <f t="shared" si="26"/>
        <v>1.84</v>
      </c>
      <c r="J199">
        <f t="shared" si="29"/>
        <v>-9.7826086956662284E-2</v>
      </c>
      <c r="K199" s="10">
        <f t="shared" si="31"/>
        <v>2.586361680378957E-13</v>
      </c>
      <c r="L199" s="95">
        <f t="shared" si="30"/>
        <v>2.7173913043274371E-2</v>
      </c>
      <c r="M199" s="10"/>
      <c r="N199" s="11"/>
      <c r="O199" s="11"/>
    </row>
    <row r="200" spans="2:15" x14ac:dyDescent="0.25">
      <c r="B200" s="1">
        <f t="shared" si="33"/>
        <v>17.699999999999982</v>
      </c>
      <c r="C200" s="1">
        <v>0</v>
      </c>
      <c r="D200" s="1">
        <f t="shared" si="27"/>
        <v>0</v>
      </c>
      <c r="E200" s="1">
        <f t="shared" si="34"/>
        <v>0</v>
      </c>
      <c r="F200" s="1">
        <f t="shared" si="32"/>
        <v>0.18</v>
      </c>
      <c r="G200" s="10">
        <f t="shared" si="25"/>
        <v>0.1799999999999311</v>
      </c>
      <c r="H200" s="10">
        <f t="shared" si="28"/>
        <v>-0.1799999999999311</v>
      </c>
      <c r="I200" s="1">
        <f t="shared" si="26"/>
        <v>1.84</v>
      </c>
      <c r="J200">
        <f t="shared" si="29"/>
        <v>-9.7826086956484287E-2</v>
      </c>
      <c r="K200" s="10">
        <f t="shared" si="31"/>
        <v>-6.8899053129456444E-14</v>
      </c>
      <c r="L200" s="95">
        <f t="shared" si="30"/>
        <v>2.7173913043533008E-2</v>
      </c>
      <c r="M200" s="10"/>
      <c r="N200" s="11"/>
      <c r="O200" s="11"/>
    </row>
    <row r="201" spans="2:15" x14ac:dyDescent="0.25">
      <c r="B201" s="1">
        <f t="shared" si="33"/>
        <v>17.799999999999983</v>
      </c>
      <c r="C201" s="1">
        <v>0</v>
      </c>
      <c r="D201" s="1">
        <f t="shared" si="27"/>
        <v>0</v>
      </c>
      <c r="E201" s="1">
        <f t="shared" si="34"/>
        <v>0</v>
      </c>
      <c r="F201" s="1">
        <f t="shared" si="32"/>
        <v>0.18</v>
      </c>
      <c r="G201" s="10">
        <f t="shared" si="25"/>
        <v>0.18000000000001778</v>
      </c>
      <c r="H201" s="10">
        <f t="shared" si="28"/>
        <v>-0.18000000000001778</v>
      </c>
      <c r="I201" s="1">
        <f t="shared" si="26"/>
        <v>1.84</v>
      </c>
      <c r="J201">
        <f t="shared" si="29"/>
        <v>-9.7826086956531402E-2</v>
      </c>
      <c r="K201" s="10">
        <f t="shared" si="31"/>
        <v>1.7799650642302824E-14</v>
      </c>
      <c r="L201" s="95">
        <f t="shared" si="30"/>
        <v>2.7173913043464108E-2</v>
      </c>
      <c r="M201" s="10"/>
      <c r="N201" s="11"/>
      <c r="O201" s="11"/>
    </row>
    <row r="202" spans="2:15" x14ac:dyDescent="0.25">
      <c r="B202" s="1">
        <f t="shared" si="33"/>
        <v>17.899999999999984</v>
      </c>
      <c r="C202" s="1">
        <v>0</v>
      </c>
      <c r="D202" s="1">
        <f t="shared" si="27"/>
        <v>0</v>
      </c>
      <c r="E202" s="1">
        <f t="shared" si="34"/>
        <v>0</v>
      </c>
      <c r="F202" s="1">
        <f t="shared" si="32"/>
        <v>0.18</v>
      </c>
      <c r="G202" s="10">
        <f t="shared" si="25"/>
        <v>0.17999999999999527</v>
      </c>
      <c r="H202" s="10">
        <f t="shared" si="28"/>
        <v>-0.17999999999999527</v>
      </c>
      <c r="I202" s="1">
        <f t="shared" si="26"/>
        <v>1.84</v>
      </c>
      <c r="J202">
        <f t="shared" si="29"/>
        <v>-9.7826086956519162E-2</v>
      </c>
      <c r="K202" s="10">
        <f t="shared" si="31"/>
        <v>-4.7115089607530081E-15</v>
      </c>
      <c r="L202" s="95">
        <f t="shared" si="30"/>
        <v>2.7173913043481907E-2</v>
      </c>
      <c r="M202" s="10"/>
      <c r="N202" s="11"/>
      <c r="O202" s="11"/>
    </row>
    <row r="203" spans="2:15" x14ac:dyDescent="0.25">
      <c r="B203" s="1">
        <f t="shared" si="33"/>
        <v>17.999999999999986</v>
      </c>
      <c r="C203" s="1">
        <v>0</v>
      </c>
      <c r="D203" s="1">
        <f t="shared" si="27"/>
        <v>0</v>
      </c>
      <c r="E203" s="1">
        <f t="shared" si="34"/>
        <v>0</v>
      </c>
      <c r="F203" s="1">
        <f t="shared" si="32"/>
        <v>0.18</v>
      </c>
      <c r="G203" s="10">
        <f t="shared" si="25"/>
        <v>0.18000000000000121</v>
      </c>
      <c r="H203" s="10">
        <f t="shared" si="28"/>
        <v>-0.18000000000000121</v>
      </c>
      <c r="I203" s="1">
        <f t="shared" si="26"/>
        <v>1.84</v>
      </c>
      <c r="J203">
        <f t="shared" si="29"/>
        <v>-9.7826086956522396E-2</v>
      </c>
      <c r="K203" s="10">
        <f t="shared" si="31"/>
        <v>1.2240208846492351E-15</v>
      </c>
      <c r="L203" s="95">
        <f t="shared" si="30"/>
        <v>2.7173913043477195E-2</v>
      </c>
      <c r="M203" s="10"/>
      <c r="N203" s="11"/>
      <c r="O203" s="11"/>
    </row>
    <row r="204" spans="2:15" x14ac:dyDescent="0.25">
      <c r="B204" s="1">
        <f t="shared" si="33"/>
        <v>18.099999999999987</v>
      </c>
      <c r="C204" s="1">
        <v>0</v>
      </c>
      <c r="D204" s="1">
        <f t="shared" si="27"/>
        <v>0</v>
      </c>
      <c r="E204" s="1">
        <f t="shared" si="34"/>
        <v>0</v>
      </c>
      <c r="F204" s="1">
        <f t="shared" si="32"/>
        <v>0.18</v>
      </c>
      <c r="G204" s="10">
        <f t="shared" si="25"/>
        <v>0.17999999999999966</v>
      </c>
      <c r="H204" s="10">
        <f t="shared" si="28"/>
        <v>-0.17999999999999966</v>
      </c>
      <c r="I204" s="1">
        <f t="shared" si="26"/>
        <v>1.84</v>
      </c>
      <c r="J204">
        <f t="shared" si="29"/>
        <v>-9.7826086956521549E-2</v>
      </c>
      <c r="K204" s="10">
        <f t="shared" si="31"/>
        <v>-3.2335245592207685E-16</v>
      </c>
      <c r="L204" s="95">
        <f t="shared" si="30"/>
        <v>2.717391304347842E-2</v>
      </c>
      <c r="M204" s="10"/>
      <c r="N204" s="11"/>
      <c r="O204" s="11"/>
    </row>
    <row r="205" spans="2:15" x14ac:dyDescent="0.25">
      <c r="B205" s="1">
        <f t="shared" si="33"/>
        <v>18.199999999999989</v>
      </c>
      <c r="C205" s="1">
        <v>1</v>
      </c>
      <c r="D205" s="1">
        <f t="shared" si="27"/>
        <v>0.98</v>
      </c>
      <c r="E205" s="1">
        <f t="shared" si="34"/>
        <v>0.98</v>
      </c>
      <c r="F205" s="1">
        <f t="shared" si="32"/>
        <v>0.18</v>
      </c>
      <c r="G205" s="10">
        <f t="shared" si="25"/>
        <v>0.18000000000000008</v>
      </c>
      <c r="H205" s="10">
        <f t="shared" si="28"/>
        <v>0.79999999999999993</v>
      </c>
      <c r="I205" s="1">
        <f t="shared" si="26"/>
        <v>1.84</v>
      </c>
      <c r="J205">
        <f t="shared" si="29"/>
        <v>0.43478260869565211</v>
      </c>
      <c r="K205" s="10">
        <f t="shared" si="31"/>
        <v>8.4654505627668194E-17</v>
      </c>
      <c r="L205" s="95">
        <f t="shared" si="30"/>
        <v>2.7173913043478097E-2</v>
      </c>
      <c r="M205" s="10"/>
      <c r="N205" s="11"/>
      <c r="O205" s="11"/>
    </row>
    <row r="206" spans="2:15" x14ac:dyDescent="0.25">
      <c r="B206" s="1">
        <f t="shared" si="33"/>
        <v>18.29999999999999</v>
      </c>
      <c r="C206" s="1">
        <v>1</v>
      </c>
      <c r="D206" s="1">
        <f t="shared" si="27"/>
        <v>0.98</v>
      </c>
      <c r="E206" s="1">
        <f t="shared" si="34"/>
        <v>0.98</v>
      </c>
      <c r="F206" s="1">
        <f t="shared" si="32"/>
        <v>0.18</v>
      </c>
      <c r="G206" s="10">
        <f t="shared" si="25"/>
        <v>0.23326086956521735</v>
      </c>
      <c r="H206" s="10">
        <f t="shared" si="28"/>
        <v>0.74673913043478257</v>
      </c>
      <c r="I206" s="1">
        <f t="shared" si="26"/>
        <v>1.84</v>
      </c>
      <c r="J206">
        <f t="shared" si="29"/>
        <v>0.40583648393194705</v>
      </c>
      <c r="K206" s="10">
        <f t="shared" si="31"/>
        <v>5.3260869565217361E-2</v>
      </c>
      <c r="L206" s="95">
        <f t="shared" si="30"/>
        <v>2.717391304347818E-2</v>
      </c>
      <c r="M206" s="10"/>
      <c r="N206" s="11"/>
      <c r="O206" s="11"/>
    </row>
    <row r="207" spans="2:15" x14ac:dyDescent="0.25">
      <c r="B207" s="1">
        <f t="shared" si="33"/>
        <v>18.399999999999991</v>
      </c>
      <c r="C207" s="1">
        <v>1</v>
      </c>
      <c r="D207" s="1">
        <f t="shared" si="27"/>
        <v>0.98</v>
      </c>
      <c r="E207" s="1">
        <f t="shared" si="34"/>
        <v>0.98</v>
      </c>
      <c r="F207" s="1">
        <f t="shared" si="32"/>
        <v>0.18</v>
      </c>
      <c r="G207" s="10">
        <f t="shared" si="25"/>
        <v>0.17710538752362948</v>
      </c>
      <c r="H207" s="10">
        <f t="shared" si="28"/>
        <v>0.80289461247637051</v>
      </c>
      <c r="I207" s="1">
        <f t="shared" si="26"/>
        <v>1.84</v>
      </c>
      <c r="J207">
        <f t="shared" si="29"/>
        <v>0.43635576765020134</v>
      </c>
      <c r="K207" s="10">
        <f t="shared" si="31"/>
        <v>-2.8946124763705064E-3</v>
      </c>
      <c r="L207" s="95">
        <f t="shared" si="30"/>
        <v>8.0434782608695549E-2</v>
      </c>
      <c r="M207" s="10"/>
      <c r="N207" s="11"/>
      <c r="O207" s="11"/>
    </row>
    <row r="208" spans="2:15" x14ac:dyDescent="0.25">
      <c r="B208" s="1">
        <f t="shared" si="33"/>
        <v>18.499999999999993</v>
      </c>
      <c r="C208" s="1">
        <v>1</v>
      </c>
      <c r="D208" s="1">
        <f t="shared" si="27"/>
        <v>0.98</v>
      </c>
      <c r="E208" s="1">
        <f t="shared" si="34"/>
        <v>0.98</v>
      </c>
      <c r="F208" s="1">
        <f t="shared" si="32"/>
        <v>0.18</v>
      </c>
      <c r="G208" s="10">
        <f t="shared" si="25"/>
        <v>0.18305192837182543</v>
      </c>
      <c r="H208" s="10">
        <f t="shared" si="28"/>
        <v>0.79694807162817449</v>
      </c>
      <c r="I208" s="1">
        <f t="shared" si="26"/>
        <v>1.84</v>
      </c>
      <c r="J208">
        <f t="shared" si="29"/>
        <v>0.43312395197183395</v>
      </c>
      <c r="K208" s="10">
        <f t="shared" si="31"/>
        <v>3.05192837182543E-3</v>
      </c>
      <c r="L208" s="95">
        <f t="shared" si="30"/>
        <v>7.7540170132325045E-2</v>
      </c>
      <c r="M208" s="10"/>
      <c r="N208" s="11"/>
      <c r="O208" s="11"/>
    </row>
    <row r="209" spans="2:15" x14ac:dyDescent="0.25">
      <c r="B209" s="1">
        <f t="shared" si="33"/>
        <v>18.599999999999994</v>
      </c>
      <c r="C209" s="1">
        <v>1</v>
      </c>
      <c r="D209" s="1">
        <f t="shared" si="27"/>
        <v>0.98</v>
      </c>
      <c r="E209" s="1">
        <f t="shared" si="34"/>
        <v>0.98</v>
      </c>
      <c r="F209" s="1">
        <f t="shared" si="32"/>
        <v>0.18</v>
      </c>
      <c r="G209" s="10">
        <f t="shared" si="25"/>
        <v>0.17967681843216327</v>
      </c>
      <c r="H209" s="10">
        <f t="shared" si="28"/>
        <v>0.80032318156783666</v>
      </c>
      <c r="I209" s="1">
        <f t="shared" si="26"/>
        <v>1.84</v>
      </c>
      <c r="J209">
        <f t="shared" si="29"/>
        <v>0.43495825085208512</v>
      </c>
      <c r="K209" s="10">
        <f t="shared" si="31"/>
        <v>-3.2318156783673891E-4</v>
      </c>
      <c r="L209" s="95">
        <f t="shared" si="30"/>
        <v>8.0592098504150472E-2</v>
      </c>
      <c r="M209" s="10"/>
      <c r="N209" s="11"/>
      <c r="O209" s="11"/>
    </row>
    <row r="210" spans="2:15" x14ac:dyDescent="0.25">
      <c r="B210" s="1">
        <f t="shared" si="33"/>
        <v>18.699999999999996</v>
      </c>
      <c r="C210" s="1">
        <v>1</v>
      </c>
      <c r="D210" s="1">
        <f t="shared" si="27"/>
        <v>0.98</v>
      </c>
      <c r="E210" s="1">
        <f t="shared" si="34"/>
        <v>0.98</v>
      </c>
      <c r="F210" s="1">
        <f t="shared" si="32"/>
        <v>0.18</v>
      </c>
      <c r="G210" s="10">
        <f t="shared" si="25"/>
        <v>0.1801834298880251</v>
      </c>
      <c r="H210" s="10">
        <f t="shared" si="28"/>
        <v>0.79981657011197482</v>
      </c>
      <c r="I210" s="1">
        <f t="shared" si="26"/>
        <v>1.84</v>
      </c>
      <c r="J210">
        <f t="shared" si="29"/>
        <v>0.43468291853911672</v>
      </c>
      <c r="K210" s="10">
        <f t="shared" si="31"/>
        <v>1.8342988802511618E-4</v>
      </c>
      <c r="L210" s="95">
        <f t="shared" si="30"/>
        <v>8.0268916936313731E-2</v>
      </c>
      <c r="M210" s="10"/>
      <c r="N210" s="11"/>
      <c r="O210" s="11"/>
    </row>
    <row r="211" spans="2:15" x14ac:dyDescent="0.25">
      <c r="B211" s="1">
        <f t="shared" si="33"/>
        <v>18.799999999999997</v>
      </c>
      <c r="C211" s="1">
        <v>1</v>
      </c>
      <c r="D211" s="1">
        <f t="shared" si="27"/>
        <v>0.98</v>
      </c>
      <c r="E211" s="1">
        <f t="shared" si="34"/>
        <v>0.98</v>
      </c>
      <c r="F211" s="1">
        <f t="shared" si="32"/>
        <v>0.18</v>
      </c>
      <c r="G211" s="10">
        <f t="shared" si="25"/>
        <v>0.17997246676870315</v>
      </c>
      <c r="H211" s="10">
        <f t="shared" si="28"/>
        <v>0.80002753323129683</v>
      </c>
      <c r="I211" s="1">
        <f t="shared" si="26"/>
        <v>1.84</v>
      </c>
      <c r="J211">
        <f t="shared" si="29"/>
        <v>0.43479757240831346</v>
      </c>
      <c r="K211" s="10">
        <f t="shared" si="31"/>
        <v>-2.7533231296839045E-5</v>
      </c>
      <c r="L211" s="95">
        <f t="shared" si="30"/>
        <v>8.0452346824338841E-2</v>
      </c>
      <c r="M211" s="10"/>
      <c r="N211" s="11"/>
      <c r="O211" s="11"/>
    </row>
    <row r="212" spans="2:15" x14ac:dyDescent="0.25">
      <c r="B212" s="1">
        <f t="shared" si="33"/>
        <v>18.899999999999999</v>
      </c>
      <c r="C212" s="1">
        <v>1</v>
      </c>
      <c r="D212" s="1">
        <f t="shared" si="27"/>
        <v>0.98</v>
      </c>
      <c r="E212" s="1">
        <f t="shared" si="34"/>
        <v>0.98</v>
      </c>
      <c r="F212" s="1">
        <f t="shared" si="32"/>
        <v>0.18</v>
      </c>
      <c r="G212" s="10">
        <f t="shared" si="25"/>
        <v>0.18001146538691967</v>
      </c>
      <c r="H212" s="10">
        <f t="shared" si="28"/>
        <v>0.79998853461308028</v>
      </c>
      <c r="I212" s="1">
        <f t="shared" si="26"/>
        <v>1.84</v>
      </c>
      <c r="J212">
        <f t="shared" si="29"/>
        <v>0.43477637750710885</v>
      </c>
      <c r="K212" s="10">
        <f t="shared" si="31"/>
        <v>1.1465386919673472E-5</v>
      </c>
      <c r="L212" s="95">
        <f t="shared" si="30"/>
        <v>8.0424813593042002E-2</v>
      </c>
      <c r="M212" s="10"/>
      <c r="N212" s="11"/>
      <c r="O212" s="11"/>
    </row>
    <row r="213" spans="2:15" x14ac:dyDescent="0.25">
      <c r="B213" s="1">
        <f t="shared" si="33"/>
        <v>19</v>
      </c>
      <c r="C213" s="1">
        <v>1</v>
      </c>
      <c r="D213" s="1">
        <f t="shared" si="27"/>
        <v>0.98</v>
      </c>
      <c r="E213" s="1">
        <f t="shared" si="34"/>
        <v>0.98</v>
      </c>
      <c r="F213" s="1">
        <f t="shared" si="32"/>
        <v>0.18</v>
      </c>
      <c r="G213" s="10">
        <f t="shared" si="25"/>
        <v>0.17999788050987953</v>
      </c>
      <c r="H213" s="10">
        <f t="shared" si="28"/>
        <v>0.80000211949012046</v>
      </c>
      <c r="I213" s="1">
        <f t="shared" si="26"/>
        <v>1.84</v>
      </c>
      <c r="J213">
        <f t="shared" si="29"/>
        <v>0.43478376059245677</v>
      </c>
      <c r="K213" s="10">
        <f t="shared" si="31"/>
        <v>-2.1194901204613093E-6</v>
      </c>
      <c r="L213" s="95">
        <f t="shared" si="30"/>
        <v>8.0436278979961681E-2</v>
      </c>
      <c r="M213" s="10"/>
      <c r="N213" s="11"/>
      <c r="O213" s="11"/>
    </row>
    <row r="214" spans="2:15" x14ac:dyDescent="0.25">
      <c r="B214" s="1">
        <f t="shared" si="33"/>
        <v>19.100000000000001</v>
      </c>
      <c r="C214" s="1">
        <v>1</v>
      </c>
      <c r="D214" s="1">
        <f t="shared" si="27"/>
        <v>0.98</v>
      </c>
      <c r="E214" s="1">
        <f t="shared" si="34"/>
        <v>0.98</v>
      </c>
      <c r="F214" s="1">
        <f t="shared" si="32"/>
        <v>0.18</v>
      </c>
      <c r="G214" s="10">
        <f t="shared" si="25"/>
        <v>0.18000073830853477</v>
      </c>
      <c r="H214" s="10">
        <f t="shared" si="28"/>
        <v>0.79999926169146518</v>
      </c>
      <c r="I214" s="1">
        <f t="shared" si="26"/>
        <v>1.84</v>
      </c>
      <c r="J214">
        <f t="shared" si="29"/>
        <v>0.43478220744101365</v>
      </c>
      <c r="K214" s="10">
        <f t="shared" si="31"/>
        <v>7.3830853479228691E-7</v>
      </c>
      <c r="L214" s="95">
        <f t="shared" si="30"/>
        <v>8.0434159489841214E-2</v>
      </c>
      <c r="M214" s="10"/>
      <c r="N214" s="11"/>
      <c r="O214" s="11"/>
    </row>
    <row r="215" spans="2:15" x14ac:dyDescent="0.25">
      <c r="B215" s="1">
        <f t="shared" si="33"/>
        <v>19.200000000000003</v>
      </c>
      <c r="C215" s="1">
        <v>1</v>
      </c>
      <c r="D215" s="1">
        <f t="shared" si="27"/>
        <v>0.98</v>
      </c>
      <c r="E215" s="1">
        <f t="shared" si="34"/>
        <v>0.98</v>
      </c>
      <c r="F215" s="1">
        <f t="shared" si="32"/>
        <v>0.18</v>
      </c>
      <c r="G215" s="10">
        <f t="shared" ref="G215:G244" si="35">F215+K215</f>
        <v>0.17999984468485569</v>
      </c>
      <c r="H215" s="10">
        <f t="shared" si="28"/>
        <v>0.80000015531514435</v>
      </c>
      <c r="I215" s="1">
        <f t="shared" ref="I215:I244" si="36">$J$19</f>
        <v>1.84</v>
      </c>
      <c r="J215">
        <f t="shared" si="29"/>
        <v>0.43478269310605672</v>
      </c>
      <c r="K215" s="10">
        <f t="shared" si="31"/>
        <v>-1.5531514431232908E-7</v>
      </c>
      <c r="L215" s="95">
        <f t="shared" si="30"/>
        <v>8.0434897798376009E-2</v>
      </c>
      <c r="M215" s="10"/>
      <c r="N215" s="11"/>
      <c r="O215" s="11"/>
    </row>
    <row r="216" spans="2:15" x14ac:dyDescent="0.25">
      <c r="B216" s="1">
        <f t="shared" si="33"/>
        <v>19.300000000000004</v>
      </c>
      <c r="C216" s="1">
        <v>1</v>
      </c>
      <c r="D216" s="1">
        <f t="shared" ref="D216:D244" si="37">C216*$D$19</f>
        <v>0.98</v>
      </c>
      <c r="E216" s="1">
        <f t="shared" si="34"/>
        <v>0.98</v>
      </c>
      <c r="F216" s="1">
        <f t="shared" si="32"/>
        <v>0.18</v>
      </c>
      <c r="G216" s="10">
        <f t="shared" si="35"/>
        <v>0.18000004856650431</v>
      </c>
      <c r="H216" s="10">
        <f t="shared" ref="H216:H244" si="38">E216-G216</f>
        <v>0.79999995143349567</v>
      </c>
      <c r="I216" s="1">
        <f t="shared" si="36"/>
        <v>1.84</v>
      </c>
      <c r="J216">
        <f t="shared" ref="J216:J244" si="39">H216/I216</f>
        <v>0.43478258230081285</v>
      </c>
      <c r="K216" s="10">
        <f t="shared" si="31"/>
        <v>4.8566504307068219E-8</v>
      </c>
      <c r="L216" s="95">
        <f t="shared" si="30"/>
        <v>8.0434742483231694E-2</v>
      </c>
      <c r="M216" s="10"/>
      <c r="N216" s="11"/>
      <c r="O216" s="11"/>
    </row>
    <row r="217" spans="2:15" x14ac:dyDescent="0.25">
      <c r="B217" s="1">
        <f t="shared" si="33"/>
        <v>19.400000000000006</v>
      </c>
      <c r="C217" s="1">
        <v>1</v>
      </c>
      <c r="D217" s="1">
        <f t="shared" si="37"/>
        <v>0.98</v>
      </c>
      <c r="E217" s="1">
        <f t="shared" si="34"/>
        <v>0.98</v>
      </c>
      <c r="F217" s="1">
        <f t="shared" si="32"/>
        <v>0.18</v>
      </c>
      <c r="G217" s="10">
        <f t="shared" si="35"/>
        <v>0.17999998891947561</v>
      </c>
      <c r="H217" s="10">
        <f t="shared" si="38"/>
        <v>0.80000001108052432</v>
      </c>
      <c r="I217" s="1">
        <f t="shared" si="36"/>
        <v>1.84</v>
      </c>
      <c r="J217">
        <f t="shared" si="39"/>
        <v>0.43478261471767626</v>
      </c>
      <c r="K217" s="10">
        <f t="shared" si="31"/>
        <v>-1.1080524386919421E-8</v>
      </c>
      <c r="L217" s="95">
        <f t="shared" ref="L217:L245" si="40">L216+K216</f>
        <v>8.0434791049735999E-2</v>
      </c>
      <c r="M217" s="10"/>
      <c r="N217" s="11"/>
      <c r="O217" s="11"/>
    </row>
    <row r="218" spans="2:15" x14ac:dyDescent="0.25">
      <c r="B218" s="1">
        <f t="shared" si="33"/>
        <v>19.500000000000007</v>
      </c>
      <c r="C218" s="1">
        <v>0</v>
      </c>
      <c r="D218" s="1">
        <f t="shared" si="37"/>
        <v>0</v>
      </c>
      <c r="E218" s="1">
        <f t="shared" si="34"/>
        <v>0</v>
      </c>
      <c r="F218" s="1">
        <f t="shared" si="32"/>
        <v>0.18</v>
      </c>
      <c r="G218" s="10">
        <f t="shared" si="35"/>
        <v>0.18000000324168633</v>
      </c>
      <c r="H218" s="10">
        <f t="shared" si="38"/>
        <v>-0.18000000324168633</v>
      </c>
      <c r="I218" s="1">
        <f t="shared" si="36"/>
        <v>1.84</v>
      </c>
      <c r="J218">
        <f t="shared" si="39"/>
        <v>-9.782608871830778E-2</v>
      </c>
      <c r="K218" s="10">
        <f t="shared" ref="K218:K244" si="41">(J217-J216) * $B$19</f>
        <v>3.2416863415818399E-9</v>
      </c>
      <c r="L218" s="95">
        <f t="shared" si="40"/>
        <v>8.0434779969211612E-2</v>
      </c>
      <c r="M218" s="10"/>
      <c r="N218" s="11"/>
      <c r="O218" s="11"/>
    </row>
    <row r="219" spans="2:15" x14ac:dyDescent="0.25">
      <c r="B219" s="1">
        <f t="shared" si="33"/>
        <v>19.600000000000009</v>
      </c>
      <c r="C219" s="1">
        <v>0</v>
      </c>
      <c r="D219" s="1">
        <f t="shared" si="37"/>
        <v>0</v>
      </c>
      <c r="E219" s="1">
        <f t="shared" si="34"/>
        <v>0</v>
      </c>
      <c r="F219" s="1">
        <f t="shared" si="32"/>
        <v>0.18</v>
      </c>
      <c r="G219" s="10">
        <f t="shared" si="35"/>
        <v>0.12673912965640158</v>
      </c>
      <c r="H219" s="10">
        <f t="shared" si="38"/>
        <v>-0.12673912965640158</v>
      </c>
      <c r="I219" s="1">
        <f t="shared" si="36"/>
        <v>1.84</v>
      </c>
      <c r="J219">
        <f t="shared" si="39"/>
        <v>-6.8879961769783463E-2</v>
      </c>
      <c r="K219" s="10">
        <f t="shared" si="41"/>
        <v>-5.3260870343598415E-2</v>
      </c>
      <c r="L219" s="95">
        <f t="shared" si="40"/>
        <v>8.0434783210897948E-2</v>
      </c>
      <c r="M219" s="10"/>
      <c r="N219" s="11"/>
      <c r="O219" s="11"/>
    </row>
    <row r="220" spans="2:15" x14ac:dyDescent="0.25">
      <c r="B220" s="1">
        <f t="shared" si="33"/>
        <v>19.70000000000001</v>
      </c>
      <c r="C220" s="1">
        <v>0</v>
      </c>
      <c r="D220" s="1">
        <f t="shared" si="37"/>
        <v>0</v>
      </c>
      <c r="E220" s="1">
        <f t="shared" si="34"/>
        <v>0</v>
      </c>
      <c r="F220" s="1">
        <f t="shared" si="32"/>
        <v>0.18</v>
      </c>
      <c r="G220" s="10">
        <f t="shared" si="35"/>
        <v>0.18289461269485244</v>
      </c>
      <c r="H220" s="10">
        <f t="shared" si="38"/>
        <v>-0.18289461269485244</v>
      </c>
      <c r="I220" s="1">
        <f t="shared" si="36"/>
        <v>1.84</v>
      </c>
      <c r="J220">
        <f t="shared" si="39"/>
        <v>-9.9399246029811109E-2</v>
      </c>
      <c r="K220" s="10">
        <f t="shared" si="41"/>
        <v>2.8946126948524321E-3</v>
      </c>
      <c r="L220" s="95">
        <f t="shared" si="40"/>
        <v>2.7173912867299532E-2</v>
      </c>
      <c r="M220" s="10"/>
      <c r="N220" s="11"/>
      <c r="O220" s="11"/>
    </row>
    <row r="221" spans="2:15" x14ac:dyDescent="0.25">
      <c r="B221" s="1">
        <f t="shared" si="33"/>
        <v>19.800000000000011</v>
      </c>
      <c r="C221" s="1">
        <v>0</v>
      </c>
      <c r="D221" s="1">
        <f t="shared" si="37"/>
        <v>0</v>
      </c>
      <c r="E221" s="1">
        <f t="shared" si="34"/>
        <v>0</v>
      </c>
      <c r="F221" s="1">
        <f t="shared" si="32"/>
        <v>0.18</v>
      </c>
      <c r="G221" s="10">
        <f t="shared" si="35"/>
        <v>0.17694807157399722</v>
      </c>
      <c r="H221" s="10">
        <f t="shared" si="38"/>
        <v>-0.17694807157399722</v>
      </c>
      <c r="I221" s="1">
        <f t="shared" si="36"/>
        <v>1.84</v>
      </c>
      <c r="J221">
        <f t="shared" si="39"/>
        <v>-9.6167430203259352E-2</v>
      </c>
      <c r="K221" s="10">
        <f t="shared" si="41"/>
        <v>-3.0519284260027649E-3</v>
      </c>
      <c r="L221" s="95">
        <f t="shared" si="40"/>
        <v>3.0068525562151963E-2</v>
      </c>
      <c r="M221" s="10"/>
      <c r="N221" s="11"/>
      <c r="O221" s="11"/>
    </row>
    <row r="222" spans="2:15" x14ac:dyDescent="0.25">
      <c r="B222" s="1">
        <f t="shared" si="33"/>
        <v>19.900000000000013</v>
      </c>
      <c r="C222" s="1">
        <v>0</v>
      </c>
      <c r="D222" s="1">
        <f t="shared" si="37"/>
        <v>0</v>
      </c>
      <c r="E222" s="1">
        <f t="shared" si="34"/>
        <v>0</v>
      </c>
      <c r="F222" s="1">
        <f t="shared" si="32"/>
        <v>0.18</v>
      </c>
      <c r="G222" s="10">
        <f t="shared" si="35"/>
        <v>0.18032318158265517</v>
      </c>
      <c r="H222" s="10">
        <f t="shared" si="38"/>
        <v>-0.18032318158265517</v>
      </c>
      <c r="I222" s="1">
        <f t="shared" si="36"/>
        <v>1.84</v>
      </c>
      <c r="J222">
        <f t="shared" si="39"/>
        <v>-9.8001729121008241E-2</v>
      </c>
      <c r="K222" s="10">
        <f t="shared" si="41"/>
        <v>3.231815826551757E-4</v>
      </c>
      <c r="L222" s="95">
        <f t="shared" si="40"/>
        <v>2.7016597136149199E-2</v>
      </c>
      <c r="M222" s="10"/>
      <c r="N222" s="11"/>
      <c r="O222" s="11"/>
    </row>
    <row r="223" spans="2:15" x14ac:dyDescent="0.25">
      <c r="B223" s="1">
        <f t="shared" si="33"/>
        <v>20.000000000000014</v>
      </c>
      <c r="C223" s="1">
        <v>0</v>
      </c>
      <c r="D223" s="1">
        <f t="shared" si="37"/>
        <v>0</v>
      </c>
      <c r="E223" s="1">
        <f t="shared" si="34"/>
        <v>0</v>
      </c>
      <c r="F223" s="1">
        <f t="shared" si="32"/>
        <v>0.18</v>
      </c>
      <c r="G223" s="10">
        <f t="shared" si="35"/>
        <v>0.1798165701082251</v>
      </c>
      <c r="H223" s="10">
        <f t="shared" si="38"/>
        <v>-0.1798165701082251</v>
      </c>
      <c r="I223" s="1">
        <f t="shared" si="36"/>
        <v>1.84</v>
      </c>
      <c r="J223">
        <f t="shared" si="39"/>
        <v>-9.7726396797948423E-2</v>
      </c>
      <c r="K223" s="10">
        <f t="shared" si="41"/>
        <v>-1.8342989177488889E-4</v>
      </c>
      <c r="L223" s="95">
        <f t="shared" si="40"/>
        <v>2.7339778718804376E-2</v>
      </c>
      <c r="M223" s="10"/>
      <c r="N223" s="11"/>
      <c r="O223" s="11"/>
    </row>
    <row r="224" spans="2:15" x14ac:dyDescent="0.25">
      <c r="B224" s="1">
        <f t="shared" si="33"/>
        <v>20.100000000000016</v>
      </c>
      <c r="C224" s="1">
        <v>0</v>
      </c>
      <c r="D224" s="1">
        <f t="shared" si="37"/>
        <v>0</v>
      </c>
      <c r="E224" s="1">
        <f t="shared" si="34"/>
        <v>0</v>
      </c>
      <c r="F224" s="1">
        <f t="shared" si="32"/>
        <v>0.18</v>
      </c>
      <c r="G224" s="10">
        <f t="shared" si="35"/>
        <v>0.18002753323230597</v>
      </c>
      <c r="H224" s="10">
        <f t="shared" si="38"/>
        <v>-0.18002753323230597</v>
      </c>
      <c r="I224" s="1">
        <f t="shared" si="36"/>
        <v>1.84</v>
      </c>
      <c r="J224">
        <f t="shared" si="39"/>
        <v>-9.7841050669731505E-2</v>
      </c>
      <c r="K224" s="10">
        <f t="shared" si="41"/>
        <v>2.7533232305981816E-5</v>
      </c>
      <c r="L224" s="95">
        <f t="shared" si="40"/>
        <v>2.7156348827029487E-2</v>
      </c>
      <c r="M224" s="10"/>
      <c r="N224" s="11"/>
      <c r="O224" s="11"/>
    </row>
    <row r="225" spans="2:15" x14ac:dyDescent="0.25">
      <c r="B225" s="1">
        <f t="shared" si="33"/>
        <v>20.200000000000017</v>
      </c>
      <c r="C225" s="1">
        <v>0</v>
      </c>
      <c r="D225" s="1">
        <f t="shared" si="37"/>
        <v>0</v>
      </c>
      <c r="E225" s="1">
        <f t="shared" si="34"/>
        <v>0</v>
      </c>
      <c r="F225" s="1">
        <f t="shared" ref="F225:F244" si="42">$F$19</f>
        <v>0.18</v>
      </c>
      <c r="G225" s="10">
        <f t="shared" si="35"/>
        <v>0.17998853461282169</v>
      </c>
      <c r="H225" s="10">
        <f t="shared" si="38"/>
        <v>-0.17998853461282169</v>
      </c>
      <c r="I225" s="1">
        <f t="shared" si="36"/>
        <v>1.84</v>
      </c>
      <c r="J225">
        <f t="shared" si="39"/>
        <v>-9.7819855767837874E-2</v>
      </c>
      <c r="K225" s="10">
        <f t="shared" si="41"/>
        <v>-1.1465387178308252E-5</v>
      </c>
      <c r="L225" s="95">
        <f t="shared" si="40"/>
        <v>2.718388205933547E-2</v>
      </c>
      <c r="M225" s="10"/>
      <c r="N225" s="11"/>
      <c r="O225" s="11"/>
    </row>
    <row r="226" spans="2:15" x14ac:dyDescent="0.25">
      <c r="B226" s="1">
        <f t="shared" si="33"/>
        <v>20.300000000000018</v>
      </c>
      <c r="C226" s="1">
        <v>0</v>
      </c>
      <c r="D226" s="1">
        <f t="shared" si="37"/>
        <v>0</v>
      </c>
      <c r="E226" s="1">
        <f t="shared" si="34"/>
        <v>0</v>
      </c>
      <c r="F226" s="1">
        <f t="shared" si="42"/>
        <v>0.18</v>
      </c>
      <c r="G226" s="10">
        <f t="shared" si="35"/>
        <v>0.18000211949018935</v>
      </c>
      <c r="H226" s="10">
        <f t="shared" si="38"/>
        <v>-0.18000211949018935</v>
      </c>
      <c r="I226" s="1">
        <f t="shared" si="36"/>
        <v>1.84</v>
      </c>
      <c r="J226">
        <f t="shared" si="39"/>
        <v>-9.7827238853363779E-2</v>
      </c>
      <c r="K226" s="10">
        <f t="shared" si="41"/>
        <v>2.1194901893631379E-6</v>
      </c>
      <c r="L226" s="95">
        <f t="shared" si="40"/>
        <v>2.7172416672157161E-2</v>
      </c>
      <c r="M226" s="10"/>
      <c r="N226" s="11"/>
      <c r="O226" s="11"/>
    </row>
    <row r="227" spans="2:15" x14ac:dyDescent="0.25">
      <c r="B227" s="1">
        <f t="shared" si="33"/>
        <v>20.40000000000002</v>
      </c>
      <c r="C227" s="1">
        <v>0</v>
      </c>
      <c r="D227" s="1">
        <f t="shared" si="37"/>
        <v>0</v>
      </c>
      <c r="E227" s="1">
        <f t="shared" si="34"/>
        <v>0</v>
      </c>
      <c r="F227" s="1">
        <f t="shared" si="42"/>
        <v>0.18</v>
      </c>
      <c r="G227" s="10">
        <f t="shared" si="35"/>
        <v>0.17999926169144739</v>
      </c>
      <c r="H227" s="10">
        <f t="shared" si="38"/>
        <v>-0.17999926169144739</v>
      </c>
      <c r="I227" s="1">
        <f t="shared" si="36"/>
        <v>1.84</v>
      </c>
      <c r="J227">
        <f t="shared" si="39"/>
        <v>-9.7825685701873583E-2</v>
      </c>
      <c r="K227" s="10">
        <f t="shared" si="41"/>
        <v>-7.3830855259054977E-7</v>
      </c>
      <c r="L227" s="95">
        <f t="shared" si="40"/>
        <v>2.7174536162346524E-2</v>
      </c>
      <c r="M227" s="10"/>
      <c r="N227" s="11"/>
      <c r="O227" s="11"/>
    </row>
    <row r="228" spans="2:15" x14ac:dyDescent="0.25">
      <c r="B228" s="1">
        <f t="shared" si="33"/>
        <v>20.500000000000021</v>
      </c>
      <c r="C228" s="1">
        <v>0</v>
      </c>
      <c r="D228" s="1">
        <f t="shared" si="37"/>
        <v>0</v>
      </c>
      <c r="E228" s="1">
        <f t="shared" si="34"/>
        <v>0</v>
      </c>
      <c r="F228" s="1">
        <f t="shared" si="42"/>
        <v>0.18</v>
      </c>
      <c r="G228" s="10">
        <f t="shared" si="35"/>
        <v>0.18000015531514901</v>
      </c>
      <c r="H228" s="10">
        <f t="shared" si="38"/>
        <v>-0.18000015531514901</v>
      </c>
      <c r="I228" s="1">
        <f t="shared" si="36"/>
        <v>1.84</v>
      </c>
      <c r="J228">
        <f t="shared" si="39"/>
        <v>-9.782617136692881E-2</v>
      </c>
      <c r="K228" s="10">
        <f t="shared" si="41"/>
        <v>1.5531514901967469E-7</v>
      </c>
      <c r="L228" s="95">
        <f t="shared" si="40"/>
        <v>2.7173797853793934E-2</v>
      </c>
      <c r="M228" s="10"/>
      <c r="N228" s="11"/>
      <c r="O228" s="11"/>
    </row>
    <row r="229" spans="2:15" x14ac:dyDescent="0.25">
      <c r="B229" s="1">
        <f t="shared" si="33"/>
        <v>20.600000000000023</v>
      </c>
      <c r="C229" s="1">
        <v>0</v>
      </c>
      <c r="D229" s="1">
        <f t="shared" si="37"/>
        <v>0</v>
      </c>
      <c r="E229" s="1">
        <f t="shared" si="34"/>
        <v>0</v>
      </c>
      <c r="F229" s="1">
        <f t="shared" si="42"/>
        <v>0.18</v>
      </c>
      <c r="G229" s="10">
        <f t="shared" si="35"/>
        <v>0.17999995143349448</v>
      </c>
      <c r="H229" s="10">
        <f t="shared" si="38"/>
        <v>-0.17999995143349448</v>
      </c>
      <c r="I229" s="1">
        <f t="shared" si="36"/>
        <v>1.84</v>
      </c>
      <c r="J229">
        <f t="shared" si="39"/>
        <v>-9.7826060561681777E-2</v>
      </c>
      <c r="K229" s="10">
        <f t="shared" si="41"/>
        <v>-4.8566505522762429E-8</v>
      </c>
      <c r="L229" s="95">
        <f t="shared" si="40"/>
        <v>2.7173953168942954E-2</v>
      </c>
      <c r="M229" s="10"/>
      <c r="N229" s="11"/>
      <c r="O229" s="11"/>
    </row>
    <row r="230" spans="2:15" x14ac:dyDescent="0.25">
      <c r="B230" s="1">
        <f t="shared" si="33"/>
        <v>20.700000000000024</v>
      </c>
      <c r="C230" s="1">
        <v>0</v>
      </c>
      <c r="D230" s="1">
        <f t="shared" si="37"/>
        <v>0</v>
      </c>
      <c r="E230" s="1">
        <f t="shared" si="34"/>
        <v>0</v>
      </c>
      <c r="F230" s="1">
        <f t="shared" si="42"/>
        <v>0.18</v>
      </c>
      <c r="G230" s="10">
        <f t="shared" si="35"/>
        <v>0.18000001108052469</v>
      </c>
      <c r="H230" s="10">
        <f t="shared" si="38"/>
        <v>-0.18000001108052469</v>
      </c>
      <c r="I230" s="1">
        <f t="shared" si="36"/>
        <v>1.84</v>
      </c>
      <c r="J230">
        <f t="shared" si="39"/>
        <v>-9.7826092978546025E-2</v>
      </c>
      <c r="K230" s="10">
        <f t="shared" si="41"/>
        <v>1.1080524703332984E-8</v>
      </c>
      <c r="L230" s="95">
        <f t="shared" si="40"/>
        <v>2.7173904602437432E-2</v>
      </c>
      <c r="M230" s="10"/>
      <c r="N230" s="11"/>
      <c r="O230" s="11"/>
    </row>
    <row r="231" spans="2:15" x14ac:dyDescent="0.25">
      <c r="B231" s="1">
        <f t="shared" si="33"/>
        <v>20.800000000000026</v>
      </c>
      <c r="C231" s="1">
        <v>0</v>
      </c>
      <c r="D231" s="1">
        <f t="shared" si="37"/>
        <v>0</v>
      </c>
      <c r="E231" s="1">
        <f t="shared" si="34"/>
        <v>0</v>
      </c>
      <c r="F231" s="1">
        <f t="shared" si="42"/>
        <v>0.18</v>
      </c>
      <c r="G231" s="10">
        <f t="shared" si="35"/>
        <v>0.17999999675831357</v>
      </c>
      <c r="H231" s="10">
        <f t="shared" si="38"/>
        <v>-0.17999999675831357</v>
      </c>
      <c r="I231" s="1">
        <f t="shared" si="36"/>
        <v>1.84</v>
      </c>
      <c r="J231">
        <f t="shared" si="39"/>
        <v>-9.7826085194735637E-2</v>
      </c>
      <c r="K231" s="10">
        <f t="shared" si="41"/>
        <v>-3.2416864248485667E-9</v>
      </c>
      <c r="L231" s="95">
        <f t="shared" si="40"/>
        <v>2.7173915682962135E-2</v>
      </c>
      <c r="M231" s="10"/>
      <c r="N231" s="11"/>
      <c r="O231" s="11"/>
    </row>
    <row r="232" spans="2:15" x14ac:dyDescent="0.25">
      <c r="B232" s="1">
        <f t="shared" si="33"/>
        <v>20.900000000000027</v>
      </c>
      <c r="C232" s="1">
        <v>0</v>
      </c>
      <c r="D232" s="1">
        <f t="shared" si="37"/>
        <v>0</v>
      </c>
      <c r="E232" s="1">
        <f t="shared" si="34"/>
        <v>0</v>
      </c>
      <c r="F232" s="1">
        <f t="shared" si="42"/>
        <v>0.18</v>
      </c>
      <c r="G232" s="10">
        <f t="shared" si="35"/>
        <v>0.18000000077838102</v>
      </c>
      <c r="H232" s="10">
        <f t="shared" si="38"/>
        <v>-0.18000000077838102</v>
      </c>
      <c r="I232" s="1">
        <f t="shared" si="36"/>
        <v>1.84</v>
      </c>
      <c r="J232">
        <f t="shared" si="39"/>
        <v>-9.7826087379554894E-2</v>
      </c>
      <c r="K232" s="10">
        <f t="shared" si="41"/>
        <v>7.7838103879068762E-10</v>
      </c>
      <c r="L232" s="95">
        <f t="shared" si="40"/>
        <v>2.7173912441275708E-2</v>
      </c>
      <c r="M232" s="10"/>
      <c r="N232" s="11"/>
      <c r="O232" s="11"/>
    </row>
    <row r="233" spans="2:15" x14ac:dyDescent="0.25">
      <c r="B233" s="1">
        <f t="shared" si="33"/>
        <v>21.000000000000028</v>
      </c>
      <c r="C233" s="1">
        <v>0</v>
      </c>
      <c r="D233" s="1">
        <f t="shared" si="37"/>
        <v>0</v>
      </c>
      <c r="E233" s="1">
        <f t="shared" si="34"/>
        <v>0</v>
      </c>
      <c r="F233" s="1">
        <f t="shared" si="42"/>
        <v>0.18</v>
      </c>
      <c r="G233" s="10">
        <f t="shared" si="35"/>
        <v>0.17999999978151807</v>
      </c>
      <c r="H233" s="10">
        <f t="shared" si="38"/>
        <v>-0.17999999978151807</v>
      </c>
      <c r="I233" s="1">
        <f t="shared" si="36"/>
        <v>1.84</v>
      </c>
      <c r="J233">
        <f t="shared" si="39"/>
        <v>-9.7826086837781559E-2</v>
      </c>
      <c r="K233" s="10">
        <f t="shared" si="41"/>
        <v>-2.1848192560680602E-10</v>
      </c>
      <c r="L233" s="95">
        <f t="shared" si="40"/>
        <v>2.7173913219656749E-2</v>
      </c>
      <c r="M233" s="10"/>
      <c r="N233" s="11"/>
      <c r="O233" s="11"/>
    </row>
    <row r="234" spans="2:15" x14ac:dyDescent="0.25">
      <c r="B234" s="1">
        <f t="shared" si="33"/>
        <v>21.10000000000003</v>
      </c>
      <c r="C234" s="1">
        <v>0</v>
      </c>
      <c r="D234" s="1">
        <f t="shared" si="37"/>
        <v>0</v>
      </c>
      <c r="E234" s="1">
        <f t="shared" si="34"/>
        <v>0</v>
      </c>
      <c r="F234" s="1">
        <f t="shared" si="42"/>
        <v>0.18</v>
      </c>
      <c r="G234" s="10">
        <f t="shared" si="35"/>
        <v>0.18000000005417732</v>
      </c>
      <c r="H234" s="10">
        <f t="shared" si="38"/>
        <v>-0.18000000005417732</v>
      </c>
      <c r="I234" s="1">
        <f t="shared" si="36"/>
        <v>1.84</v>
      </c>
      <c r="J234">
        <f t="shared" si="39"/>
        <v>-9.7826086985965927E-2</v>
      </c>
      <c r="K234" s="10">
        <f t="shared" si="41"/>
        <v>5.417733345280951E-11</v>
      </c>
      <c r="L234" s="95">
        <f t="shared" si="40"/>
        <v>2.7173913001174822E-2</v>
      </c>
      <c r="M234" s="10"/>
      <c r="N234" s="11"/>
      <c r="O234" s="11"/>
    </row>
    <row r="235" spans="2:15" x14ac:dyDescent="0.25">
      <c r="B235" s="1">
        <f t="shared" si="33"/>
        <v>21.200000000000031</v>
      </c>
      <c r="C235" s="1">
        <v>0</v>
      </c>
      <c r="D235" s="1">
        <f t="shared" si="37"/>
        <v>0</v>
      </c>
      <c r="E235" s="1">
        <f t="shared" si="34"/>
        <v>0</v>
      </c>
      <c r="F235" s="1">
        <f t="shared" si="42"/>
        <v>0.18</v>
      </c>
      <c r="G235" s="10">
        <f t="shared" si="35"/>
        <v>0.17999999998518157</v>
      </c>
      <c r="H235" s="10">
        <f t="shared" si="38"/>
        <v>-0.17999999998518157</v>
      </c>
      <c r="I235" s="1">
        <f t="shared" si="36"/>
        <v>1.84</v>
      </c>
      <c r="J235">
        <f t="shared" si="39"/>
        <v>-9.7826086948468241E-2</v>
      </c>
      <c r="K235" s="10">
        <f t="shared" si="41"/>
        <v>-1.481843675543715E-11</v>
      </c>
      <c r="L235" s="95">
        <f t="shared" si="40"/>
        <v>2.7173913055352154E-2</v>
      </c>
      <c r="M235" s="10"/>
      <c r="N235" s="11"/>
      <c r="O235" s="11"/>
    </row>
    <row r="236" spans="2:15" x14ac:dyDescent="0.25">
      <c r="B236" s="1">
        <f t="shared" si="33"/>
        <v>21.300000000000033</v>
      </c>
      <c r="C236" s="1">
        <v>0</v>
      </c>
      <c r="D236" s="1">
        <f t="shared" si="37"/>
        <v>0</v>
      </c>
      <c r="E236" s="1">
        <f t="shared" si="34"/>
        <v>0</v>
      </c>
      <c r="F236" s="1">
        <f t="shared" si="42"/>
        <v>0.18</v>
      </c>
      <c r="G236" s="10">
        <f t="shared" si="35"/>
        <v>0.18000000000374977</v>
      </c>
      <c r="H236" s="10">
        <f t="shared" si="38"/>
        <v>-0.18000000000374977</v>
      </c>
      <c r="I236" s="1">
        <f t="shared" si="36"/>
        <v>1.84</v>
      </c>
      <c r="J236">
        <f t="shared" si="39"/>
        <v>-9.7826086958559655E-2</v>
      </c>
      <c r="K236" s="10">
        <f t="shared" si="41"/>
        <v>3.7497685512200006E-12</v>
      </c>
      <c r="L236" s="95">
        <f t="shared" si="40"/>
        <v>2.7173913040533716E-2</v>
      </c>
      <c r="M236" s="10"/>
      <c r="N236" s="11"/>
      <c r="O236" s="11"/>
    </row>
    <row r="237" spans="2:15" x14ac:dyDescent="0.25">
      <c r="B237" s="1">
        <f t="shared" si="33"/>
        <v>21.400000000000034</v>
      </c>
      <c r="C237" s="1">
        <v>0</v>
      </c>
      <c r="D237" s="1">
        <f t="shared" si="37"/>
        <v>0</v>
      </c>
      <c r="E237" s="1">
        <f t="shared" si="34"/>
        <v>0</v>
      </c>
      <c r="F237" s="1">
        <f t="shared" si="42"/>
        <v>0.18</v>
      </c>
      <c r="G237" s="10">
        <f t="shared" si="35"/>
        <v>0.17999999999899086</v>
      </c>
      <c r="H237" s="10">
        <f t="shared" si="38"/>
        <v>-0.17999999999899086</v>
      </c>
      <c r="I237" s="1">
        <f t="shared" si="36"/>
        <v>1.84</v>
      </c>
      <c r="J237">
        <f t="shared" si="39"/>
        <v>-9.7826086955973293E-2</v>
      </c>
      <c r="K237" s="10">
        <f t="shared" si="41"/>
        <v>-1.0091413815693784E-12</v>
      </c>
      <c r="L237" s="95">
        <f t="shared" si="40"/>
        <v>2.7173913044283484E-2</v>
      </c>
      <c r="M237" s="10"/>
      <c r="N237" s="11"/>
      <c r="O237" s="11"/>
    </row>
    <row r="238" spans="2:15" x14ac:dyDescent="0.25">
      <c r="B238" s="1">
        <f t="shared" si="33"/>
        <v>21.500000000000036</v>
      </c>
      <c r="C238" s="1">
        <v>0</v>
      </c>
      <c r="D238" s="1">
        <f t="shared" si="37"/>
        <v>0</v>
      </c>
      <c r="E238" s="1">
        <f t="shared" si="34"/>
        <v>0</v>
      </c>
      <c r="F238" s="1">
        <f t="shared" si="42"/>
        <v>0.18</v>
      </c>
      <c r="G238" s="10">
        <f t="shared" si="35"/>
        <v>0.18000000000025862</v>
      </c>
      <c r="H238" s="10">
        <f t="shared" si="38"/>
        <v>-0.18000000000025862</v>
      </c>
      <c r="I238" s="1">
        <f t="shared" si="36"/>
        <v>1.84</v>
      </c>
      <c r="J238">
        <f t="shared" si="39"/>
        <v>-9.7826086956662284E-2</v>
      </c>
      <c r="K238" s="10">
        <f t="shared" si="41"/>
        <v>2.586361680378957E-13</v>
      </c>
      <c r="L238" s="95">
        <f t="shared" si="40"/>
        <v>2.7173913043274343E-2</v>
      </c>
      <c r="M238" s="10"/>
      <c r="N238" s="11"/>
      <c r="O238" s="11"/>
    </row>
    <row r="239" spans="2:15" x14ac:dyDescent="0.25">
      <c r="B239" s="1">
        <f t="shared" si="33"/>
        <v>21.600000000000037</v>
      </c>
      <c r="C239" s="1">
        <v>0</v>
      </c>
      <c r="D239" s="1">
        <f t="shared" si="37"/>
        <v>0</v>
      </c>
      <c r="E239" s="1">
        <f t="shared" si="34"/>
        <v>0</v>
      </c>
      <c r="F239" s="1">
        <f t="shared" si="42"/>
        <v>0.18</v>
      </c>
      <c r="G239" s="10">
        <f t="shared" si="35"/>
        <v>0.1799999999999311</v>
      </c>
      <c r="H239" s="10">
        <f t="shared" si="38"/>
        <v>-0.1799999999999311</v>
      </c>
      <c r="I239" s="1">
        <f t="shared" si="36"/>
        <v>1.84</v>
      </c>
      <c r="J239">
        <f t="shared" si="39"/>
        <v>-9.7826086956484287E-2</v>
      </c>
      <c r="K239" s="10">
        <f t="shared" si="41"/>
        <v>-6.8899053129456444E-14</v>
      </c>
      <c r="L239" s="95">
        <f t="shared" si="40"/>
        <v>2.717391304353298E-2</v>
      </c>
      <c r="M239" s="10"/>
      <c r="N239" s="11"/>
      <c r="O239" s="11"/>
    </row>
    <row r="240" spans="2:15" x14ac:dyDescent="0.25">
      <c r="B240" s="1">
        <f t="shared" si="33"/>
        <v>21.700000000000038</v>
      </c>
      <c r="C240" s="1">
        <v>0</v>
      </c>
      <c r="D240" s="1">
        <f t="shared" si="37"/>
        <v>0</v>
      </c>
      <c r="E240" s="1">
        <f t="shared" si="34"/>
        <v>0</v>
      </c>
      <c r="F240" s="1">
        <f t="shared" si="42"/>
        <v>0.18</v>
      </c>
      <c r="G240" s="10">
        <f t="shared" si="35"/>
        <v>0.18000000000001778</v>
      </c>
      <c r="H240" s="10">
        <f t="shared" si="38"/>
        <v>-0.18000000000001778</v>
      </c>
      <c r="I240" s="1">
        <f t="shared" si="36"/>
        <v>1.84</v>
      </c>
      <c r="J240">
        <f t="shared" si="39"/>
        <v>-9.7826086956531402E-2</v>
      </c>
      <c r="K240" s="10">
        <f t="shared" si="41"/>
        <v>1.7799650642302824E-14</v>
      </c>
      <c r="L240" s="95">
        <f t="shared" si="40"/>
        <v>2.717391304346408E-2</v>
      </c>
      <c r="M240" s="10"/>
      <c r="N240" s="11"/>
      <c r="O240" s="11"/>
    </row>
    <row r="241" spans="2:15" x14ac:dyDescent="0.25">
      <c r="B241" s="1">
        <f t="shared" si="33"/>
        <v>21.80000000000004</v>
      </c>
      <c r="C241" s="1">
        <v>0</v>
      </c>
      <c r="D241" s="1">
        <f t="shared" si="37"/>
        <v>0</v>
      </c>
      <c r="E241" s="1">
        <f t="shared" si="34"/>
        <v>0</v>
      </c>
      <c r="F241" s="1">
        <f t="shared" si="42"/>
        <v>0.18</v>
      </c>
      <c r="G241" s="10">
        <f t="shared" si="35"/>
        <v>0.17999999999999527</v>
      </c>
      <c r="H241" s="10">
        <f t="shared" si="38"/>
        <v>-0.17999999999999527</v>
      </c>
      <c r="I241" s="1">
        <f t="shared" si="36"/>
        <v>1.84</v>
      </c>
      <c r="J241">
        <f t="shared" si="39"/>
        <v>-9.7826086956519162E-2</v>
      </c>
      <c r="K241" s="10">
        <f t="shared" si="41"/>
        <v>-4.7115089607530081E-15</v>
      </c>
      <c r="L241" s="95">
        <f t="shared" si="40"/>
        <v>2.7173913043481879E-2</v>
      </c>
      <c r="M241" s="10"/>
      <c r="N241" s="11"/>
      <c r="O241" s="11"/>
    </row>
    <row r="242" spans="2:15" x14ac:dyDescent="0.25">
      <c r="B242" s="1">
        <f t="shared" si="33"/>
        <v>21.900000000000041</v>
      </c>
      <c r="C242" s="1">
        <v>0</v>
      </c>
      <c r="D242" s="1">
        <f t="shared" si="37"/>
        <v>0</v>
      </c>
      <c r="E242" s="1">
        <f t="shared" si="34"/>
        <v>0</v>
      </c>
      <c r="F242" s="1">
        <f t="shared" si="42"/>
        <v>0.18</v>
      </c>
      <c r="G242" s="10">
        <f t="shared" si="35"/>
        <v>0.18000000000000121</v>
      </c>
      <c r="H242" s="10">
        <f t="shared" si="38"/>
        <v>-0.18000000000000121</v>
      </c>
      <c r="I242" s="1">
        <f t="shared" si="36"/>
        <v>1.84</v>
      </c>
      <c r="J242">
        <f t="shared" si="39"/>
        <v>-9.7826086956522396E-2</v>
      </c>
      <c r="K242" s="10">
        <f t="shared" si="41"/>
        <v>1.2240208846492351E-15</v>
      </c>
      <c r="L242" s="95">
        <f t="shared" si="40"/>
        <v>2.7173913043477167E-2</v>
      </c>
      <c r="M242" s="10"/>
      <c r="N242" s="11"/>
      <c r="O242" s="11"/>
    </row>
    <row r="243" spans="2:15" x14ac:dyDescent="0.25">
      <c r="B243" s="1">
        <f t="shared" si="33"/>
        <v>22.000000000000043</v>
      </c>
      <c r="C243" s="1">
        <v>0</v>
      </c>
      <c r="D243" s="1">
        <f t="shared" si="37"/>
        <v>0</v>
      </c>
      <c r="E243" s="1">
        <f t="shared" si="34"/>
        <v>0</v>
      </c>
      <c r="F243" s="1">
        <f t="shared" si="42"/>
        <v>0.18</v>
      </c>
      <c r="G243" s="10">
        <f t="shared" si="35"/>
        <v>0.17999999999999966</v>
      </c>
      <c r="H243" s="10">
        <f t="shared" si="38"/>
        <v>-0.17999999999999966</v>
      </c>
      <c r="I243" s="1">
        <f t="shared" si="36"/>
        <v>1.84</v>
      </c>
      <c r="J243">
        <f t="shared" si="39"/>
        <v>-9.7826086956521549E-2</v>
      </c>
      <c r="K243" s="10">
        <f t="shared" si="41"/>
        <v>-3.2335245592207685E-16</v>
      </c>
      <c r="L243" s="95">
        <f t="shared" si="40"/>
        <v>2.7173913043478392E-2</v>
      </c>
      <c r="M243" s="10"/>
      <c r="N243" s="11"/>
      <c r="O243" s="11"/>
    </row>
    <row r="244" spans="2:15" x14ac:dyDescent="0.25">
      <c r="B244" s="1">
        <f t="shared" si="33"/>
        <v>22.100000000000044</v>
      </c>
      <c r="C244" s="1">
        <v>1</v>
      </c>
      <c r="D244" s="1">
        <f t="shared" si="37"/>
        <v>0.98</v>
      </c>
      <c r="E244" s="1">
        <f t="shared" si="34"/>
        <v>0.98</v>
      </c>
      <c r="F244" s="1">
        <f t="shared" si="42"/>
        <v>0.18</v>
      </c>
      <c r="G244" s="10">
        <f t="shared" si="35"/>
        <v>0.18000000000000008</v>
      </c>
      <c r="H244" s="10">
        <f t="shared" si="38"/>
        <v>0.79999999999999993</v>
      </c>
      <c r="I244" s="1">
        <f t="shared" si="36"/>
        <v>1.84</v>
      </c>
      <c r="J244">
        <f t="shared" si="39"/>
        <v>0.43478260869565211</v>
      </c>
      <c r="K244" s="10">
        <f t="shared" si="41"/>
        <v>8.4654505627668194E-17</v>
      </c>
      <c r="L244" s="95">
        <f t="shared" si="40"/>
        <v>2.7173913043478069E-2</v>
      </c>
      <c r="M244" s="10"/>
      <c r="N244" s="11"/>
      <c r="O244" s="11"/>
    </row>
    <row r="245" spans="2:15" x14ac:dyDescent="0.25">
      <c r="C245" s="1">
        <v>1</v>
      </c>
      <c r="L245" s="95">
        <f t="shared" si="40"/>
        <v>2.7173913043478153E-2</v>
      </c>
    </row>
    <row r="246" spans="2:15" x14ac:dyDescent="0.25">
      <c r="C246" s="1">
        <v>1</v>
      </c>
    </row>
    <row r="247" spans="2:15" x14ac:dyDescent="0.25">
      <c r="C247" s="1">
        <v>1</v>
      </c>
    </row>
    <row r="248" spans="2:15" x14ac:dyDescent="0.25">
      <c r="C248" s="1">
        <v>1</v>
      </c>
    </row>
    <row r="249" spans="2:15" x14ac:dyDescent="0.25">
      <c r="C249" s="1">
        <v>1</v>
      </c>
    </row>
    <row r="250" spans="2:15" x14ac:dyDescent="0.25">
      <c r="C250" s="1">
        <v>1</v>
      </c>
    </row>
    <row r="251" spans="2:15" x14ac:dyDescent="0.25">
      <c r="C251" s="1">
        <v>1</v>
      </c>
    </row>
    <row r="252" spans="2:15" x14ac:dyDescent="0.25">
      <c r="C252" s="1">
        <v>1</v>
      </c>
    </row>
    <row r="253" spans="2:15" x14ac:dyDescent="0.25">
      <c r="C253" s="1">
        <v>1</v>
      </c>
    </row>
    <row r="254" spans="2:15" x14ac:dyDescent="0.25">
      <c r="C254" s="1">
        <v>1</v>
      </c>
    </row>
    <row r="255" spans="2:15" x14ac:dyDescent="0.25">
      <c r="C255" s="1">
        <v>1</v>
      </c>
    </row>
    <row r="256" spans="2:15" x14ac:dyDescent="0.25">
      <c r="C256" s="1">
        <v>1</v>
      </c>
    </row>
  </sheetData>
  <conditionalFormatting sqref="O23:O244">
    <cfRule type="colorScale" priority="4">
      <colorScale>
        <cfvo type="min"/>
        <cfvo type="percentile" val="50"/>
        <cfvo type="max"/>
        <color rgb="FFF8696B"/>
        <color rgb="FFFFEB84"/>
        <color rgb="FF63BE7B"/>
      </colorScale>
    </cfRule>
  </conditionalFormatting>
  <conditionalFormatting sqref="C23:C217">
    <cfRule type="colorScale" priority="3">
      <colorScale>
        <cfvo type="min"/>
        <cfvo type="percentile" val="50"/>
        <cfvo type="max"/>
        <color rgb="FF63BE7B"/>
        <color rgb="FFFFEB84"/>
        <color rgb="FFF8696B"/>
      </colorScale>
    </cfRule>
  </conditionalFormatting>
  <conditionalFormatting sqref="C218:C256">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Y2009"/>
  <sheetViews>
    <sheetView tabSelected="1" topLeftCell="M1" zoomScale="90" zoomScaleNormal="90" workbookViewId="0">
      <selection activeCell="T6" sqref="T6:T18"/>
    </sheetView>
  </sheetViews>
  <sheetFormatPr defaultRowHeight="15" x14ac:dyDescent="0.25"/>
  <cols>
    <col min="18" max="18" width="8.85546875" style="1"/>
    <col min="19" max="19" width="11.7109375" style="119" customWidth="1"/>
    <col min="20" max="20" width="32.28515625" customWidth="1"/>
    <col min="25" max="25" width="11" customWidth="1"/>
  </cols>
  <sheetData>
    <row r="1" spans="2:25" ht="18" x14ac:dyDescent="0.35">
      <c r="B1" s="122" t="s">
        <v>125</v>
      </c>
      <c r="S1" s="1"/>
    </row>
    <row r="2" spans="2:25" ht="14.45" x14ac:dyDescent="0.3">
      <c r="S2" s="1"/>
    </row>
    <row r="3" spans="2:25" s="100" customFormat="1" ht="17.45" customHeight="1" x14ac:dyDescent="0.3">
      <c r="B3" s="104" t="s">
        <v>120</v>
      </c>
      <c r="C3" s="112" t="s">
        <v>119</v>
      </c>
      <c r="D3" s="112" t="s">
        <v>97</v>
      </c>
      <c r="E3" s="114" t="s">
        <v>102</v>
      </c>
      <c r="F3" s="114" t="s">
        <v>122</v>
      </c>
      <c r="G3"/>
      <c r="H3"/>
      <c r="I3"/>
      <c r="J3"/>
      <c r="K3"/>
      <c r="R3" s="116" t="s">
        <v>121</v>
      </c>
      <c r="S3" s="101"/>
      <c r="X3" s="104" t="s">
        <v>126</v>
      </c>
    </row>
    <row r="4" spans="2:25" s="100" customFormat="1" ht="17.45" customHeight="1" x14ac:dyDescent="0.3">
      <c r="B4" s="113">
        <v>0</v>
      </c>
      <c r="C4" s="113">
        <v>0</v>
      </c>
      <c r="D4" s="113">
        <v>0</v>
      </c>
      <c r="E4" s="115">
        <f>INT($F$60*C4/100)</f>
        <v>0</v>
      </c>
      <c r="F4" s="118">
        <f>(D5-D4)/(C5-C4)</f>
        <v>3.75</v>
      </c>
      <c r="G4" s="1"/>
      <c r="R4" s="101"/>
      <c r="S4" s="4" t="s">
        <v>108</v>
      </c>
    </row>
    <row r="5" spans="2:25" s="100" customFormat="1" ht="17.45" customHeight="1" x14ac:dyDescent="0.3">
      <c r="B5" s="113">
        <v>1</v>
      </c>
      <c r="C5" s="113">
        <v>40</v>
      </c>
      <c r="D5" s="113">
        <v>150</v>
      </c>
      <c r="E5" s="115">
        <f>INT($F$60*C5/100)</f>
        <v>800</v>
      </c>
      <c r="F5" s="118">
        <f>(D6-D5)/(C6-C5)</f>
        <v>5</v>
      </c>
      <c r="G5" s="1"/>
      <c r="R5" s="4" t="s">
        <v>120</v>
      </c>
      <c r="S5" s="4" t="s">
        <v>103</v>
      </c>
      <c r="T5" s="104" t="s">
        <v>127</v>
      </c>
      <c r="X5" s="4" t="s">
        <v>84</v>
      </c>
      <c r="Y5" s="4" t="s">
        <v>103</v>
      </c>
    </row>
    <row r="6" spans="2:25" s="100" customFormat="1" ht="17.45" customHeight="1" x14ac:dyDescent="0.25">
      <c r="B6" s="113">
        <v>2</v>
      </c>
      <c r="C6" s="113">
        <v>80</v>
      </c>
      <c r="D6" s="113">
        <v>350</v>
      </c>
      <c r="E6" s="115">
        <f>INT($F$60*C6/100)</f>
        <v>1600</v>
      </c>
      <c r="F6" s="118">
        <f>(D7-D6)/(C7-C6)</f>
        <v>-2.5</v>
      </c>
      <c r="G6" s="1"/>
      <c r="R6" s="101">
        <v>0</v>
      </c>
      <c r="S6" s="120">
        <v>0</v>
      </c>
      <c r="T6" s="141" t="s">
        <v>129</v>
      </c>
      <c r="X6" s="101">
        <v>1</v>
      </c>
      <c r="Y6" s="120">
        <f t="shared" ref="Y6:Y69" si="0">INDEX(inhale_driver_table,INT(100*(X6/ticks_per_inhale))+1)</f>
        <v>0</v>
      </c>
    </row>
    <row r="7" spans="2:25" s="100" customFormat="1" ht="17.45" customHeight="1" x14ac:dyDescent="0.25">
      <c r="B7" s="113">
        <v>3</v>
      </c>
      <c r="C7" s="113">
        <v>100</v>
      </c>
      <c r="D7" s="113">
        <v>300</v>
      </c>
      <c r="E7" s="115">
        <f>INT($F$60*C7/100)</f>
        <v>2000</v>
      </c>
      <c r="F7" s="117"/>
      <c r="G7" s="1"/>
      <c r="H7"/>
      <c r="I7" s="1"/>
      <c r="J7"/>
      <c r="K7" s="1"/>
      <c r="R7" s="101">
        <v>1</v>
      </c>
      <c r="S7" s="120">
        <v>3</v>
      </c>
      <c r="T7" s="141"/>
      <c r="X7" s="101">
        <v>2</v>
      </c>
      <c r="Y7" s="120">
        <f t="shared" si="0"/>
        <v>0</v>
      </c>
    </row>
    <row r="8" spans="2:25" x14ac:dyDescent="0.25">
      <c r="E8" s="100"/>
      <c r="F8" s="100"/>
      <c r="K8" s="1"/>
      <c r="R8" s="101">
        <v>2</v>
      </c>
      <c r="S8" s="121">
        <v>7</v>
      </c>
      <c r="T8" s="141"/>
      <c r="X8" s="101">
        <v>3</v>
      </c>
      <c r="Y8" s="120">
        <f t="shared" si="0"/>
        <v>0</v>
      </c>
    </row>
    <row r="9" spans="2:25" x14ac:dyDescent="0.25">
      <c r="G9" s="1"/>
      <c r="I9" s="1"/>
      <c r="R9" s="101">
        <v>3</v>
      </c>
      <c r="S9" s="121">
        <v>11</v>
      </c>
      <c r="T9" s="141"/>
      <c r="X9" s="101">
        <v>4</v>
      </c>
      <c r="Y9" s="120">
        <f t="shared" si="0"/>
        <v>0</v>
      </c>
    </row>
    <row r="10" spans="2:25" x14ac:dyDescent="0.25">
      <c r="G10" s="1"/>
      <c r="I10" s="1"/>
      <c r="R10" s="101">
        <v>4</v>
      </c>
      <c r="S10" s="121">
        <v>15</v>
      </c>
      <c r="T10" s="141"/>
      <c r="X10" s="101">
        <v>5</v>
      </c>
      <c r="Y10" s="120">
        <f t="shared" si="0"/>
        <v>0</v>
      </c>
    </row>
    <row r="11" spans="2:25" ht="18" customHeight="1" x14ac:dyDescent="0.25">
      <c r="G11" s="1"/>
      <c r="I11" s="1"/>
      <c r="R11" s="101">
        <v>5</v>
      </c>
      <c r="S11" s="121">
        <v>18</v>
      </c>
      <c r="T11" s="141"/>
      <c r="X11" s="101">
        <v>6</v>
      </c>
      <c r="Y11" s="120">
        <f t="shared" si="0"/>
        <v>0</v>
      </c>
    </row>
    <row r="12" spans="2:25" ht="18" customHeight="1" x14ac:dyDescent="0.25">
      <c r="R12" s="101">
        <v>6</v>
      </c>
      <c r="S12" s="121">
        <v>22</v>
      </c>
      <c r="T12" s="141"/>
      <c r="X12" s="101">
        <v>7</v>
      </c>
      <c r="Y12" s="120">
        <f t="shared" si="0"/>
        <v>0</v>
      </c>
    </row>
    <row r="13" spans="2:25" ht="18" customHeight="1" x14ac:dyDescent="0.25">
      <c r="R13" s="101">
        <v>7</v>
      </c>
      <c r="S13" s="121">
        <v>26</v>
      </c>
      <c r="T13" s="141"/>
      <c r="X13" s="101">
        <v>8</v>
      </c>
      <c r="Y13" s="120">
        <f t="shared" si="0"/>
        <v>0</v>
      </c>
    </row>
    <row r="14" spans="2:25" ht="18" customHeight="1" x14ac:dyDescent="0.25">
      <c r="R14" s="101">
        <v>8</v>
      </c>
      <c r="S14" s="121">
        <v>30</v>
      </c>
      <c r="T14" s="141"/>
      <c r="X14" s="101">
        <v>9</v>
      </c>
      <c r="Y14" s="120">
        <f t="shared" si="0"/>
        <v>0</v>
      </c>
    </row>
    <row r="15" spans="2:25" ht="18" customHeight="1" x14ac:dyDescent="0.25">
      <c r="R15" s="101">
        <v>9</v>
      </c>
      <c r="S15" s="121">
        <v>33</v>
      </c>
      <c r="T15" s="141"/>
      <c r="X15" s="101">
        <v>10</v>
      </c>
      <c r="Y15" s="120">
        <f t="shared" si="0"/>
        <v>0</v>
      </c>
    </row>
    <row r="16" spans="2:25" x14ac:dyDescent="0.25">
      <c r="R16" s="101">
        <v>10</v>
      </c>
      <c r="S16" s="121">
        <v>37</v>
      </c>
      <c r="T16" s="141"/>
      <c r="X16" s="101">
        <v>11</v>
      </c>
      <c r="Y16" s="120">
        <f t="shared" si="0"/>
        <v>0</v>
      </c>
    </row>
    <row r="17" spans="18:25" x14ac:dyDescent="0.25">
      <c r="R17" s="101">
        <v>11</v>
      </c>
      <c r="S17" s="121">
        <v>41</v>
      </c>
      <c r="T17" s="141"/>
      <c r="X17" s="101">
        <v>12</v>
      </c>
      <c r="Y17" s="120">
        <f t="shared" si="0"/>
        <v>0</v>
      </c>
    </row>
    <row r="18" spans="18:25" ht="18" customHeight="1" x14ac:dyDescent="0.25">
      <c r="R18" s="101">
        <v>12</v>
      </c>
      <c r="S18" s="121">
        <v>45</v>
      </c>
      <c r="T18" s="141"/>
      <c r="X18" s="101">
        <v>13</v>
      </c>
      <c r="Y18" s="120">
        <f t="shared" si="0"/>
        <v>0</v>
      </c>
    </row>
    <row r="19" spans="18:25" ht="18" customHeight="1" x14ac:dyDescent="0.3">
      <c r="R19" s="101">
        <v>13</v>
      </c>
      <c r="S19" s="121">
        <v>48</v>
      </c>
      <c r="X19" s="101">
        <v>14</v>
      </c>
      <c r="Y19" s="120">
        <f t="shared" si="0"/>
        <v>0</v>
      </c>
    </row>
    <row r="20" spans="18:25" ht="18" customHeight="1" x14ac:dyDescent="0.3">
      <c r="R20" s="101">
        <v>14</v>
      </c>
      <c r="S20" s="121">
        <v>52</v>
      </c>
      <c r="X20" s="101">
        <v>15</v>
      </c>
      <c r="Y20" s="120">
        <f t="shared" si="0"/>
        <v>0</v>
      </c>
    </row>
    <row r="21" spans="18:25" ht="18" customHeight="1" x14ac:dyDescent="0.3">
      <c r="R21" s="101">
        <v>15</v>
      </c>
      <c r="S21" s="121">
        <v>56</v>
      </c>
      <c r="X21" s="101">
        <v>16</v>
      </c>
      <c r="Y21" s="120">
        <f t="shared" si="0"/>
        <v>0</v>
      </c>
    </row>
    <row r="22" spans="18:25" ht="18" customHeight="1" x14ac:dyDescent="0.3">
      <c r="R22" s="101">
        <v>16</v>
      </c>
      <c r="S22" s="121">
        <v>60</v>
      </c>
      <c r="X22" s="101">
        <v>17</v>
      </c>
      <c r="Y22" s="120">
        <f t="shared" si="0"/>
        <v>0</v>
      </c>
    </row>
    <row r="23" spans="18:25" ht="18" customHeight="1" x14ac:dyDescent="0.3">
      <c r="R23" s="101">
        <v>17</v>
      </c>
      <c r="S23" s="121">
        <v>63</v>
      </c>
      <c r="X23" s="101">
        <v>18</v>
      </c>
      <c r="Y23" s="120">
        <f t="shared" si="0"/>
        <v>0</v>
      </c>
    </row>
    <row r="24" spans="18:25" ht="18" customHeight="1" x14ac:dyDescent="0.3">
      <c r="R24" s="101">
        <v>18</v>
      </c>
      <c r="S24" s="121">
        <v>67</v>
      </c>
      <c r="X24" s="101">
        <v>19</v>
      </c>
      <c r="Y24" s="120">
        <f t="shared" si="0"/>
        <v>0</v>
      </c>
    </row>
    <row r="25" spans="18:25" ht="18" customHeight="1" x14ac:dyDescent="0.25">
      <c r="R25" s="101">
        <v>19</v>
      </c>
      <c r="S25" s="121">
        <v>71</v>
      </c>
      <c r="X25" s="101">
        <v>20</v>
      </c>
      <c r="Y25" s="120">
        <f t="shared" si="0"/>
        <v>3</v>
      </c>
    </row>
    <row r="26" spans="18:25" ht="18" customHeight="1" x14ac:dyDescent="0.25">
      <c r="R26" s="101">
        <v>20</v>
      </c>
      <c r="S26" s="121">
        <v>75</v>
      </c>
      <c r="X26" s="101">
        <v>21</v>
      </c>
      <c r="Y26" s="120">
        <f t="shared" si="0"/>
        <v>3</v>
      </c>
    </row>
    <row r="27" spans="18:25" ht="18" customHeight="1" x14ac:dyDescent="0.25">
      <c r="R27" s="101">
        <v>21</v>
      </c>
      <c r="S27" s="121">
        <v>78</v>
      </c>
      <c r="X27" s="101">
        <v>22</v>
      </c>
      <c r="Y27" s="120">
        <f t="shared" si="0"/>
        <v>3</v>
      </c>
    </row>
    <row r="28" spans="18:25" ht="24" customHeight="1" x14ac:dyDescent="0.25">
      <c r="R28" s="101">
        <v>22</v>
      </c>
      <c r="S28" s="121">
        <v>82</v>
      </c>
      <c r="X28" s="101">
        <v>23</v>
      </c>
      <c r="Y28" s="120">
        <f t="shared" si="0"/>
        <v>3</v>
      </c>
    </row>
    <row r="29" spans="18:25" ht="24" customHeight="1" x14ac:dyDescent="0.25">
      <c r="R29" s="101">
        <v>23</v>
      </c>
      <c r="S29" s="121">
        <v>86</v>
      </c>
      <c r="X29" s="101">
        <v>24</v>
      </c>
      <c r="Y29" s="120">
        <f t="shared" si="0"/>
        <v>3</v>
      </c>
    </row>
    <row r="30" spans="18:25" ht="24" customHeight="1" x14ac:dyDescent="0.25">
      <c r="R30" s="101">
        <v>24</v>
      </c>
      <c r="S30" s="121">
        <v>90</v>
      </c>
      <c r="X30" s="101">
        <v>25</v>
      </c>
      <c r="Y30" s="120">
        <f t="shared" si="0"/>
        <v>3</v>
      </c>
    </row>
    <row r="31" spans="18:25" x14ac:dyDescent="0.25">
      <c r="R31" s="101">
        <v>25</v>
      </c>
      <c r="S31" s="121">
        <v>93</v>
      </c>
      <c r="X31" s="101">
        <v>26</v>
      </c>
      <c r="Y31" s="120">
        <f t="shared" si="0"/>
        <v>3</v>
      </c>
    </row>
    <row r="32" spans="18:25" x14ac:dyDescent="0.25">
      <c r="R32" s="101">
        <v>26</v>
      </c>
      <c r="S32" s="121">
        <v>97</v>
      </c>
      <c r="X32" s="101">
        <v>27</v>
      </c>
      <c r="Y32" s="120">
        <f t="shared" si="0"/>
        <v>3</v>
      </c>
    </row>
    <row r="33" spans="18:25" x14ac:dyDescent="0.25">
      <c r="R33" s="101">
        <v>27</v>
      </c>
      <c r="S33" s="121">
        <v>101</v>
      </c>
      <c r="X33" s="101">
        <v>28</v>
      </c>
      <c r="Y33" s="120">
        <f t="shared" si="0"/>
        <v>3</v>
      </c>
    </row>
    <row r="34" spans="18:25" x14ac:dyDescent="0.25">
      <c r="R34" s="101">
        <v>28</v>
      </c>
      <c r="S34" s="121">
        <v>105</v>
      </c>
      <c r="X34" s="101">
        <v>29</v>
      </c>
      <c r="Y34" s="120">
        <f t="shared" si="0"/>
        <v>3</v>
      </c>
    </row>
    <row r="35" spans="18:25" x14ac:dyDescent="0.25">
      <c r="R35" s="101">
        <v>29</v>
      </c>
      <c r="S35" s="121">
        <v>108</v>
      </c>
      <c r="X35" s="101">
        <v>30</v>
      </c>
      <c r="Y35" s="120">
        <f t="shared" si="0"/>
        <v>3</v>
      </c>
    </row>
    <row r="36" spans="18:25" x14ac:dyDescent="0.25">
      <c r="R36" s="101">
        <v>30</v>
      </c>
      <c r="S36" s="121">
        <v>112</v>
      </c>
      <c r="X36" s="101">
        <v>31</v>
      </c>
      <c r="Y36" s="120">
        <f t="shared" si="0"/>
        <v>3</v>
      </c>
    </row>
    <row r="37" spans="18:25" x14ac:dyDescent="0.25">
      <c r="R37" s="101">
        <v>31</v>
      </c>
      <c r="S37" s="121">
        <v>116</v>
      </c>
      <c r="X37" s="101">
        <v>32</v>
      </c>
      <c r="Y37" s="120">
        <f t="shared" si="0"/>
        <v>3</v>
      </c>
    </row>
    <row r="38" spans="18:25" x14ac:dyDescent="0.25">
      <c r="R38" s="101">
        <v>32</v>
      </c>
      <c r="S38" s="121">
        <v>120</v>
      </c>
      <c r="X38" s="101">
        <v>33</v>
      </c>
      <c r="Y38" s="120">
        <f t="shared" si="0"/>
        <v>3</v>
      </c>
    </row>
    <row r="39" spans="18:25" x14ac:dyDescent="0.25">
      <c r="R39" s="101">
        <v>33</v>
      </c>
      <c r="S39" s="121">
        <v>123</v>
      </c>
      <c r="X39" s="101">
        <v>34</v>
      </c>
      <c r="Y39" s="120">
        <f t="shared" si="0"/>
        <v>3</v>
      </c>
    </row>
    <row r="40" spans="18:25" x14ac:dyDescent="0.25">
      <c r="R40" s="101">
        <v>34</v>
      </c>
      <c r="S40" s="121">
        <v>127</v>
      </c>
      <c r="X40" s="101">
        <v>35</v>
      </c>
      <c r="Y40" s="120">
        <f t="shared" si="0"/>
        <v>3</v>
      </c>
    </row>
    <row r="41" spans="18:25" x14ac:dyDescent="0.25">
      <c r="R41" s="101">
        <v>35</v>
      </c>
      <c r="S41" s="121">
        <v>131</v>
      </c>
      <c r="X41" s="101">
        <v>36</v>
      </c>
      <c r="Y41" s="120">
        <f t="shared" si="0"/>
        <v>3</v>
      </c>
    </row>
    <row r="42" spans="18:25" x14ac:dyDescent="0.25">
      <c r="R42" s="101">
        <v>36</v>
      </c>
      <c r="S42" s="121">
        <v>135</v>
      </c>
      <c r="X42" s="101">
        <v>37</v>
      </c>
      <c r="Y42" s="120">
        <f t="shared" si="0"/>
        <v>3</v>
      </c>
    </row>
    <row r="43" spans="18:25" x14ac:dyDescent="0.25">
      <c r="R43" s="101">
        <v>37</v>
      </c>
      <c r="S43" s="121">
        <v>138</v>
      </c>
      <c r="X43" s="101">
        <v>38</v>
      </c>
      <c r="Y43" s="120">
        <f t="shared" si="0"/>
        <v>3</v>
      </c>
    </row>
    <row r="44" spans="18:25" x14ac:dyDescent="0.25">
      <c r="R44" s="101">
        <v>38</v>
      </c>
      <c r="S44" s="121">
        <v>142</v>
      </c>
      <c r="X44" s="101">
        <v>39</v>
      </c>
      <c r="Y44" s="120">
        <f t="shared" si="0"/>
        <v>3</v>
      </c>
    </row>
    <row r="45" spans="18:25" x14ac:dyDescent="0.25">
      <c r="R45" s="101">
        <v>39</v>
      </c>
      <c r="S45" s="121">
        <v>146</v>
      </c>
      <c r="X45" s="101">
        <v>40</v>
      </c>
      <c r="Y45" s="120">
        <f t="shared" si="0"/>
        <v>7</v>
      </c>
    </row>
    <row r="46" spans="18:25" x14ac:dyDescent="0.25">
      <c r="R46" s="101">
        <v>40</v>
      </c>
      <c r="S46" s="121">
        <v>150</v>
      </c>
      <c r="X46" s="101">
        <v>41</v>
      </c>
      <c r="Y46" s="120">
        <f t="shared" si="0"/>
        <v>7</v>
      </c>
    </row>
    <row r="47" spans="18:25" x14ac:dyDescent="0.25">
      <c r="R47" s="101">
        <v>41</v>
      </c>
      <c r="S47" s="121">
        <v>155</v>
      </c>
      <c r="X47" s="101">
        <v>42</v>
      </c>
      <c r="Y47" s="120">
        <f t="shared" si="0"/>
        <v>7</v>
      </c>
    </row>
    <row r="48" spans="18:25" x14ac:dyDescent="0.25">
      <c r="R48" s="101">
        <v>42</v>
      </c>
      <c r="S48" s="121">
        <v>160</v>
      </c>
      <c r="X48" s="101">
        <v>43</v>
      </c>
      <c r="Y48" s="120">
        <f t="shared" si="0"/>
        <v>7</v>
      </c>
    </row>
    <row r="49" spans="3:25" ht="15.75" thickBot="1" x14ac:dyDescent="0.3">
      <c r="R49" s="101">
        <v>43</v>
      </c>
      <c r="S49" s="121">
        <v>165</v>
      </c>
      <c r="X49" s="101">
        <v>44</v>
      </c>
      <c r="Y49" s="120">
        <f t="shared" si="0"/>
        <v>7</v>
      </c>
    </row>
    <row r="50" spans="3:25" ht="15.75" x14ac:dyDescent="0.25">
      <c r="C50" s="152" t="s">
        <v>128</v>
      </c>
      <c r="D50" s="153"/>
      <c r="E50" s="153"/>
      <c r="F50" s="153"/>
      <c r="G50" s="154"/>
      <c r="R50" s="101">
        <v>44</v>
      </c>
      <c r="S50" s="121">
        <v>170</v>
      </c>
      <c r="X50" s="101">
        <v>45</v>
      </c>
      <c r="Y50" s="120">
        <f t="shared" si="0"/>
        <v>7</v>
      </c>
    </row>
    <row r="51" spans="3:25" x14ac:dyDescent="0.25">
      <c r="C51" s="80"/>
      <c r="D51" s="42"/>
      <c r="E51" s="42"/>
      <c r="F51" s="42"/>
      <c r="G51" s="81"/>
      <c r="R51" s="101">
        <v>45</v>
      </c>
      <c r="S51" s="121">
        <v>175</v>
      </c>
      <c r="X51" s="101">
        <v>46</v>
      </c>
      <c r="Y51" s="120">
        <f t="shared" si="0"/>
        <v>7</v>
      </c>
    </row>
    <row r="52" spans="3:25" x14ac:dyDescent="0.25">
      <c r="C52" s="142" t="s">
        <v>93</v>
      </c>
      <c r="D52" s="143"/>
      <c r="E52" s="42"/>
      <c r="F52" s="144">
        <v>1000</v>
      </c>
      <c r="G52" s="81"/>
      <c r="R52" s="101">
        <v>46</v>
      </c>
      <c r="S52" s="121">
        <v>180</v>
      </c>
      <c r="X52" s="101">
        <v>47</v>
      </c>
      <c r="Y52" s="120">
        <f t="shared" si="0"/>
        <v>7</v>
      </c>
    </row>
    <row r="53" spans="3:25" x14ac:dyDescent="0.25">
      <c r="C53" s="142" t="s">
        <v>95</v>
      </c>
      <c r="D53" s="143"/>
      <c r="E53" s="42"/>
      <c r="F53" s="144">
        <f>F52*60</f>
        <v>60000</v>
      </c>
      <c r="G53" s="81"/>
      <c r="R53" s="101">
        <v>47</v>
      </c>
      <c r="S53" s="121">
        <v>185</v>
      </c>
      <c r="X53" s="101">
        <v>48</v>
      </c>
      <c r="Y53" s="120">
        <f t="shared" si="0"/>
        <v>7</v>
      </c>
    </row>
    <row r="54" spans="3:25" x14ac:dyDescent="0.25">
      <c r="C54" s="142" t="s">
        <v>94</v>
      </c>
      <c r="D54" s="143"/>
      <c r="E54" s="42"/>
      <c r="F54" s="147">
        <v>15</v>
      </c>
      <c r="G54" s="81"/>
      <c r="R54" s="101">
        <v>48</v>
      </c>
      <c r="S54" s="121">
        <v>190</v>
      </c>
      <c r="X54" s="101">
        <v>49</v>
      </c>
      <c r="Y54" s="120">
        <f t="shared" si="0"/>
        <v>7</v>
      </c>
    </row>
    <row r="55" spans="3:25" x14ac:dyDescent="0.25">
      <c r="C55" s="142" t="s">
        <v>96</v>
      </c>
      <c r="D55" s="143"/>
      <c r="E55" s="42"/>
      <c r="F55" s="145">
        <f>F53/F54</f>
        <v>4000</v>
      </c>
      <c r="G55" s="81"/>
      <c r="R55" s="101">
        <v>49</v>
      </c>
      <c r="S55" s="121">
        <v>195</v>
      </c>
      <c r="X55" s="101">
        <v>50</v>
      </c>
      <c r="Y55" s="120">
        <f t="shared" si="0"/>
        <v>7</v>
      </c>
    </row>
    <row r="56" spans="3:25" x14ac:dyDescent="0.25">
      <c r="C56" s="142" t="s">
        <v>97</v>
      </c>
      <c r="D56" s="143"/>
      <c r="E56" s="42"/>
      <c r="F56" s="146">
        <v>1</v>
      </c>
      <c r="G56" s="81"/>
      <c r="R56" s="101">
        <v>50</v>
      </c>
      <c r="S56" s="121">
        <v>200</v>
      </c>
      <c r="X56" s="101">
        <v>51</v>
      </c>
      <c r="Y56" s="120">
        <f t="shared" si="0"/>
        <v>7</v>
      </c>
    </row>
    <row r="57" spans="3:25" x14ac:dyDescent="0.25">
      <c r="C57" s="142" t="s">
        <v>83</v>
      </c>
      <c r="D57" s="143"/>
      <c r="E57" s="42"/>
      <c r="F57" s="147">
        <v>1</v>
      </c>
      <c r="G57" s="81"/>
      <c r="R57" s="101">
        <v>51</v>
      </c>
      <c r="S57" s="121">
        <v>205</v>
      </c>
      <c r="X57" s="101">
        <v>52</v>
      </c>
      <c r="Y57" s="120">
        <f t="shared" si="0"/>
        <v>7</v>
      </c>
    </row>
    <row r="58" spans="3:25" x14ac:dyDescent="0.25">
      <c r="C58" s="142" t="s">
        <v>98</v>
      </c>
      <c r="D58" s="143"/>
      <c r="E58" s="42"/>
      <c r="F58" s="146" t="str">
        <f>F56 &amp; ":" &amp; F57</f>
        <v>1:1</v>
      </c>
      <c r="G58" s="81"/>
      <c r="R58" s="101">
        <v>52</v>
      </c>
      <c r="S58" s="121">
        <v>210</v>
      </c>
      <c r="X58" s="101">
        <v>53</v>
      </c>
      <c r="Y58" s="120">
        <f t="shared" si="0"/>
        <v>7</v>
      </c>
    </row>
    <row r="59" spans="3:25" x14ac:dyDescent="0.25">
      <c r="C59" s="142" t="s">
        <v>101</v>
      </c>
      <c r="D59" s="143"/>
      <c r="E59" s="42"/>
      <c r="F59" s="146">
        <f>F56+F57</f>
        <v>2</v>
      </c>
      <c r="G59" s="81"/>
      <c r="R59" s="101">
        <v>53</v>
      </c>
      <c r="S59" s="121">
        <v>215</v>
      </c>
      <c r="X59" s="101">
        <v>54</v>
      </c>
      <c r="Y59" s="120">
        <f t="shared" si="0"/>
        <v>7</v>
      </c>
    </row>
    <row r="60" spans="3:25" x14ac:dyDescent="0.25">
      <c r="C60" s="142" t="s">
        <v>99</v>
      </c>
      <c r="D60" s="143"/>
      <c r="E60" s="42"/>
      <c r="F60" s="145">
        <f>INT(ticksPerBreath*F56/iPlusE)</f>
        <v>2000</v>
      </c>
      <c r="G60" s="81"/>
      <c r="R60" s="101">
        <v>54</v>
      </c>
      <c r="S60" s="121">
        <v>220</v>
      </c>
      <c r="X60" s="101">
        <v>55</v>
      </c>
      <c r="Y60" s="120">
        <f t="shared" si="0"/>
        <v>7</v>
      </c>
    </row>
    <row r="61" spans="3:25" x14ac:dyDescent="0.25">
      <c r="C61" s="142" t="s">
        <v>100</v>
      </c>
      <c r="D61" s="143"/>
      <c r="E61" s="42"/>
      <c r="F61" s="145">
        <f>INT(ticksPerBreath*ieRatio/iPlusE)</f>
        <v>2000</v>
      </c>
      <c r="G61" s="81"/>
      <c r="H61">
        <f>ticks_per_exhale+ticks_per_inhale</f>
        <v>4000</v>
      </c>
      <c r="R61" s="101">
        <v>55</v>
      </c>
      <c r="S61" s="121">
        <v>225</v>
      </c>
      <c r="X61" s="101">
        <v>56</v>
      </c>
      <c r="Y61" s="120">
        <f t="shared" si="0"/>
        <v>7</v>
      </c>
    </row>
    <row r="62" spans="3:25" x14ac:dyDescent="0.25">
      <c r="C62" s="80"/>
      <c r="D62" s="42"/>
      <c r="E62" s="42"/>
      <c r="F62" s="42"/>
      <c r="G62" s="81"/>
      <c r="R62" s="101">
        <v>56</v>
      </c>
      <c r="S62" s="121">
        <v>230</v>
      </c>
      <c r="X62" s="101">
        <v>57</v>
      </c>
      <c r="Y62" s="120">
        <f t="shared" si="0"/>
        <v>7</v>
      </c>
    </row>
    <row r="63" spans="3:25" x14ac:dyDescent="0.25">
      <c r="C63" s="80" t="s">
        <v>123</v>
      </c>
      <c r="D63" s="143"/>
      <c r="E63" s="42"/>
      <c r="F63" s="148">
        <v>542</v>
      </c>
      <c r="G63" s="81"/>
      <c r="R63" s="101">
        <v>57</v>
      </c>
      <c r="S63" s="121">
        <v>235</v>
      </c>
      <c r="X63" s="101">
        <v>58</v>
      </c>
      <c r="Y63" s="120">
        <f t="shared" si="0"/>
        <v>7</v>
      </c>
    </row>
    <row r="64" spans="3:25" x14ac:dyDescent="0.25">
      <c r="C64" s="80" t="s">
        <v>124</v>
      </c>
      <c r="D64" s="90"/>
      <c r="E64" s="42"/>
      <c r="F64" s="149">
        <f>INT(100*(elapsed/ticks_per_inhale))</f>
        <v>27</v>
      </c>
      <c r="G64" s="81"/>
      <c r="R64" s="101">
        <v>58</v>
      </c>
      <c r="S64" s="121">
        <v>240</v>
      </c>
      <c r="X64" s="101">
        <v>59</v>
      </c>
      <c r="Y64" s="120">
        <f t="shared" si="0"/>
        <v>7</v>
      </c>
    </row>
    <row r="65" spans="3:25" ht="15.75" thickBot="1" x14ac:dyDescent="0.3">
      <c r="C65" s="91" t="s">
        <v>103</v>
      </c>
      <c r="D65" s="150"/>
      <c r="E65" s="92"/>
      <c r="F65" s="151">
        <f>INDEX(inhale_driver_table,F64+1)</f>
        <v>101</v>
      </c>
      <c r="G65" s="93"/>
      <c r="R65" s="101">
        <v>59</v>
      </c>
      <c r="S65" s="121">
        <v>245</v>
      </c>
      <c r="X65" s="101">
        <v>60</v>
      </c>
      <c r="Y65" s="120">
        <f t="shared" si="0"/>
        <v>11</v>
      </c>
    </row>
    <row r="66" spans="3:25" x14ac:dyDescent="0.25">
      <c r="R66" s="101">
        <v>60</v>
      </c>
      <c r="S66" s="121">
        <v>250</v>
      </c>
      <c r="X66" s="101">
        <v>61</v>
      </c>
      <c r="Y66" s="120">
        <f t="shared" si="0"/>
        <v>11</v>
      </c>
    </row>
    <row r="67" spans="3:25" x14ac:dyDescent="0.25">
      <c r="R67" s="101">
        <v>61</v>
      </c>
      <c r="S67" s="121">
        <v>255</v>
      </c>
      <c r="X67" s="101">
        <v>62</v>
      </c>
      <c r="Y67" s="120">
        <f t="shared" si="0"/>
        <v>11</v>
      </c>
    </row>
    <row r="68" spans="3:25" x14ac:dyDescent="0.25">
      <c r="R68" s="101">
        <v>62</v>
      </c>
      <c r="S68" s="121">
        <v>260</v>
      </c>
      <c r="X68" s="101">
        <v>63</v>
      </c>
      <c r="Y68" s="120">
        <f t="shared" si="0"/>
        <v>11</v>
      </c>
    </row>
    <row r="69" spans="3:25" x14ac:dyDescent="0.25">
      <c r="R69" s="101">
        <v>63</v>
      </c>
      <c r="S69" s="121">
        <v>265</v>
      </c>
      <c r="X69" s="101">
        <v>64</v>
      </c>
      <c r="Y69" s="120">
        <f t="shared" si="0"/>
        <v>11</v>
      </c>
    </row>
    <row r="70" spans="3:25" x14ac:dyDescent="0.25">
      <c r="R70" s="101">
        <v>64</v>
      </c>
      <c r="S70" s="121">
        <v>270</v>
      </c>
      <c r="X70" s="101">
        <v>65</v>
      </c>
      <c r="Y70" s="120">
        <f t="shared" ref="Y70:Y133" si="1">INDEX(inhale_driver_table,INT(100*(X70/ticks_per_inhale))+1)</f>
        <v>11</v>
      </c>
    </row>
    <row r="71" spans="3:25" x14ac:dyDescent="0.25">
      <c r="R71" s="101">
        <v>65</v>
      </c>
      <c r="S71" s="121">
        <v>275</v>
      </c>
      <c r="X71" s="101">
        <v>66</v>
      </c>
      <c r="Y71" s="120">
        <f t="shared" si="1"/>
        <v>11</v>
      </c>
    </row>
    <row r="72" spans="3:25" x14ac:dyDescent="0.25">
      <c r="R72" s="101">
        <v>66</v>
      </c>
      <c r="S72" s="121">
        <v>280</v>
      </c>
      <c r="X72" s="101">
        <v>67</v>
      </c>
      <c r="Y72" s="120">
        <f t="shared" si="1"/>
        <v>11</v>
      </c>
    </row>
    <row r="73" spans="3:25" x14ac:dyDescent="0.25">
      <c r="R73" s="101">
        <v>67</v>
      </c>
      <c r="S73" s="121">
        <v>285</v>
      </c>
      <c r="X73" s="101">
        <v>68</v>
      </c>
      <c r="Y73" s="120">
        <f t="shared" si="1"/>
        <v>11</v>
      </c>
    </row>
    <row r="74" spans="3:25" x14ac:dyDescent="0.25">
      <c r="R74" s="101">
        <v>68</v>
      </c>
      <c r="S74" s="121">
        <v>290</v>
      </c>
      <c r="X74" s="101">
        <v>69</v>
      </c>
      <c r="Y74" s="120">
        <f t="shared" si="1"/>
        <v>11</v>
      </c>
    </row>
    <row r="75" spans="3:25" x14ac:dyDescent="0.25">
      <c r="R75" s="101">
        <v>69</v>
      </c>
      <c r="S75" s="121">
        <v>295</v>
      </c>
      <c r="X75" s="101">
        <v>70</v>
      </c>
      <c r="Y75" s="120">
        <f t="shared" si="1"/>
        <v>11</v>
      </c>
    </row>
    <row r="76" spans="3:25" x14ac:dyDescent="0.25">
      <c r="R76" s="101">
        <v>70</v>
      </c>
      <c r="S76" s="121">
        <v>300</v>
      </c>
      <c r="X76" s="101">
        <v>71</v>
      </c>
      <c r="Y76" s="120">
        <f t="shared" si="1"/>
        <v>11</v>
      </c>
    </row>
    <row r="77" spans="3:25" x14ac:dyDescent="0.25">
      <c r="R77" s="101">
        <v>71</v>
      </c>
      <c r="S77" s="121">
        <v>305</v>
      </c>
      <c r="X77" s="101">
        <v>72</v>
      </c>
      <c r="Y77" s="120">
        <f t="shared" si="1"/>
        <v>11</v>
      </c>
    </row>
    <row r="78" spans="3:25" x14ac:dyDescent="0.25">
      <c r="R78" s="101">
        <v>72</v>
      </c>
      <c r="S78" s="121">
        <v>310</v>
      </c>
      <c r="X78" s="101">
        <v>73</v>
      </c>
      <c r="Y78" s="120">
        <f t="shared" si="1"/>
        <v>11</v>
      </c>
    </row>
    <row r="79" spans="3:25" x14ac:dyDescent="0.25">
      <c r="R79" s="101">
        <v>73</v>
      </c>
      <c r="S79" s="121">
        <v>315</v>
      </c>
      <c r="X79" s="101">
        <v>74</v>
      </c>
      <c r="Y79" s="120">
        <f t="shared" si="1"/>
        <v>11</v>
      </c>
    </row>
    <row r="80" spans="3:25" x14ac:dyDescent="0.25">
      <c r="R80" s="101">
        <v>74</v>
      </c>
      <c r="S80" s="121">
        <v>320</v>
      </c>
      <c r="X80" s="101">
        <v>75</v>
      </c>
      <c r="Y80" s="120">
        <f t="shared" si="1"/>
        <v>11</v>
      </c>
    </row>
    <row r="81" spans="18:25" x14ac:dyDescent="0.25">
      <c r="R81" s="101">
        <v>75</v>
      </c>
      <c r="S81" s="121">
        <v>325</v>
      </c>
      <c r="X81" s="101">
        <v>76</v>
      </c>
      <c r="Y81" s="120">
        <f t="shared" si="1"/>
        <v>11</v>
      </c>
    </row>
    <row r="82" spans="18:25" x14ac:dyDescent="0.25">
      <c r="R82" s="101">
        <v>76</v>
      </c>
      <c r="S82" s="121">
        <v>330</v>
      </c>
      <c r="X82" s="101">
        <v>77</v>
      </c>
      <c r="Y82" s="120">
        <f t="shared" si="1"/>
        <v>11</v>
      </c>
    </row>
    <row r="83" spans="18:25" x14ac:dyDescent="0.25">
      <c r="R83" s="101">
        <v>77</v>
      </c>
      <c r="S83" s="121">
        <v>335</v>
      </c>
      <c r="X83" s="101">
        <v>78</v>
      </c>
      <c r="Y83" s="120">
        <f t="shared" si="1"/>
        <v>11</v>
      </c>
    </row>
    <row r="84" spans="18:25" x14ac:dyDescent="0.25">
      <c r="R84" s="101">
        <v>78</v>
      </c>
      <c r="S84" s="121">
        <v>340</v>
      </c>
      <c r="X84" s="101">
        <v>79</v>
      </c>
      <c r="Y84" s="120">
        <f t="shared" si="1"/>
        <v>11</v>
      </c>
    </row>
    <row r="85" spans="18:25" x14ac:dyDescent="0.25">
      <c r="R85" s="101">
        <v>79</v>
      </c>
      <c r="S85" s="121">
        <v>345</v>
      </c>
      <c r="X85" s="101">
        <v>80</v>
      </c>
      <c r="Y85" s="120">
        <f t="shared" si="1"/>
        <v>15</v>
      </c>
    </row>
    <row r="86" spans="18:25" x14ac:dyDescent="0.25">
      <c r="R86" s="101">
        <v>80</v>
      </c>
      <c r="S86" s="121">
        <v>350</v>
      </c>
      <c r="X86" s="101">
        <v>81</v>
      </c>
      <c r="Y86" s="120">
        <f t="shared" si="1"/>
        <v>15</v>
      </c>
    </row>
    <row r="87" spans="18:25" x14ac:dyDescent="0.25">
      <c r="R87" s="101">
        <v>81</v>
      </c>
      <c r="S87" s="121">
        <v>347</v>
      </c>
      <c r="X87" s="101">
        <v>82</v>
      </c>
      <c r="Y87" s="120">
        <f t="shared" si="1"/>
        <v>15</v>
      </c>
    </row>
    <row r="88" spans="18:25" x14ac:dyDescent="0.25">
      <c r="R88" s="101">
        <v>82</v>
      </c>
      <c r="S88" s="121">
        <v>345</v>
      </c>
      <c r="X88" s="101">
        <v>83</v>
      </c>
      <c r="Y88" s="120">
        <f t="shared" si="1"/>
        <v>15</v>
      </c>
    </row>
    <row r="89" spans="18:25" x14ac:dyDescent="0.25">
      <c r="R89" s="101">
        <v>83</v>
      </c>
      <c r="S89" s="121">
        <v>342</v>
      </c>
      <c r="X89" s="101">
        <v>84</v>
      </c>
      <c r="Y89" s="120">
        <f t="shared" si="1"/>
        <v>15</v>
      </c>
    </row>
    <row r="90" spans="18:25" x14ac:dyDescent="0.25">
      <c r="R90" s="101">
        <v>84</v>
      </c>
      <c r="S90" s="121">
        <v>340</v>
      </c>
      <c r="X90" s="101">
        <v>85</v>
      </c>
      <c r="Y90" s="120">
        <f t="shared" si="1"/>
        <v>15</v>
      </c>
    </row>
    <row r="91" spans="18:25" x14ac:dyDescent="0.25">
      <c r="R91" s="101">
        <v>85</v>
      </c>
      <c r="S91" s="121">
        <v>337</v>
      </c>
      <c r="X91" s="101">
        <v>86</v>
      </c>
      <c r="Y91" s="120">
        <f t="shared" si="1"/>
        <v>15</v>
      </c>
    </row>
    <row r="92" spans="18:25" x14ac:dyDescent="0.25">
      <c r="R92" s="101">
        <v>86</v>
      </c>
      <c r="S92" s="121">
        <v>335</v>
      </c>
      <c r="X92" s="101">
        <v>87</v>
      </c>
      <c r="Y92" s="120">
        <f t="shared" si="1"/>
        <v>15</v>
      </c>
    </row>
    <row r="93" spans="18:25" x14ac:dyDescent="0.25">
      <c r="R93" s="101">
        <v>87</v>
      </c>
      <c r="S93" s="121">
        <v>332</v>
      </c>
      <c r="X93" s="101">
        <v>88</v>
      </c>
      <c r="Y93" s="120">
        <f t="shared" si="1"/>
        <v>15</v>
      </c>
    </row>
    <row r="94" spans="18:25" x14ac:dyDescent="0.25">
      <c r="R94" s="101">
        <v>88</v>
      </c>
      <c r="S94" s="121">
        <v>330</v>
      </c>
      <c r="X94" s="101">
        <v>89</v>
      </c>
      <c r="Y94" s="120">
        <f t="shared" si="1"/>
        <v>15</v>
      </c>
    </row>
    <row r="95" spans="18:25" x14ac:dyDescent="0.25">
      <c r="R95" s="101">
        <v>89</v>
      </c>
      <c r="S95" s="121">
        <v>327</v>
      </c>
      <c r="X95" s="101">
        <v>90</v>
      </c>
      <c r="Y95" s="120">
        <f t="shared" si="1"/>
        <v>15</v>
      </c>
    </row>
    <row r="96" spans="18:25" x14ac:dyDescent="0.25">
      <c r="R96" s="101">
        <v>90</v>
      </c>
      <c r="S96" s="121">
        <v>325</v>
      </c>
      <c r="X96" s="101">
        <v>91</v>
      </c>
      <c r="Y96" s="120">
        <f t="shared" si="1"/>
        <v>15</v>
      </c>
    </row>
    <row r="97" spans="18:25" x14ac:dyDescent="0.25">
      <c r="R97" s="101">
        <v>91</v>
      </c>
      <c r="S97" s="121">
        <v>322</v>
      </c>
      <c r="X97" s="101">
        <v>92</v>
      </c>
      <c r="Y97" s="120">
        <f t="shared" si="1"/>
        <v>15</v>
      </c>
    </row>
    <row r="98" spans="18:25" x14ac:dyDescent="0.25">
      <c r="R98" s="101">
        <v>92</v>
      </c>
      <c r="S98" s="121">
        <v>320</v>
      </c>
      <c r="X98" s="101">
        <v>93</v>
      </c>
      <c r="Y98" s="120">
        <f t="shared" si="1"/>
        <v>15</v>
      </c>
    </row>
    <row r="99" spans="18:25" x14ac:dyDescent="0.25">
      <c r="R99" s="101">
        <v>93</v>
      </c>
      <c r="S99" s="121">
        <v>317</v>
      </c>
      <c r="X99" s="101">
        <v>94</v>
      </c>
      <c r="Y99" s="120">
        <f t="shared" si="1"/>
        <v>15</v>
      </c>
    </row>
    <row r="100" spans="18:25" x14ac:dyDescent="0.25">
      <c r="R100" s="101">
        <v>94</v>
      </c>
      <c r="S100" s="121">
        <v>315</v>
      </c>
      <c r="X100" s="101">
        <v>95</v>
      </c>
      <c r="Y100" s="120">
        <f t="shared" si="1"/>
        <v>15</v>
      </c>
    </row>
    <row r="101" spans="18:25" x14ac:dyDescent="0.25">
      <c r="R101" s="101">
        <v>95</v>
      </c>
      <c r="S101" s="121">
        <v>312</v>
      </c>
      <c r="X101" s="101">
        <v>96</v>
      </c>
      <c r="Y101" s="120">
        <f t="shared" si="1"/>
        <v>15</v>
      </c>
    </row>
    <row r="102" spans="18:25" x14ac:dyDescent="0.25">
      <c r="R102" s="101">
        <v>96</v>
      </c>
      <c r="S102" s="121">
        <v>310</v>
      </c>
      <c r="X102" s="101">
        <v>97</v>
      </c>
      <c r="Y102" s="120">
        <f t="shared" si="1"/>
        <v>15</v>
      </c>
    </row>
    <row r="103" spans="18:25" x14ac:dyDescent="0.25">
      <c r="R103" s="101">
        <v>97</v>
      </c>
      <c r="S103" s="121">
        <v>307</v>
      </c>
      <c r="X103" s="101">
        <v>98</v>
      </c>
      <c r="Y103" s="120">
        <f t="shared" si="1"/>
        <v>15</v>
      </c>
    </row>
    <row r="104" spans="18:25" x14ac:dyDescent="0.25">
      <c r="R104" s="101">
        <v>98</v>
      </c>
      <c r="S104" s="121">
        <v>305</v>
      </c>
      <c r="X104" s="101">
        <v>99</v>
      </c>
      <c r="Y104" s="120">
        <f t="shared" si="1"/>
        <v>15</v>
      </c>
    </row>
    <row r="105" spans="18:25" x14ac:dyDescent="0.25">
      <c r="R105" s="101">
        <v>99</v>
      </c>
      <c r="S105" s="121">
        <v>302</v>
      </c>
      <c r="X105" s="101">
        <v>100</v>
      </c>
      <c r="Y105" s="120">
        <f t="shared" si="1"/>
        <v>18</v>
      </c>
    </row>
    <row r="106" spans="18:25" x14ac:dyDescent="0.25">
      <c r="R106" s="101">
        <v>100</v>
      </c>
      <c r="S106" s="121">
        <v>300</v>
      </c>
      <c r="X106" s="101">
        <v>101</v>
      </c>
      <c r="Y106" s="120">
        <f t="shared" si="1"/>
        <v>18</v>
      </c>
    </row>
    <row r="107" spans="18:25" x14ac:dyDescent="0.25">
      <c r="R107" s="101"/>
      <c r="X107" s="101">
        <v>102</v>
      </c>
      <c r="Y107" s="120">
        <f t="shared" si="1"/>
        <v>18</v>
      </c>
    </row>
    <row r="108" spans="18:25" x14ac:dyDescent="0.25">
      <c r="R108" s="101"/>
      <c r="X108" s="101">
        <v>103</v>
      </c>
      <c r="Y108" s="120">
        <f t="shared" si="1"/>
        <v>18</v>
      </c>
    </row>
    <row r="109" spans="18:25" x14ac:dyDescent="0.25">
      <c r="R109" s="101"/>
      <c r="X109" s="101">
        <v>104</v>
      </c>
      <c r="Y109" s="120">
        <f t="shared" si="1"/>
        <v>18</v>
      </c>
    </row>
    <row r="110" spans="18:25" x14ac:dyDescent="0.25">
      <c r="R110" s="101"/>
      <c r="X110" s="101">
        <v>105</v>
      </c>
      <c r="Y110" s="120">
        <f t="shared" si="1"/>
        <v>18</v>
      </c>
    </row>
    <row r="111" spans="18:25" x14ac:dyDescent="0.25">
      <c r="R111" s="101"/>
      <c r="X111" s="101">
        <v>106</v>
      </c>
      <c r="Y111" s="120">
        <f t="shared" si="1"/>
        <v>18</v>
      </c>
    </row>
    <row r="112" spans="18:25" x14ac:dyDescent="0.25">
      <c r="R112" s="101"/>
      <c r="X112" s="101">
        <v>107</v>
      </c>
      <c r="Y112" s="120">
        <f t="shared" si="1"/>
        <v>18</v>
      </c>
    </row>
    <row r="113" spans="18:25" x14ac:dyDescent="0.25">
      <c r="R113" s="101"/>
      <c r="X113" s="101">
        <v>108</v>
      </c>
      <c r="Y113" s="120">
        <f t="shared" si="1"/>
        <v>18</v>
      </c>
    </row>
    <row r="114" spans="18:25" x14ac:dyDescent="0.25">
      <c r="R114" s="101"/>
      <c r="X114" s="101">
        <v>109</v>
      </c>
      <c r="Y114" s="120">
        <f t="shared" si="1"/>
        <v>18</v>
      </c>
    </row>
    <row r="115" spans="18:25" x14ac:dyDescent="0.25">
      <c r="R115" s="101"/>
      <c r="X115" s="101">
        <v>110</v>
      </c>
      <c r="Y115" s="120">
        <f t="shared" si="1"/>
        <v>18</v>
      </c>
    </row>
    <row r="116" spans="18:25" x14ac:dyDescent="0.25">
      <c r="R116" s="101"/>
      <c r="X116" s="101">
        <v>111</v>
      </c>
      <c r="Y116" s="120">
        <f t="shared" si="1"/>
        <v>18</v>
      </c>
    </row>
    <row r="117" spans="18:25" x14ac:dyDescent="0.25">
      <c r="R117" s="101"/>
      <c r="X117" s="101">
        <v>112</v>
      </c>
      <c r="Y117" s="120">
        <f t="shared" si="1"/>
        <v>18</v>
      </c>
    </row>
    <row r="118" spans="18:25" x14ac:dyDescent="0.25">
      <c r="R118" s="101"/>
      <c r="X118" s="101">
        <v>113</v>
      </c>
      <c r="Y118" s="120">
        <f t="shared" si="1"/>
        <v>18</v>
      </c>
    </row>
    <row r="119" spans="18:25" x14ac:dyDescent="0.25">
      <c r="R119" s="101"/>
      <c r="X119" s="101">
        <v>114</v>
      </c>
      <c r="Y119" s="120">
        <f t="shared" si="1"/>
        <v>18</v>
      </c>
    </row>
    <row r="120" spans="18:25" x14ac:dyDescent="0.25">
      <c r="R120" s="101"/>
      <c r="X120" s="101">
        <v>115</v>
      </c>
      <c r="Y120" s="120">
        <f t="shared" si="1"/>
        <v>18</v>
      </c>
    </row>
    <row r="121" spans="18:25" x14ac:dyDescent="0.25">
      <c r="R121" s="101"/>
      <c r="X121" s="101">
        <v>116</v>
      </c>
      <c r="Y121" s="120">
        <f t="shared" si="1"/>
        <v>18</v>
      </c>
    </row>
    <row r="122" spans="18:25" x14ac:dyDescent="0.25">
      <c r="R122" s="101"/>
      <c r="X122" s="101">
        <v>117</v>
      </c>
      <c r="Y122" s="120">
        <f t="shared" si="1"/>
        <v>18</v>
      </c>
    </row>
    <row r="123" spans="18:25" x14ac:dyDescent="0.25">
      <c r="R123" s="101"/>
      <c r="X123" s="101">
        <v>118</v>
      </c>
      <c r="Y123" s="120">
        <f t="shared" si="1"/>
        <v>18</v>
      </c>
    </row>
    <row r="124" spans="18:25" x14ac:dyDescent="0.25">
      <c r="R124" s="101"/>
      <c r="X124" s="101">
        <v>119</v>
      </c>
      <c r="Y124" s="120">
        <f t="shared" si="1"/>
        <v>18</v>
      </c>
    </row>
    <row r="125" spans="18:25" x14ac:dyDescent="0.25">
      <c r="R125" s="101"/>
      <c r="X125" s="101">
        <v>120</v>
      </c>
      <c r="Y125" s="120">
        <f t="shared" si="1"/>
        <v>22</v>
      </c>
    </row>
    <row r="126" spans="18:25" x14ac:dyDescent="0.25">
      <c r="R126" s="101"/>
      <c r="X126" s="101">
        <v>121</v>
      </c>
      <c r="Y126" s="120">
        <f t="shared" si="1"/>
        <v>22</v>
      </c>
    </row>
    <row r="127" spans="18:25" x14ac:dyDescent="0.25">
      <c r="R127" s="101"/>
      <c r="X127" s="101">
        <v>122</v>
      </c>
      <c r="Y127" s="120">
        <f t="shared" si="1"/>
        <v>22</v>
      </c>
    </row>
    <row r="128" spans="18:25" x14ac:dyDescent="0.25">
      <c r="R128" s="101"/>
      <c r="X128" s="101">
        <v>123</v>
      </c>
      <c r="Y128" s="120">
        <f t="shared" si="1"/>
        <v>22</v>
      </c>
    </row>
    <row r="129" spans="18:25" x14ac:dyDescent="0.25">
      <c r="R129" s="101"/>
      <c r="X129" s="101">
        <v>124</v>
      </c>
      <c r="Y129" s="120">
        <f t="shared" si="1"/>
        <v>22</v>
      </c>
    </row>
    <row r="130" spans="18:25" x14ac:dyDescent="0.25">
      <c r="R130" s="101"/>
      <c r="X130" s="101">
        <v>125</v>
      </c>
      <c r="Y130" s="120">
        <f t="shared" si="1"/>
        <v>22</v>
      </c>
    </row>
    <row r="131" spans="18:25" x14ac:dyDescent="0.25">
      <c r="R131" s="101"/>
      <c r="X131" s="101">
        <v>126</v>
      </c>
      <c r="Y131" s="120">
        <f t="shared" si="1"/>
        <v>22</v>
      </c>
    </row>
    <row r="132" spans="18:25" x14ac:dyDescent="0.25">
      <c r="R132" s="101"/>
      <c r="X132" s="101">
        <v>127</v>
      </c>
      <c r="Y132" s="120">
        <f t="shared" si="1"/>
        <v>22</v>
      </c>
    </row>
    <row r="133" spans="18:25" x14ac:dyDescent="0.25">
      <c r="R133" s="101"/>
      <c r="X133" s="101">
        <v>128</v>
      </c>
      <c r="Y133" s="120">
        <f t="shared" si="1"/>
        <v>22</v>
      </c>
    </row>
    <row r="134" spans="18:25" x14ac:dyDescent="0.25">
      <c r="R134" s="101"/>
      <c r="X134" s="101">
        <v>129</v>
      </c>
      <c r="Y134" s="120">
        <f t="shared" ref="Y134:Y197" si="2">INDEX(inhale_driver_table,INT(100*(X134/ticks_per_inhale))+1)</f>
        <v>22</v>
      </c>
    </row>
    <row r="135" spans="18:25" x14ac:dyDescent="0.25">
      <c r="R135" s="101"/>
      <c r="X135" s="101">
        <v>130</v>
      </c>
      <c r="Y135" s="120">
        <f t="shared" si="2"/>
        <v>22</v>
      </c>
    </row>
    <row r="136" spans="18:25" x14ac:dyDescent="0.25">
      <c r="R136" s="101"/>
      <c r="X136" s="101">
        <v>131</v>
      </c>
      <c r="Y136" s="120">
        <f t="shared" si="2"/>
        <v>22</v>
      </c>
    </row>
    <row r="137" spans="18:25" x14ac:dyDescent="0.25">
      <c r="R137" s="101"/>
      <c r="X137" s="101">
        <v>132</v>
      </c>
      <c r="Y137" s="120">
        <f t="shared" si="2"/>
        <v>22</v>
      </c>
    </row>
    <row r="138" spans="18:25" x14ac:dyDescent="0.25">
      <c r="R138" s="101"/>
      <c r="X138" s="101">
        <v>133</v>
      </c>
      <c r="Y138" s="120">
        <f t="shared" si="2"/>
        <v>22</v>
      </c>
    </row>
    <row r="139" spans="18:25" x14ac:dyDescent="0.25">
      <c r="R139" s="101"/>
      <c r="X139" s="101">
        <v>134</v>
      </c>
      <c r="Y139" s="120">
        <f t="shared" si="2"/>
        <v>22</v>
      </c>
    </row>
    <row r="140" spans="18:25" x14ac:dyDescent="0.25">
      <c r="R140" s="101"/>
      <c r="X140" s="101">
        <v>135</v>
      </c>
      <c r="Y140" s="120">
        <f t="shared" si="2"/>
        <v>22</v>
      </c>
    </row>
    <row r="141" spans="18:25" x14ac:dyDescent="0.25">
      <c r="R141" s="101"/>
      <c r="X141" s="101">
        <v>136</v>
      </c>
      <c r="Y141" s="120">
        <f t="shared" si="2"/>
        <v>22</v>
      </c>
    </row>
    <row r="142" spans="18:25" x14ac:dyDescent="0.25">
      <c r="R142" s="101"/>
      <c r="X142" s="101">
        <v>137</v>
      </c>
      <c r="Y142" s="120">
        <f t="shared" si="2"/>
        <v>22</v>
      </c>
    </row>
    <row r="143" spans="18:25" x14ac:dyDescent="0.25">
      <c r="R143" s="101"/>
      <c r="X143" s="101">
        <v>138</v>
      </c>
      <c r="Y143" s="120">
        <f t="shared" si="2"/>
        <v>22</v>
      </c>
    </row>
    <row r="144" spans="18:25" x14ac:dyDescent="0.25">
      <c r="R144" s="101"/>
      <c r="X144" s="101">
        <v>139</v>
      </c>
      <c r="Y144" s="120">
        <f t="shared" si="2"/>
        <v>22</v>
      </c>
    </row>
    <row r="145" spans="18:25" x14ac:dyDescent="0.25">
      <c r="R145" s="101"/>
      <c r="X145" s="101">
        <v>140</v>
      </c>
      <c r="Y145" s="120">
        <f t="shared" si="2"/>
        <v>26</v>
      </c>
    </row>
    <row r="146" spans="18:25" x14ac:dyDescent="0.25">
      <c r="R146" s="101"/>
      <c r="X146" s="101">
        <v>141</v>
      </c>
      <c r="Y146" s="120">
        <f t="shared" si="2"/>
        <v>26</v>
      </c>
    </row>
    <row r="147" spans="18:25" x14ac:dyDescent="0.25">
      <c r="R147" s="101"/>
      <c r="X147" s="101">
        <v>142</v>
      </c>
      <c r="Y147" s="120">
        <f t="shared" si="2"/>
        <v>26</v>
      </c>
    </row>
    <row r="148" spans="18:25" x14ac:dyDescent="0.25">
      <c r="R148" s="101"/>
      <c r="X148" s="101">
        <v>143</v>
      </c>
      <c r="Y148" s="120">
        <f t="shared" si="2"/>
        <v>26</v>
      </c>
    </row>
    <row r="149" spans="18:25" x14ac:dyDescent="0.25">
      <c r="R149" s="101"/>
      <c r="X149" s="101">
        <v>144</v>
      </c>
      <c r="Y149" s="120">
        <f t="shared" si="2"/>
        <v>26</v>
      </c>
    </row>
    <row r="150" spans="18:25" x14ac:dyDescent="0.25">
      <c r="R150" s="101"/>
      <c r="X150" s="101">
        <v>145</v>
      </c>
      <c r="Y150" s="120">
        <f t="shared" si="2"/>
        <v>26</v>
      </c>
    </row>
    <row r="151" spans="18:25" x14ac:dyDescent="0.25">
      <c r="R151" s="101"/>
      <c r="X151" s="101">
        <v>146</v>
      </c>
      <c r="Y151" s="120">
        <f t="shared" si="2"/>
        <v>26</v>
      </c>
    </row>
    <row r="152" spans="18:25" x14ac:dyDescent="0.25">
      <c r="R152" s="101"/>
      <c r="X152" s="101">
        <v>147</v>
      </c>
      <c r="Y152" s="120">
        <f t="shared" si="2"/>
        <v>26</v>
      </c>
    </row>
    <row r="153" spans="18:25" x14ac:dyDescent="0.25">
      <c r="R153" s="101"/>
      <c r="X153" s="101">
        <v>148</v>
      </c>
      <c r="Y153" s="120">
        <f t="shared" si="2"/>
        <v>26</v>
      </c>
    </row>
    <row r="154" spans="18:25" x14ac:dyDescent="0.25">
      <c r="R154" s="101"/>
      <c r="X154" s="101">
        <v>149</v>
      </c>
      <c r="Y154" s="120">
        <f t="shared" si="2"/>
        <v>26</v>
      </c>
    </row>
    <row r="155" spans="18:25" x14ac:dyDescent="0.25">
      <c r="R155" s="101"/>
      <c r="X155" s="101">
        <v>150</v>
      </c>
      <c r="Y155" s="120">
        <f t="shared" si="2"/>
        <v>26</v>
      </c>
    </row>
    <row r="156" spans="18:25" x14ac:dyDescent="0.25">
      <c r="R156" s="101"/>
      <c r="X156" s="101">
        <v>151</v>
      </c>
      <c r="Y156" s="120">
        <f t="shared" si="2"/>
        <v>26</v>
      </c>
    </row>
    <row r="157" spans="18:25" x14ac:dyDescent="0.25">
      <c r="R157" s="101"/>
      <c r="X157" s="101">
        <v>152</v>
      </c>
      <c r="Y157" s="120">
        <f t="shared" si="2"/>
        <v>26</v>
      </c>
    </row>
    <row r="158" spans="18:25" x14ac:dyDescent="0.25">
      <c r="R158" s="101"/>
      <c r="X158" s="101">
        <v>153</v>
      </c>
      <c r="Y158" s="120">
        <f t="shared" si="2"/>
        <v>26</v>
      </c>
    </row>
    <row r="159" spans="18:25" x14ac:dyDescent="0.25">
      <c r="R159" s="101"/>
      <c r="X159" s="101">
        <v>154</v>
      </c>
      <c r="Y159" s="120">
        <f t="shared" si="2"/>
        <v>26</v>
      </c>
    </row>
    <row r="160" spans="18:25" x14ac:dyDescent="0.25">
      <c r="R160" s="101"/>
      <c r="X160" s="101">
        <v>155</v>
      </c>
      <c r="Y160" s="120">
        <f t="shared" si="2"/>
        <v>26</v>
      </c>
    </row>
    <row r="161" spans="18:25" x14ac:dyDescent="0.25">
      <c r="R161" s="101"/>
      <c r="X161" s="101">
        <v>156</v>
      </c>
      <c r="Y161" s="120">
        <f t="shared" si="2"/>
        <v>26</v>
      </c>
    </row>
    <row r="162" spans="18:25" x14ac:dyDescent="0.25">
      <c r="R162" s="101"/>
      <c r="X162" s="101">
        <v>157</v>
      </c>
      <c r="Y162" s="120">
        <f t="shared" si="2"/>
        <v>26</v>
      </c>
    </row>
    <row r="163" spans="18:25" x14ac:dyDescent="0.25">
      <c r="R163" s="101"/>
      <c r="X163" s="101">
        <v>158</v>
      </c>
      <c r="Y163" s="120">
        <f t="shared" si="2"/>
        <v>26</v>
      </c>
    </row>
    <row r="164" spans="18:25" x14ac:dyDescent="0.25">
      <c r="R164" s="101"/>
      <c r="X164" s="101">
        <v>159</v>
      </c>
      <c r="Y164" s="120">
        <f t="shared" si="2"/>
        <v>26</v>
      </c>
    </row>
    <row r="165" spans="18:25" x14ac:dyDescent="0.25">
      <c r="R165" s="101"/>
      <c r="X165" s="101">
        <v>160</v>
      </c>
      <c r="Y165" s="120">
        <f t="shared" si="2"/>
        <v>30</v>
      </c>
    </row>
    <row r="166" spans="18:25" x14ac:dyDescent="0.25">
      <c r="R166" s="101"/>
      <c r="X166" s="101">
        <v>161</v>
      </c>
      <c r="Y166" s="120">
        <f t="shared" si="2"/>
        <v>30</v>
      </c>
    </row>
    <row r="167" spans="18:25" x14ac:dyDescent="0.25">
      <c r="R167" s="101"/>
      <c r="X167" s="101">
        <v>162</v>
      </c>
      <c r="Y167" s="120">
        <f t="shared" si="2"/>
        <v>30</v>
      </c>
    </row>
    <row r="168" spans="18:25" x14ac:dyDescent="0.25">
      <c r="R168" s="101"/>
      <c r="X168" s="101">
        <v>163</v>
      </c>
      <c r="Y168" s="120">
        <f t="shared" si="2"/>
        <v>30</v>
      </c>
    </row>
    <row r="169" spans="18:25" x14ac:dyDescent="0.25">
      <c r="R169" s="101"/>
      <c r="X169" s="101">
        <v>164</v>
      </c>
      <c r="Y169" s="120">
        <f t="shared" si="2"/>
        <v>30</v>
      </c>
    </row>
    <row r="170" spans="18:25" x14ac:dyDescent="0.25">
      <c r="R170" s="101"/>
      <c r="X170" s="101">
        <v>165</v>
      </c>
      <c r="Y170" s="120">
        <f t="shared" si="2"/>
        <v>30</v>
      </c>
    </row>
    <row r="171" spans="18:25" x14ac:dyDescent="0.25">
      <c r="R171" s="101"/>
      <c r="X171" s="101">
        <v>166</v>
      </c>
      <c r="Y171" s="120">
        <f t="shared" si="2"/>
        <v>30</v>
      </c>
    </row>
    <row r="172" spans="18:25" x14ac:dyDescent="0.25">
      <c r="R172" s="101"/>
      <c r="X172" s="101">
        <v>167</v>
      </c>
      <c r="Y172" s="120">
        <f t="shared" si="2"/>
        <v>30</v>
      </c>
    </row>
    <row r="173" spans="18:25" x14ac:dyDescent="0.25">
      <c r="R173" s="101"/>
      <c r="X173" s="101">
        <v>168</v>
      </c>
      <c r="Y173" s="120">
        <f t="shared" si="2"/>
        <v>30</v>
      </c>
    </row>
    <row r="174" spans="18:25" x14ac:dyDescent="0.25">
      <c r="R174" s="101"/>
      <c r="X174" s="101">
        <v>169</v>
      </c>
      <c r="Y174" s="120">
        <f t="shared" si="2"/>
        <v>30</v>
      </c>
    </row>
    <row r="175" spans="18:25" x14ac:dyDescent="0.25">
      <c r="R175" s="101"/>
      <c r="X175" s="101">
        <v>170</v>
      </c>
      <c r="Y175" s="120">
        <f t="shared" si="2"/>
        <v>30</v>
      </c>
    </row>
    <row r="176" spans="18:25" x14ac:dyDescent="0.25">
      <c r="R176" s="101"/>
      <c r="X176" s="101">
        <v>171</v>
      </c>
      <c r="Y176" s="120">
        <f t="shared" si="2"/>
        <v>30</v>
      </c>
    </row>
    <row r="177" spans="18:25" x14ac:dyDescent="0.25">
      <c r="R177" s="101"/>
      <c r="X177" s="101">
        <v>172</v>
      </c>
      <c r="Y177" s="120">
        <f t="shared" si="2"/>
        <v>30</v>
      </c>
    </row>
    <row r="178" spans="18:25" x14ac:dyDescent="0.25">
      <c r="R178" s="101"/>
      <c r="X178" s="101">
        <v>173</v>
      </c>
      <c r="Y178" s="120">
        <f t="shared" si="2"/>
        <v>30</v>
      </c>
    </row>
    <row r="179" spans="18:25" x14ac:dyDescent="0.25">
      <c r="R179" s="101"/>
      <c r="X179" s="101">
        <v>174</v>
      </c>
      <c r="Y179" s="120">
        <f t="shared" si="2"/>
        <v>30</v>
      </c>
    </row>
    <row r="180" spans="18:25" x14ac:dyDescent="0.25">
      <c r="R180" s="101"/>
      <c r="X180" s="101">
        <v>175</v>
      </c>
      <c r="Y180" s="120">
        <f t="shared" si="2"/>
        <v>30</v>
      </c>
    </row>
    <row r="181" spans="18:25" x14ac:dyDescent="0.25">
      <c r="R181" s="101"/>
      <c r="X181" s="101">
        <v>176</v>
      </c>
      <c r="Y181" s="120">
        <f t="shared" si="2"/>
        <v>30</v>
      </c>
    </row>
    <row r="182" spans="18:25" x14ac:dyDescent="0.25">
      <c r="R182" s="101"/>
      <c r="X182" s="101">
        <v>177</v>
      </c>
      <c r="Y182" s="120">
        <f t="shared" si="2"/>
        <v>30</v>
      </c>
    </row>
    <row r="183" spans="18:25" x14ac:dyDescent="0.25">
      <c r="R183" s="101"/>
      <c r="X183" s="101">
        <v>178</v>
      </c>
      <c r="Y183" s="120">
        <f t="shared" si="2"/>
        <v>30</v>
      </c>
    </row>
    <row r="184" spans="18:25" x14ac:dyDescent="0.25">
      <c r="R184" s="101"/>
      <c r="X184" s="101">
        <v>179</v>
      </c>
      <c r="Y184" s="120">
        <f t="shared" si="2"/>
        <v>30</v>
      </c>
    </row>
    <row r="185" spans="18:25" x14ac:dyDescent="0.25">
      <c r="R185" s="101"/>
      <c r="X185" s="101">
        <v>180</v>
      </c>
      <c r="Y185" s="120">
        <f t="shared" si="2"/>
        <v>33</v>
      </c>
    </row>
    <row r="186" spans="18:25" x14ac:dyDescent="0.25">
      <c r="R186" s="101"/>
      <c r="X186" s="101">
        <v>181</v>
      </c>
      <c r="Y186" s="120">
        <f t="shared" si="2"/>
        <v>33</v>
      </c>
    </row>
    <row r="187" spans="18:25" x14ac:dyDescent="0.25">
      <c r="R187" s="101"/>
      <c r="X187" s="101">
        <v>182</v>
      </c>
      <c r="Y187" s="120">
        <f t="shared" si="2"/>
        <v>33</v>
      </c>
    </row>
    <row r="188" spans="18:25" x14ac:dyDescent="0.25">
      <c r="R188" s="101"/>
      <c r="X188" s="101">
        <v>183</v>
      </c>
      <c r="Y188" s="120">
        <f t="shared" si="2"/>
        <v>33</v>
      </c>
    </row>
    <row r="189" spans="18:25" x14ac:dyDescent="0.25">
      <c r="R189" s="101"/>
      <c r="X189" s="101">
        <v>184</v>
      </c>
      <c r="Y189" s="120">
        <f t="shared" si="2"/>
        <v>33</v>
      </c>
    </row>
    <row r="190" spans="18:25" x14ac:dyDescent="0.25">
      <c r="R190" s="101"/>
      <c r="X190" s="101">
        <v>185</v>
      </c>
      <c r="Y190" s="120">
        <f t="shared" si="2"/>
        <v>33</v>
      </c>
    </row>
    <row r="191" spans="18:25" x14ac:dyDescent="0.25">
      <c r="R191" s="101"/>
      <c r="X191" s="101">
        <v>186</v>
      </c>
      <c r="Y191" s="120">
        <f t="shared" si="2"/>
        <v>33</v>
      </c>
    </row>
    <row r="192" spans="18:25" x14ac:dyDescent="0.25">
      <c r="R192" s="101"/>
      <c r="X192" s="101">
        <v>187</v>
      </c>
      <c r="Y192" s="120">
        <f t="shared" si="2"/>
        <v>33</v>
      </c>
    </row>
    <row r="193" spans="18:25" x14ac:dyDescent="0.25">
      <c r="R193" s="101"/>
      <c r="X193" s="101">
        <v>188</v>
      </c>
      <c r="Y193" s="120">
        <f t="shared" si="2"/>
        <v>33</v>
      </c>
    </row>
    <row r="194" spans="18:25" x14ac:dyDescent="0.25">
      <c r="R194" s="101"/>
      <c r="X194" s="101">
        <v>189</v>
      </c>
      <c r="Y194" s="120">
        <f t="shared" si="2"/>
        <v>33</v>
      </c>
    </row>
    <row r="195" spans="18:25" x14ac:dyDescent="0.25">
      <c r="R195" s="101"/>
      <c r="X195" s="101">
        <v>190</v>
      </c>
      <c r="Y195" s="120">
        <f t="shared" si="2"/>
        <v>33</v>
      </c>
    </row>
    <row r="196" spans="18:25" x14ac:dyDescent="0.25">
      <c r="R196" s="101"/>
      <c r="X196" s="101">
        <v>191</v>
      </c>
      <c r="Y196" s="120">
        <f t="shared" si="2"/>
        <v>33</v>
      </c>
    </row>
    <row r="197" spans="18:25" x14ac:dyDescent="0.25">
      <c r="R197" s="101"/>
      <c r="X197" s="101">
        <v>192</v>
      </c>
      <c r="Y197" s="120">
        <f t="shared" si="2"/>
        <v>33</v>
      </c>
    </row>
    <row r="198" spans="18:25" x14ac:dyDescent="0.25">
      <c r="R198" s="101"/>
      <c r="X198" s="101">
        <v>193</v>
      </c>
      <c r="Y198" s="120">
        <f t="shared" ref="Y198:Y261" si="3">INDEX(inhale_driver_table,INT(100*(X198/ticks_per_inhale))+1)</f>
        <v>33</v>
      </c>
    </row>
    <row r="199" spans="18:25" x14ac:dyDescent="0.25">
      <c r="R199" s="101"/>
      <c r="X199" s="101">
        <v>194</v>
      </c>
      <c r="Y199" s="120">
        <f t="shared" si="3"/>
        <v>33</v>
      </c>
    </row>
    <row r="200" spans="18:25" x14ac:dyDescent="0.25">
      <c r="R200" s="101"/>
      <c r="X200" s="101">
        <v>195</v>
      </c>
      <c r="Y200" s="120">
        <f t="shared" si="3"/>
        <v>33</v>
      </c>
    </row>
    <row r="201" spans="18:25" x14ac:dyDescent="0.25">
      <c r="R201" s="101"/>
      <c r="X201" s="101">
        <v>196</v>
      </c>
      <c r="Y201" s="120">
        <f t="shared" si="3"/>
        <v>33</v>
      </c>
    </row>
    <row r="202" spans="18:25" x14ac:dyDescent="0.25">
      <c r="R202" s="101"/>
      <c r="X202" s="101">
        <v>197</v>
      </c>
      <c r="Y202" s="120">
        <f t="shared" si="3"/>
        <v>33</v>
      </c>
    </row>
    <row r="203" spans="18:25" x14ac:dyDescent="0.25">
      <c r="R203" s="101"/>
      <c r="X203" s="101">
        <v>198</v>
      </c>
      <c r="Y203" s="120">
        <f t="shared" si="3"/>
        <v>33</v>
      </c>
    </row>
    <row r="204" spans="18:25" x14ac:dyDescent="0.25">
      <c r="R204" s="101"/>
      <c r="X204" s="101">
        <v>199</v>
      </c>
      <c r="Y204" s="120">
        <f t="shared" si="3"/>
        <v>33</v>
      </c>
    </row>
    <row r="205" spans="18:25" x14ac:dyDescent="0.25">
      <c r="X205" s="101">
        <v>200</v>
      </c>
      <c r="Y205" s="120">
        <f t="shared" si="3"/>
        <v>37</v>
      </c>
    </row>
    <row r="206" spans="18:25" x14ac:dyDescent="0.25">
      <c r="X206" s="101">
        <v>201</v>
      </c>
      <c r="Y206" s="120">
        <f t="shared" si="3"/>
        <v>37</v>
      </c>
    </row>
    <row r="207" spans="18:25" x14ac:dyDescent="0.25">
      <c r="X207" s="101">
        <v>202</v>
      </c>
      <c r="Y207" s="120">
        <f t="shared" si="3"/>
        <v>37</v>
      </c>
    </row>
    <row r="208" spans="18:25" x14ac:dyDescent="0.25">
      <c r="X208" s="101">
        <v>203</v>
      </c>
      <c r="Y208" s="120">
        <f t="shared" si="3"/>
        <v>37</v>
      </c>
    </row>
    <row r="209" spans="24:25" x14ac:dyDescent="0.25">
      <c r="X209" s="101">
        <v>204</v>
      </c>
      <c r="Y209" s="120">
        <f t="shared" si="3"/>
        <v>37</v>
      </c>
    </row>
    <row r="210" spans="24:25" x14ac:dyDescent="0.25">
      <c r="X210" s="101">
        <v>205</v>
      </c>
      <c r="Y210" s="120">
        <f t="shared" si="3"/>
        <v>37</v>
      </c>
    </row>
    <row r="211" spans="24:25" x14ac:dyDescent="0.25">
      <c r="X211" s="101">
        <v>206</v>
      </c>
      <c r="Y211" s="120">
        <f t="shared" si="3"/>
        <v>37</v>
      </c>
    </row>
    <row r="212" spans="24:25" x14ac:dyDescent="0.25">
      <c r="X212" s="101">
        <v>207</v>
      </c>
      <c r="Y212" s="120">
        <f t="shared" si="3"/>
        <v>37</v>
      </c>
    </row>
    <row r="213" spans="24:25" x14ac:dyDescent="0.25">
      <c r="X213" s="101">
        <v>208</v>
      </c>
      <c r="Y213" s="120">
        <f t="shared" si="3"/>
        <v>37</v>
      </c>
    </row>
    <row r="214" spans="24:25" x14ac:dyDescent="0.25">
      <c r="X214" s="101">
        <v>209</v>
      </c>
      <c r="Y214" s="120">
        <f t="shared" si="3"/>
        <v>37</v>
      </c>
    </row>
    <row r="215" spans="24:25" x14ac:dyDescent="0.25">
      <c r="X215" s="101">
        <v>210</v>
      </c>
      <c r="Y215" s="120">
        <f t="shared" si="3"/>
        <v>37</v>
      </c>
    </row>
    <row r="216" spans="24:25" x14ac:dyDescent="0.25">
      <c r="X216" s="101">
        <v>211</v>
      </c>
      <c r="Y216" s="120">
        <f t="shared" si="3"/>
        <v>37</v>
      </c>
    </row>
    <row r="217" spans="24:25" x14ac:dyDescent="0.25">
      <c r="X217" s="101">
        <v>212</v>
      </c>
      <c r="Y217" s="120">
        <f t="shared" si="3"/>
        <v>37</v>
      </c>
    </row>
    <row r="218" spans="24:25" x14ac:dyDescent="0.25">
      <c r="X218" s="101">
        <v>213</v>
      </c>
      <c r="Y218" s="120">
        <f t="shared" si="3"/>
        <v>37</v>
      </c>
    </row>
    <row r="219" spans="24:25" x14ac:dyDescent="0.25">
      <c r="X219" s="101">
        <v>214</v>
      </c>
      <c r="Y219" s="120">
        <f t="shared" si="3"/>
        <v>37</v>
      </c>
    </row>
    <row r="220" spans="24:25" x14ac:dyDescent="0.25">
      <c r="X220" s="101">
        <v>215</v>
      </c>
      <c r="Y220" s="120">
        <f t="shared" si="3"/>
        <v>37</v>
      </c>
    </row>
    <row r="221" spans="24:25" x14ac:dyDescent="0.25">
      <c r="X221" s="101">
        <v>216</v>
      </c>
      <c r="Y221" s="120">
        <f t="shared" si="3"/>
        <v>37</v>
      </c>
    </row>
    <row r="222" spans="24:25" x14ac:dyDescent="0.25">
      <c r="X222" s="101">
        <v>217</v>
      </c>
      <c r="Y222" s="120">
        <f t="shared" si="3"/>
        <v>37</v>
      </c>
    </row>
    <row r="223" spans="24:25" x14ac:dyDescent="0.25">
      <c r="X223" s="101">
        <v>218</v>
      </c>
      <c r="Y223" s="120">
        <f t="shared" si="3"/>
        <v>37</v>
      </c>
    </row>
    <row r="224" spans="24:25" x14ac:dyDescent="0.25">
      <c r="X224" s="101">
        <v>219</v>
      </c>
      <c r="Y224" s="120">
        <f t="shared" si="3"/>
        <v>37</v>
      </c>
    </row>
    <row r="225" spans="24:25" x14ac:dyDescent="0.25">
      <c r="X225" s="101">
        <v>220</v>
      </c>
      <c r="Y225" s="120">
        <f t="shared" si="3"/>
        <v>41</v>
      </c>
    </row>
    <row r="226" spans="24:25" x14ac:dyDescent="0.25">
      <c r="X226" s="101">
        <v>221</v>
      </c>
      <c r="Y226" s="120">
        <f t="shared" si="3"/>
        <v>41</v>
      </c>
    </row>
    <row r="227" spans="24:25" x14ac:dyDescent="0.25">
      <c r="X227" s="101">
        <v>222</v>
      </c>
      <c r="Y227" s="120">
        <f t="shared" si="3"/>
        <v>41</v>
      </c>
    </row>
    <row r="228" spans="24:25" x14ac:dyDescent="0.25">
      <c r="X228" s="101">
        <v>223</v>
      </c>
      <c r="Y228" s="120">
        <f t="shared" si="3"/>
        <v>41</v>
      </c>
    </row>
    <row r="229" spans="24:25" x14ac:dyDescent="0.25">
      <c r="X229" s="101">
        <v>224</v>
      </c>
      <c r="Y229" s="120">
        <f t="shared" si="3"/>
        <v>41</v>
      </c>
    </row>
    <row r="230" spans="24:25" x14ac:dyDescent="0.25">
      <c r="X230" s="101">
        <v>225</v>
      </c>
      <c r="Y230" s="120">
        <f t="shared" si="3"/>
        <v>41</v>
      </c>
    </row>
    <row r="231" spans="24:25" x14ac:dyDescent="0.25">
      <c r="X231" s="101">
        <v>226</v>
      </c>
      <c r="Y231" s="120">
        <f t="shared" si="3"/>
        <v>41</v>
      </c>
    </row>
    <row r="232" spans="24:25" x14ac:dyDescent="0.25">
      <c r="X232" s="101">
        <v>227</v>
      </c>
      <c r="Y232" s="120">
        <f t="shared" si="3"/>
        <v>41</v>
      </c>
    </row>
    <row r="233" spans="24:25" x14ac:dyDescent="0.25">
      <c r="X233" s="101">
        <v>228</v>
      </c>
      <c r="Y233" s="120">
        <f t="shared" si="3"/>
        <v>41</v>
      </c>
    </row>
    <row r="234" spans="24:25" x14ac:dyDescent="0.25">
      <c r="X234" s="101">
        <v>229</v>
      </c>
      <c r="Y234" s="120">
        <f t="shared" si="3"/>
        <v>41</v>
      </c>
    </row>
    <row r="235" spans="24:25" x14ac:dyDescent="0.25">
      <c r="X235" s="101">
        <v>230</v>
      </c>
      <c r="Y235" s="120">
        <f t="shared" si="3"/>
        <v>41</v>
      </c>
    </row>
    <row r="236" spans="24:25" x14ac:dyDescent="0.25">
      <c r="X236" s="101">
        <v>231</v>
      </c>
      <c r="Y236" s="120">
        <f t="shared" si="3"/>
        <v>41</v>
      </c>
    </row>
    <row r="237" spans="24:25" x14ac:dyDescent="0.25">
      <c r="X237" s="101">
        <v>232</v>
      </c>
      <c r="Y237" s="120">
        <f t="shared" si="3"/>
        <v>41</v>
      </c>
    </row>
    <row r="238" spans="24:25" x14ac:dyDescent="0.25">
      <c r="X238" s="101">
        <v>233</v>
      </c>
      <c r="Y238" s="120">
        <f t="shared" si="3"/>
        <v>41</v>
      </c>
    </row>
    <row r="239" spans="24:25" x14ac:dyDescent="0.25">
      <c r="X239" s="101">
        <v>234</v>
      </c>
      <c r="Y239" s="120">
        <f t="shared" si="3"/>
        <v>41</v>
      </c>
    </row>
    <row r="240" spans="24:25" x14ac:dyDescent="0.25">
      <c r="X240" s="101">
        <v>235</v>
      </c>
      <c r="Y240" s="120">
        <f t="shared" si="3"/>
        <v>41</v>
      </c>
    </row>
    <row r="241" spans="24:25" x14ac:dyDescent="0.25">
      <c r="X241" s="101">
        <v>236</v>
      </c>
      <c r="Y241" s="120">
        <f t="shared" si="3"/>
        <v>41</v>
      </c>
    </row>
    <row r="242" spans="24:25" x14ac:dyDescent="0.25">
      <c r="X242" s="101">
        <v>237</v>
      </c>
      <c r="Y242" s="120">
        <f t="shared" si="3"/>
        <v>41</v>
      </c>
    </row>
    <row r="243" spans="24:25" x14ac:dyDescent="0.25">
      <c r="X243" s="101">
        <v>238</v>
      </c>
      <c r="Y243" s="120">
        <f t="shared" si="3"/>
        <v>41</v>
      </c>
    </row>
    <row r="244" spans="24:25" x14ac:dyDescent="0.25">
      <c r="X244" s="101">
        <v>239</v>
      </c>
      <c r="Y244" s="120">
        <f t="shared" si="3"/>
        <v>41</v>
      </c>
    </row>
    <row r="245" spans="24:25" x14ac:dyDescent="0.25">
      <c r="X245" s="101">
        <v>240</v>
      </c>
      <c r="Y245" s="120">
        <f t="shared" si="3"/>
        <v>45</v>
      </c>
    </row>
    <row r="246" spans="24:25" x14ac:dyDescent="0.25">
      <c r="X246" s="101">
        <v>241</v>
      </c>
      <c r="Y246" s="120">
        <f t="shared" si="3"/>
        <v>45</v>
      </c>
    </row>
    <row r="247" spans="24:25" x14ac:dyDescent="0.25">
      <c r="X247" s="101">
        <v>242</v>
      </c>
      <c r="Y247" s="120">
        <f t="shared" si="3"/>
        <v>45</v>
      </c>
    </row>
    <row r="248" spans="24:25" x14ac:dyDescent="0.25">
      <c r="X248" s="101">
        <v>243</v>
      </c>
      <c r="Y248" s="120">
        <f t="shared" si="3"/>
        <v>45</v>
      </c>
    </row>
    <row r="249" spans="24:25" x14ac:dyDescent="0.25">
      <c r="X249" s="101">
        <v>244</v>
      </c>
      <c r="Y249" s="120">
        <f t="shared" si="3"/>
        <v>45</v>
      </c>
    </row>
    <row r="250" spans="24:25" x14ac:dyDescent="0.25">
      <c r="X250" s="101">
        <v>245</v>
      </c>
      <c r="Y250" s="120">
        <f t="shared" si="3"/>
        <v>45</v>
      </c>
    </row>
    <row r="251" spans="24:25" x14ac:dyDescent="0.25">
      <c r="X251" s="101">
        <v>246</v>
      </c>
      <c r="Y251" s="120">
        <f t="shared" si="3"/>
        <v>45</v>
      </c>
    </row>
    <row r="252" spans="24:25" x14ac:dyDescent="0.25">
      <c r="X252" s="101">
        <v>247</v>
      </c>
      <c r="Y252" s="120">
        <f t="shared" si="3"/>
        <v>45</v>
      </c>
    </row>
    <row r="253" spans="24:25" x14ac:dyDescent="0.25">
      <c r="X253" s="101">
        <v>248</v>
      </c>
      <c r="Y253" s="120">
        <f t="shared" si="3"/>
        <v>45</v>
      </c>
    </row>
    <row r="254" spans="24:25" x14ac:dyDescent="0.25">
      <c r="X254" s="101">
        <v>249</v>
      </c>
      <c r="Y254" s="120">
        <f t="shared" si="3"/>
        <v>45</v>
      </c>
    </row>
    <row r="255" spans="24:25" x14ac:dyDescent="0.25">
      <c r="X255" s="101">
        <v>250</v>
      </c>
      <c r="Y255" s="120">
        <f t="shared" si="3"/>
        <v>45</v>
      </c>
    </row>
    <row r="256" spans="24:25" x14ac:dyDescent="0.25">
      <c r="X256" s="101">
        <v>251</v>
      </c>
      <c r="Y256" s="120">
        <f t="shared" si="3"/>
        <v>45</v>
      </c>
    </row>
    <row r="257" spans="24:25" x14ac:dyDescent="0.25">
      <c r="X257" s="101">
        <v>252</v>
      </c>
      <c r="Y257" s="120">
        <f t="shared" si="3"/>
        <v>45</v>
      </c>
    </row>
    <row r="258" spans="24:25" x14ac:dyDescent="0.25">
      <c r="X258" s="101">
        <v>253</v>
      </c>
      <c r="Y258" s="120">
        <f t="shared" si="3"/>
        <v>45</v>
      </c>
    </row>
    <row r="259" spans="24:25" x14ac:dyDescent="0.25">
      <c r="X259" s="101">
        <v>254</v>
      </c>
      <c r="Y259" s="120">
        <f t="shared" si="3"/>
        <v>45</v>
      </c>
    </row>
    <row r="260" spans="24:25" x14ac:dyDescent="0.25">
      <c r="X260" s="101">
        <v>255</v>
      </c>
      <c r="Y260" s="120">
        <f t="shared" si="3"/>
        <v>45</v>
      </c>
    </row>
    <row r="261" spans="24:25" x14ac:dyDescent="0.25">
      <c r="X261" s="101">
        <v>256</v>
      </c>
      <c r="Y261" s="120">
        <f t="shared" si="3"/>
        <v>45</v>
      </c>
    </row>
    <row r="262" spans="24:25" x14ac:dyDescent="0.25">
      <c r="X262" s="101">
        <v>257</v>
      </c>
      <c r="Y262" s="120">
        <f t="shared" ref="Y262:Y325" si="4">INDEX(inhale_driver_table,INT(100*(X262/ticks_per_inhale))+1)</f>
        <v>45</v>
      </c>
    </row>
    <row r="263" spans="24:25" x14ac:dyDescent="0.25">
      <c r="X263" s="101">
        <v>258</v>
      </c>
      <c r="Y263" s="120">
        <f t="shared" si="4"/>
        <v>45</v>
      </c>
    </row>
    <row r="264" spans="24:25" x14ac:dyDescent="0.25">
      <c r="X264" s="101">
        <v>259</v>
      </c>
      <c r="Y264" s="120">
        <f t="shared" si="4"/>
        <v>45</v>
      </c>
    </row>
    <row r="265" spans="24:25" x14ac:dyDescent="0.25">
      <c r="X265" s="101">
        <v>260</v>
      </c>
      <c r="Y265" s="120">
        <f t="shared" si="4"/>
        <v>48</v>
      </c>
    </row>
    <row r="266" spans="24:25" x14ac:dyDescent="0.25">
      <c r="X266" s="101">
        <v>261</v>
      </c>
      <c r="Y266" s="120">
        <f t="shared" si="4"/>
        <v>48</v>
      </c>
    </row>
    <row r="267" spans="24:25" x14ac:dyDescent="0.25">
      <c r="X267" s="101">
        <v>262</v>
      </c>
      <c r="Y267" s="120">
        <f t="shared" si="4"/>
        <v>48</v>
      </c>
    </row>
    <row r="268" spans="24:25" x14ac:dyDescent="0.25">
      <c r="X268" s="101">
        <v>263</v>
      </c>
      <c r="Y268" s="120">
        <f t="shared" si="4"/>
        <v>48</v>
      </c>
    </row>
    <row r="269" spans="24:25" x14ac:dyDescent="0.25">
      <c r="X269" s="101">
        <v>264</v>
      </c>
      <c r="Y269" s="120">
        <f t="shared" si="4"/>
        <v>48</v>
      </c>
    </row>
    <row r="270" spans="24:25" x14ac:dyDescent="0.25">
      <c r="X270" s="101">
        <v>265</v>
      </c>
      <c r="Y270" s="120">
        <f t="shared" si="4"/>
        <v>48</v>
      </c>
    </row>
    <row r="271" spans="24:25" x14ac:dyDescent="0.25">
      <c r="X271" s="101">
        <v>266</v>
      </c>
      <c r="Y271" s="120">
        <f t="shared" si="4"/>
        <v>48</v>
      </c>
    </row>
    <row r="272" spans="24:25" x14ac:dyDescent="0.25">
      <c r="X272" s="101">
        <v>267</v>
      </c>
      <c r="Y272" s="120">
        <f t="shared" si="4"/>
        <v>48</v>
      </c>
    </row>
    <row r="273" spans="24:25" x14ac:dyDescent="0.25">
      <c r="X273" s="101">
        <v>268</v>
      </c>
      <c r="Y273" s="120">
        <f t="shared" si="4"/>
        <v>48</v>
      </c>
    </row>
    <row r="274" spans="24:25" x14ac:dyDescent="0.25">
      <c r="X274" s="101">
        <v>269</v>
      </c>
      <c r="Y274" s="120">
        <f t="shared" si="4"/>
        <v>48</v>
      </c>
    </row>
    <row r="275" spans="24:25" x14ac:dyDescent="0.25">
      <c r="X275" s="101">
        <v>270</v>
      </c>
      <c r="Y275" s="120">
        <f t="shared" si="4"/>
        <v>48</v>
      </c>
    </row>
    <row r="276" spans="24:25" x14ac:dyDescent="0.25">
      <c r="X276" s="101">
        <v>271</v>
      </c>
      <c r="Y276" s="120">
        <f t="shared" si="4"/>
        <v>48</v>
      </c>
    </row>
    <row r="277" spans="24:25" x14ac:dyDescent="0.25">
      <c r="X277" s="101">
        <v>272</v>
      </c>
      <c r="Y277" s="120">
        <f t="shared" si="4"/>
        <v>48</v>
      </c>
    </row>
    <row r="278" spans="24:25" x14ac:dyDescent="0.25">
      <c r="X278" s="101">
        <v>273</v>
      </c>
      <c r="Y278" s="120">
        <f t="shared" si="4"/>
        <v>48</v>
      </c>
    </row>
    <row r="279" spans="24:25" x14ac:dyDescent="0.25">
      <c r="X279" s="101">
        <v>274</v>
      </c>
      <c r="Y279" s="120">
        <f t="shared" si="4"/>
        <v>48</v>
      </c>
    </row>
    <row r="280" spans="24:25" x14ac:dyDescent="0.25">
      <c r="X280" s="101">
        <v>275</v>
      </c>
      <c r="Y280" s="120">
        <f t="shared" si="4"/>
        <v>48</v>
      </c>
    </row>
    <row r="281" spans="24:25" x14ac:dyDescent="0.25">
      <c r="X281" s="101">
        <v>276</v>
      </c>
      <c r="Y281" s="120">
        <f t="shared" si="4"/>
        <v>48</v>
      </c>
    </row>
    <row r="282" spans="24:25" x14ac:dyDescent="0.25">
      <c r="X282" s="101">
        <v>277</v>
      </c>
      <c r="Y282" s="120">
        <f t="shared" si="4"/>
        <v>48</v>
      </c>
    </row>
    <row r="283" spans="24:25" x14ac:dyDescent="0.25">
      <c r="X283" s="101">
        <v>278</v>
      </c>
      <c r="Y283" s="120">
        <f t="shared" si="4"/>
        <v>48</v>
      </c>
    </row>
    <row r="284" spans="24:25" x14ac:dyDescent="0.25">
      <c r="X284" s="101">
        <v>279</v>
      </c>
      <c r="Y284" s="120">
        <f t="shared" si="4"/>
        <v>48</v>
      </c>
    </row>
    <row r="285" spans="24:25" x14ac:dyDescent="0.25">
      <c r="X285" s="101">
        <v>280</v>
      </c>
      <c r="Y285" s="120">
        <f t="shared" si="4"/>
        <v>52</v>
      </c>
    </row>
    <row r="286" spans="24:25" x14ac:dyDescent="0.25">
      <c r="X286" s="101">
        <v>281</v>
      </c>
      <c r="Y286" s="120">
        <f t="shared" si="4"/>
        <v>52</v>
      </c>
    </row>
    <row r="287" spans="24:25" x14ac:dyDescent="0.25">
      <c r="X287" s="101">
        <v>282</v>
      </c>
      <c r="Y287" s="120">
        <f t="shared" si="4"/>
        <v>52</v>
      </c>
    </row>
    <row r="288" spans="24:25" x14ac:dyDescent="0.25">
      <c r="X288" s="101">
        <v>283</v>
      </c>
      <c r="Y288" s="120">
        <f t="shared" si="4"/>
        <v>52</v>
      </c>
    </row>
    <row r="289" spans="24:25" x14ac:dyDescent="0.25">
      <c r="X289" s="101">
        <v>284</v>
      </c>
      <c r="Y289" s="120">
        <f t="shared" si="4"/>
        <v>52</v>
      </c>
    </row>
    <row r="290" spans="24:25" x14ac:dyDescent="0.25">
      <c r="X290" s="101">
        <v>285</v>
      </c>
      <c r="Y290" s="120">
        <f t="shared" si="4"/>
        <v>52</v>
      </c>
    </row>
    <row r="291" spans="24:25" x14ac:dyDescent="0.25">
      <c r="X291" s="101">
        <v>286</v>
      </c>
      <c r="Y291" s="120">
        <f t="shared" si="4"/>
        <v>52</v>
      </c>
    </row>
    <row r="292" spans="24:25" x14ac:dyDescent="0.25">
      <c r="X292" s="101">
        <v>287</v>
      </c>
      <c r="Y292" s="120">
        <f t="shared" si="4"/>
        <v>52</v>
      </c>
    </row>
    <row r="293" spans="24:25" x14ac:dyDescent="0.25">
      <c r="X293" s="101">
        <v>288</v>
      </c>
      <c r="Y293" s="120">
        <f t="shared" si="4"/>
        <v>52</v>
      </c>
    </row>
    <row r="294" spans="24:25" x14ac:dyDescent="0.25">
      <c r="X294" s="101">
        <v>289</v>
      </c>
      <c r="Y294" s="120">
        <f t="shared" si="4"/>
        <v>52</v>
      </c>
    </row>
    <row r="295" spans="24:25" x14ac:dyDescent="0.25">
      <c r="X295" s="101">
        <v>290</v>
      </c>
      <c r="Y295" s="120">
        <f t="shared" si="4"/>
        <v>52</v>
      </c>
    </row>
    <row r="296" spans="24:25" x14ac:dyDescent="0.25">
      <c r="X296" s="101">
        <v>291</v>
      </c>
      <c r="Y296" s="120">
        <f t="shared" si="4"/>
        <v>52</v>
      </c>
    </row>
    <row r="297" spans="24:25" x14ac:dyDescent="0.25">
      <c r="X297" s="101">
        <v>292</v>
      </c>
      <c r="Y297" s="120">
        <f t="shared" si="4"/>
        <v>52</v>
      </c>
    </row>
    <row r="298" spans="24:25" x14ac:dyDescent="0.25">
      <c r="X298" s="101">
        <v>293</v>
      </c>
      <c r="Y298" s="120">
        <f t="shared" si="4"/>
        <v>52</v>
      </c>
    </row>
    <row r="299" spans="24:25" x14ac:dyDescent="0.25">
      <c r="X299" s="101">
        <v>294</v>
      </c>
      <c r="Y299" s="120">
        <f t="shared" si="4"/>
        <v>52</v>
      </c>
    </row>
    <row r="300" spans="24:25" x14ac:dyDescent="0.25">
      <c r="X300" s="101">
        <v>295</v>
      </c>
      <c r="Y300" s="120">
        <f t="shared" si="4"/>
        <v>52</v>
      </c>
    </row>
    <row r="301" spans="24:25" x14ac:dyDescent="0.25">
      <c r="X301" s="101">
        <v>296</v>
      </c>
      <c r="Y301" s="120">
        <f t="shared" si="4"/>
        <v>52</v>
      </c>
    </row>
    <row r="302" spans="24:25" x14ac:dyDescent="0.25">
      <c r="X302" s="101">
        <v>297</v>
      </c>
      <c r="Y302" s="120">
        <f t="shared" si="4"/>
        <v>52</v>
      </c>
    </row>
    <row r="303" spans="24:25" x14ac:dyDescent="0.25">
      <c r="X303" s="101">
        <v>298</v>
      </c>
      <c r="Y303" s="120">
        <f t="shared" si="4"/>
        <v>52</v>
      </c>
    </row>
    <row r="304" spans="24:25" x14ac:dyDescent="0.25">
      <c r="X304" s="101">
        <v>299</v>
      </c>
      <c r="Y304" s="120">
        <f t="shared" si="4"/>
        <v>52</v>
      </c>
    </row>
    <row r="305" spans="24:25" x14ac:dyDescent="0.25">
      <c r="X305" s="101">
        <v>300</v>
      </c>
      <c r="Y305" s="120">
        <f t="shared" si="4"/>
        <v>56</v>
      </c>
    </row>
    <row r="306" spans="24:25" x14ac:dyDescent="0.25">
      <c r="X306" s="101">
        <v>301</v>
      </c>
      <c r="Y306" s="120">
        <f t="shared" si="4"/>
        <v>56</v>
      </c>
    </row>
    <row r="307" spans="24:25" x14ac:dyDescent="0.25">
      <c r="X307" s="101">
        <v>302</v>
      </c>
      <c r="Y307" s="120">
        <f t="shared" si="4"/>
        <v>56</v>
      </c>
    </row>
    <row r="308" spans="24:25" x14ac:dyDescent="0.25">
      <c r="X308" s="101">
        <v>303</v>
      </c>
      <c r="Y308" s="120">
        <f t="shared" si="4"/>
        <v>56</v>
      </c>
    </row>
    <row r="309" spans="24:25" x14ac:dyDescent="0.25">
      <c r="X309" s="101">
        <v>304</v>
      </c>
      <c r="Y309" s="120">
        <f t="shared" si="4"/>
        <v>56</v>
      </c>
    </row>
    <row r="310" spans="24:25" x14ac:dyDescent="0.25">
      <c r="X310" s="101">
        <v>305</v>
      </c>
      <c r="Y310" s="120">
        <f t="shared" si="4"/>
        <v>56</v>
      </c>
    </row>
    <row r="311" spans="24:25" x14ac:dyDescent="0.25">
      <c r="X311" s="101">
        <v>306</v>
      </c>
      <c r="Y311" s="120">
        <f t="shared" si="4"/>
        <v>56</v>
      </c>
    </row>
    <row r="312" spans="24:25" x14ac:dyDescent="0.25">
      <c r="X312" s="101">
        <v>307</v>
      </c>
      <c r="Y312" s="120">
        <f t="shared" si="4"/>
        <v>56</v>
      </c>
    </row>
    <row r="313" spans="24:25" x14ac:dyDescent="0.25">
      <c r="X313" s="101">
        <v>308</v>
      </c>
      <c r="Y313" s="120">
        <f t="shared" si="4"/>
        <v>56</v>
      </c>
    </row>
    <row r="314" spans="24:25" x14ac:dyDescent="0.25">
      <c r="X314" s="101">
        <v>309</v>
      </c>
      <c r="Y314" s="120">
        <f t="shared" si="4"/>
        <v>56</v>
      </c>
    </row>
    <row r="315" spans="24:25" x14ac:dyDescent="0.25">
      <c r="X315" s="101">
        <v>310</v>
      </c>
      <c r="Y315" s="120">
        <f t="shared" si="4"/>
        <v>56</v>
      </c>
    </row>
    <row r="316" spans="24:25" x14ac:dyDescent="0.25">
      <c r="X316" s="101">
        <v>311</v>
      </c>
      <c r="Y316" s="120">
        <f t="shared" si="4"/>
        <v>56</v>
      </c>
    </row>
    <row r="317" spans="24:25" x14ac:dyDescent="0.25">
      <c r="X317" s="101">
        <v>312</v>
      </c>
      <c r="Y317" s="120">
        <f t="shared" si="4"/>
        <v>56</v>
      </c>
    </row>
    <row r="318" spans="24:25" x14ac:dyDescent="0.25">
      <c r="X318" s="101">
        <v>313</v>
      </c>
      <c r="Y318" s="120">
        <f t="shared" si="4"/>
        <v>56</v>
      </c>
    </row>
    <row r="319" spans="24:25" x14ac:dyDescent="0.25">
      <c r="X319" s="101">
        <v>314</v>
      </c>
      <c r="Y319" s="120">
        <f t="shared" si="4"/>
        <v>56</v>
      </c>
    </row>
    <row r="320" spans="24:25" x14ac:dyDescent="0.25">
      <c r="X320" s="101">
        <v>315</v>
      </c>
      <c r="Y320" s="120">
        <f t="shared" si="4"/>
        <v>56</v>
      </c>
    </row>
    <row r="321" spans="24:25" x14ac:dyDescent="0.25">
      <c r="X321" s="101">
        <v>316</v>
      </c>
      <c r="Y321" s="120">
        <f t="shared" si="4"/>
        <v>56</v>
      </c>
    </row>
    <row r="322" spans="24:25" x14ac:dyDescent="0.25">
      <c r="X322" s="101">
        <v>317</v>
      </c>
      <c r="Y322" s="120">
        <f t="shared" si="4"/>
        <v>56</v>
      </c>
    </row>
    <row r="323" spans="24:25" x14ac:dyDescent="0.25">
      <c r="X323" s="101">
        <v>318</v>
      </c>
      <c r="Y323" s="120">
        <f t="shared" si="4"/>
        <v>56</v>
      </c>
    </row>
    <row r="324" spans="24:25" x14ac:dyDescent="0.25">
      <c r="X324" s="101">
        <v>319</v>
      </c>
      <c r="Y324" s="120">
        <f t="shared" si="4"/>
        <v>56</v>
      </c>
    </row>
    <row r="325" spans="24:25" x14ac:dyDescent="0.25">
      <c r="X325" s="101">
        <v>320</v>
      </c>
      <c r="Y325" s="120">
        <f t="shared" si="4"/>
        <v>60</v>
      </c>
    </row>
    <row r="326" spans="24:25" x14ac:dyDescent="0.25">
      <c r="X326" s="101">
        <v>321</v>
      </c>
      <c r="Y326" s="120">
        <f t="shared" ref="Y326:Y389" si="5">INDEX(inhale_driver_table,INT(100*(X326/ticks_per_inhale))+1)</f>
        <v>60</v>
      </c>
    </row>
    <row r="327" spans="24:25" x14ac:dyDescent="0.25">
      <c r="X327" s="101">
        <v>322</v>
      </c>
      <c r="Y327" s="120">
        <f t="shared" si="5"/>
        <v>60</v>
      </c>
    </row>
    <row r="328" spans="24:25" x14ac:dyDescent="0.25">
      <c r="X328" s="101">
        <v>323</v>
      </c>
      <c r="Y328" s="120">
        <f t="shared" si="5"/>
        <v>60</v>
      </c>
    </row>
    <row r="329" spans="24:25" x14ac:dyDescent="0.25">
      <c r="X329" s="101">
        <v>324</v>
      </c>
      <c r="Y329" s="120">
        <f t="shared" si="5"/>
        <v>60</v>
      </c>
    </row>
    <row r="330" spans="24:25" x14ac:dyDescent="0.25">
      <c r="X330" s="101">
        <v>325</v>
      </c>
      <c r="Y330" s="120">
        <f t="shared" si="5"/>
        <v>60</v>
      </c>
    </row>
    <row r="331" spans="24:25" x14ac:dyDescent="0.25">
      <c r="X331" s="101">
        <v>326</v>
      </c>
      <c r="Y331" s="120">
        <f t="shared" si="5"/>
        <v>60</v>
      </c>
    </row>
    <row r="332" spans="24:25" x14ac:dyDescent="0.25">
      <c r="X332" s="101">
        <v>327</v>
      </c>
      <c r="Y332" s="120">
        <f t="shared" si="5"/>
        <v>60</v>
      </c>
    </row>
    <row r="333" spans="24:25" x14ac:dyDescent="0.25">
      <c r="X333" s="101">
        <v>328</v>
      </c>
      <c r="Y333" s="120">
        <f t="shared" si="5"/>
        <v>60</v>
      </c>
    </row>
    <row r="334" spans="24:25" x14ac:dyDescent="0.25">
      <c r="X334" s="101">
        <v>329</v>
      </c>
      <c r="Y334" s="120">
        <f t="shared" si="5"/>
        <v>60</v>
      </c>
    </row>
    <row r="335" spans="24:25" x14ac:dyDescent="0.25">
      <c r="X335" s="101">
        <v>330</v>
      </c>
      <c r="Y335" s="120">
        <f t="shared" si="5"/>
        <v>60</v>
      </c>
    </row>
    <row r="336" spans="24:25" x14ac:dyDescent="0.25">
      <c r="X336" s="101">
        <v>331</v>
      </c>
      <c r="Y336" s="120">
        <f t="shared" si="5"/>
        <v>60</v>
      </c>
    </row>
    <row r="337" spans="24:25" x14ac:dyDescent="0.25">
      <c r="X337" s="101">
        <v>332</v>
      </c>
      <c r="Y337" s="120">
        <f t="shared" si="5"/>
        <v>60</v>
      </c>
    </row>
    <row r="338" spans="24:25" x14ac:dyDescent="0.25">
      <c r="X338" s="101">
        <v>333</v>
      </c>
      <c r="Y338" s="120">
        <f t="shared" si="5"/>
        <v>60</v>
      </c>
    </row>
    <row r="339" spans="24:25" x14ac:dyDescent="0.25">
      <c r="X339" s="101">
        <v>334</v>
      </c>
      <c r="Y339" s="120">
        <f t="shared" si="5"/>
        <v>60</v>
      </c>
    </row>
    <row r="340" spans="24:25" x14ac:dyDescent="0.25">
      <c r="X340" s="101">
        <v>335</v>
      </c>
      <c r="Y340" s="120">
        <f t="shared" si="5"/>
        <v>60</v>
      </c>
    </row>
    <row r="341" spans="24:25" x14ac:dyDescent="0.25">
      <c r="X341" s="101">
        <v>336</v>
      </c>
      <c r="Y341" s="120">
        <f t="shared" si="5"/>
        <v>60</v>
      </c>
    </row>
    <row r="342" spans="24:25" x14ac:dyDescent="0.25">
      <c r="X342" s="101">
        <v>337</v>
      </c>
      <c r="Y342" s="120">
        <f t="shared" si="5"/>
        <v>60</v>
      </c>
    </row>
    <row r="343" spans="24:25" x14ac:dyDescent="0.25">
      <c r="X343" s="101">
        <v>338</v>
      </c>
      <c r="Y343" s="120">
        <f t="shared" si="5"/>
        <v>60</v>
      </c>
    </row>
    <row r="344" spans="24:25" x14ac:dyDescent="0.25">
      <c r="X344" s="101">
        <v>339</v>
      </c>
      <c r="Y344" s="120">
        <f t="shared" si="5"/>
        <v>60</v>
      </c>
    </row>
    <row r="345" spans="24:25" x14ac:dyDescent="0.25">
      <c r="X345" s="101">
        <v>340</v>
      </c>
      <c r="Y345" s="120">
        <f t="shared" si="5"/>
        <v>63</v>
      </c>
    </row>
    <row r="346" spans="24:25" x14ac:dyDescent="0.25">
      <c r="X346" s="101">
        <v>341</v>
      </c>
      <c r="Y346" s="120">
        <f t="shared" si="5"/>
        <v>63</v>
      </c>
    </row>
    <row r="347" spans="24:25" x14ac:dyDescent="0.25">
      <c r="X347" s="101">
        <v>342</v>
      </c>
      <c r="Y347" s="120">
        <f t="shared" si="5"/>
        <v>63</v>
      </c>
    </row>
    <row r="348" spans="24:25" x14ac:dyDescent="0.25">
      <c r="X348" s="101">
        <v>343</v>
      </c>
      <c r="Y348" s="120">
        <f t="shared" si="5"/>
        <v>63</v>
      </c>
    </row>
    <row r="349" spans="24:25" x14ac:dyDescent="0.25">
      <c r="X349" s="101">
        <v>344</v>
      </c>
      <c r="Y349" s="120">
        <f t="shared" si="5"/>
        <v>63</v>
      </c>
    </row>
    <row r="350" spans="24:25" x14ac:dyDescent="0.25">
      <c r="X350" s="101">
        <v>345</v>
      </c>
      <c r="Y350" s="120">
        <f t="shared" si="5"/>
        <v>63</v>
      </c>
    </row>
    <row r="351" spans="24:25" x14ac:dyDescent="0.25">
      <c r="X351" s="101">
        <v>346</v>
      </c>
      <c r="Y351" s="120">
        <f t="shared" si="5"/>
        <v>63</v>
      </c>
    </row>
    <row r="352" spans="24:25" x14ac:dyDescent="0.25">
      <c r="X352" s="101">
        <v>347</v>
      </c>
      <c r="Y352" s="120">
        <f t="shared" si="5"/>
        <v>63</v>
      </c>
    </row>
    <row r="353" spans="24:25" x14ac:dyDescent="0.25">
      <c r="X353" s="101">
        <v>348</v>
      </c>
      <c r="Y353" s="120">
        <f t="shared" si="5"/>
        <v>63</v>
      </c>
    </row>
    <row r="354" spans="24:25" x14ac:dyDescent="0.25">
      <c r="X354" s="101">
        <v>349</v>
      </c>
      <c r="Y354" s="120">
        <f t="shared" si="5"/>
        <v>63</v>
      </c>
    </row>
    <row r="355" spans="24:25" x14ac:dyDescent="0.25">
      <c r="X355" s="101">
        <v>350</v>
      </c>
      <c r="Y355" s="120">
        <f t="shared" si="5"/>
        <v>63</v>
      </c>
    </row>
    <row r="356" spans="24:25" x14ac:dyDescent="0.25">
      <c r="X356" s="101">
        <v>351</v>
      </c>
      <c r="Y356" s="120">
        <f t="shared" si="5"/>
        <v>63</v>
      </c>
    </row>
    <row r="357" spans="24:25" x14ac:dyDescent="0.25">
      <c r="X357" s="101">
        <v>352</v>
      </c>
      <c r="Y357" s="120">
        <f t="shared" si="5"/>
        <v>63</v>
      </c>
    </row>
    <row r="358" spans="24:25" x14ac:dyDescent="0.25">
      <c r="X358" s="101">
        <v>353</v>
      </c>
      <c r="Y358" s="120">
        <f t="shared" si="5"/>
        <v>63</v>
      </c>
    </row>
    <row r="359" spans="24:25" x14ac:dyDescent="0.25">
      <c r="X359" s="101">
        <v>354</v>
      </c>
      <c r="Y359" s="120">
        <f t="shared" si="5"/>
        <v>63</v>
      </c>
    </row>
    <row r="360" spans="24:25" x14ac:dyDescent="0.25">
      <c r="X360" s="101">
        <v>355</v>
      </c>
      <c r="Y360" s="120">
        <f t="shared" si="5"/>
        <v>63</v>
      </c>
    </row>
    <row r="361" spans="24:25" x14ac:dyDescent="0.25">
      <c r="X361" s="101">
        <v>356</v>
      </c>
      <c r="Y361" s="120">
        <f t="shared" si="5"/>
        <v>63</v>
      </c>
    </row>
    <row r="362" spans="24:25" x14ac:dyDescent="0.25">
      <c r="X362" s="101">
        <v>357</v>
      </c>
      <c r="Y362" s="120">
        <f t="shared" si="5"/>
        <v>63</v>
      </c>
    </row>
    <row r="363" spans="24:25" x14ac:dyDescent="0.25">
      <c r="X363" s="101">
        <v>358</v>
      </c>
      <c r="Y363" s="120">
        <f t="shared" si="5"/>
        <v>63</v>
      </c>
    </row>
    <row r="364" spans="24:25" x14ac:dyDescent="0.25">
      <c r="X364" s="101">
        <v>359</v>
      </c>
      <c r="Y364" s="120">
        <f t="shared" si="5"/>
        <v>63</v>
      </c>
    </row>
    <row r="365" spans="24:25" x14ac:dyDescent="0.25">
      <c r="X365" s="101">
        <v>360</v>
      </c>
      <c r="Y365" s="120">
        <f t="shared" si="5"/>
        <v>67</v>
      </c>
    </row>
    <row r="366" spans="24:25" x14ac:dyDescent="0.25">
      <c r="X366" s="101">
        <v>361</v>
      </c>
      <c r="Y366" s="120">
        <f t="shared" si="5"/>
        <v>67</v>
      </c>
    </row>
    <row r="367" spans="24:25" x14ac:dyDescent="0.25">
      <c r="X367" s="101">
        <v>362</v>
      </c>
      <c r="Y367" s="120">
        <f t="shared" si="5"/>
        <v>67</v>
      </c>
    </row>
    <row r="368" spans="24:25" x14ac:dyDescent="0.25">
      <c r="X368" s="101">
        <v>363</v>
      </c>
      <c r="Y368" s="120">
        <f t="shared" si="5"/>
        <v>67</v>
      </c>
    </row>
    <row r="369" spans="24:25" x14ac:dyDescent="0.25">
      <c r="X369" s="101">
        <v>364</v>
      </c>
      <c r="Y369" s="120">
        <f t="shared" si="5"/>
        <v>67</v>
      </c>
    </row>
    <row r="370" spans="24:25" x14ac:dyDescent="0.25">
      <c r="X370" s="101">
        <v>365</v>
      </c>
      <c r="Y370" s="120">
        <f t="shared" si="5"/>
        <v>67</v>
      </c>
    </row>
    <row r="371" spans="24:25" x14ac:dyDescent="0.25">
      <c r="X371" s="101">
        <v>366</v>
      </c>
      <c r="Y371" s="120">
        <f t="shared" si="5"/>
        <v>67</v>
      </c>
    </row>
    <row r="372" spans="24:25" x14ac:dyDescent="0.25">
      <c r="X372" s="101">
        <v>367</v>
      </c>
      <c r="Y372" s="120">
        <f t="shared" si="5"/>
        <v>67</v>
      </c>
    </row>
    <row r="373" spans="24:25" x14ac:dyDescent="0.25">
      <c r="X373" s="101">
        <v>368</v>
      </c>
      <c r="Y373" s="120">
        <f t="shared" si="5"/>
        <v>67</v>
      </c>
    </row>
    <row r="374" spans="24:25" x14ac:dyDescent="0.25">
      <c r="X374" s="101">
        <v>369</v>
      </c>
      <c r="Y374" s="120">
        <f t="shared" si="5"/>
        <v>67</v>
      </c>
    </row>
    <row r="375" spans="24:25" x14ac:dyDescent="0.25">
      <c r="X375" s="101">
        <v>370</v>
      </c>
      <c r="Y375" s="120">
        <f t="shared" si="5"/>
        <v>67</v>
      </c>
    </row>
    <row r="376" spans="24:25" x14ac:dyDescent="0.25">
      <c r="X376" s="101">
        <v>371</v>
      </c>
      <c r="Y376" s="120">
        <f t="shared" si="5"/>
        <v>67</v>
      </c>
    </row>
    <row r="377" spans="24:25" x14ac:dyDescent="0.25">
      <c r="X377" s="101">
        <v>372</v>
      </c>
      <c r="Y377" s="120">
        <f t="shared" si="5"/>
        <v>67</v>
      </c>
    </row>
    <row r="378" spans="24:25" x14ac:dyDescent="0.25">
      <c r="X378" s="101">
        <v>373</v>
      </c>
      <c r="Y378" s="120">
        <f t="shared" si="5"/>
        <v>67</v>
      </c>
    </row>
    <row r="379" spans="24:25" x14ac:dyDescent="0.25">
      <c r="X379" s="101">
        <v>374</v>
      </c>
      <c r="Y379" s="120">
        <f t="shared" si="5"/>
        <v>67</v>
      </c>
    </row>
    <row r="380" spans="24:25" x14ac:dyDescent="0.25">
      <c r="X380" s="101">
        <v>375</v>
      </c>
      <c r="Y380" s="120">
        <f t="shared" si="5"/>
        <v>67</v>
      </c>
    </row>
    <row r="381" spans="24:25" x14ac:dyDescent="0.25">
      <c r="X381" s="101">
        <v>376</v>
      </c>
      <c r="Y381" s="120">
        <f t="shared" si="5"/>
        <v>67</v>
      </c>
    </row>
    <row r="382" spans="24:25" x14ac:dyDescent="0.25">
      <c r="X382" s="101">
        <v>377</v>
      </c>
      <c r="Y382" s="120">
        <f t="shared" si="5"/>
        <v>67</v>
      </c>
    </row>
    <row r="383" spans="24:25" x14ac:dyDescent="0.25">
      <c r="X383" s="101">
        <v>378</v>
      </c>
      <c r="Y383" s="120">
        <f t="shared" si="5"/>
        <v>67</v>
      </c>
    </row>
    <row r="384" spans="24:25" x14ac:dyDescent="0.25">
      <c r="X384" s="101">
        <v>379</v>
      </c>
      <c r="Y384" s="120">
        <f t="shared" si="5"/>
        <v>67</v>
      </c>
    </row>
    <row r="385" spans="24:25" x14ac:dyDescent="0.25">
      <c r="X385" s="101">
        <v>380</v>
      </c>
      <c r="Y385" s="120">
        <f t="shared" si="5"/>
        <v>71</v>
      </c>
    </row>
    <row r="386" spans="24:25" x14ac:dyDescent="0.25">
      <c r="X386" s="101">
        <v>381</v>
      </c>
      <c r="Y386" s="120">
        <f t="shared" si="5"/>
        <v>71</v>
      </c>
    </row>
    <row r="387" spans="24:25" x14ac:dyDescent="0.25">
      <c r="X387" s="101">
        <v>382</v>
      </c>
      <c r="Y387" s="120">
        <f t="shared" si="5"/>
        <v>71</v>
      </c>
    </row>
    <row r="388" spans="24:25" x14ac:dyDescent="0.25">
      <c r="X388" s="101">
        <v>383</v>
      </c>
      <c r="Y388" s="120">
        <f t="shared" si="5"/>
        <v>71</v>
      </c>
    </row>
    <row r="389" spans="24:25" x14ac:dyDescent="0.25">
      <c r="X389" s="101">
        <v>384</v>
      </c>
      <c r="Y389" s="120">
        <f t="shared" si="5"/>
        <v>71</v>
      </c>
    </row>
    <row r="390" spans="24:25" x14ac:dyDescent="0.25">
      <c r="X390" s="101">
        <v>385</v>
      </c>
      <c r="Y390" s="120">
        <f t="shared" ref="Y390:Y453" si="6">INDEX(inhale_driver_table,INT(100*(X390/ticks_per_inhale))+1)</f>
        <v>71</v>
      </c>
    </row>
    <row r="391" spans="24:25" x14ac:dyDescent="0.25">
      <c r="X391" s="101">
        <v>386</v>
      </c>
      <c r="Y391" s="120">
        <f t="shared" si="6"/>
        <v>71</v>
      </c>
    </row>
    <row r="392" spans="24:25" x14ac:dyDescent="0.25">
      <c r="X392" s="101">
        <v>387</v>
      </c>
      <c r="Y392" s="120">
        <f t="shared" si="6"/>
        <v>71</v>
      </c>
    </row>
    <row r="393" spans="24:25" x14ac:dyDescent="0.25">
      <c r="X393" s="101">
        <v>388</v>
      </c>
      <c r="Y393" s="120">
        <f t="shared" si="6"/>
        <v>71</v>
      </c>
    </row>
    <row r="394" spans="24:25" x14ac:dyDescent="0.25">
      <c r="X394" s="101">
        <v>389</v>
      </c>
      <c r="Y394" s="120">
        <f t="shared" si="6"/>
        <v>71</v>
      </c>
    </row>
    <row r="395" spans="24:25" x14ac:dyDescent="0.25">
      <c r="X395" s="101">
        <v>390</v>
      </c>
      <c r="Y395" s="120">
        <f t="shared" si="6"/>
        <v>71</v>
      </c>
    </row>
    <row r="396" spans="24:25" x14ac:dyDescent="0.25">
      <c r="X396" s="101">
        <v>391</v>
      </c>
      <c r="Y396" s="120">
        <f t="shared" si="6"/>
        <v>71</v>
      </c>
    </row>
    <row r="397" spans="24:25" x14ac:dyDescent="0.25">
      <c r="X397" s="101">
        <v>392</v>
      </c>
      <c r="Y397" s="120">
        <f t="shared" si="6"/>
        <v>71</v>
      </c>
    </row>
    <row r="398" spans="24:25" x14ac:dyDescent="0.25">
      <c r="X398" s="101">
        <v>393</v>
      </c>
      <c r="Y398" s="120">
        <f t="shared" si="6"/>
        <v>71</v>
      </c>
    </row>
    <row r="399" spans="24:25" x14ac:dyDescent="0.25">
      <c r="X399" s="101">
        <v>394</v>
      </c>
      <c r="Y399" s="120">
        <f t="shared" si="6"/>
        <v>71</v>
      </c>
    </row>
    <row r="400" spans="24:25" x14ac:dyDescent="0.25">
      <c r="X400" s="101">
        <v>395</v>
      </c>
      <c r="Y400" s="120">
        <f t="shared" si="6"/>
        <v>71</v>
      </c>
    </row>
    <row r="401" spans="24:25" x14ac:dyDescent="0.25">
      <c r="X401" s="101">
        <v>396</v>
      </c>
      <c r="Y401" s="120">
        <f t="shared" si="6"/>
        <v>71</v>
      </c>
    </row>
    <row r="402" spans="24:25" x14ac:dyDescent="0.25">
      <c r="X402" s="101">
        <v>397</v>
      </c>
      <c r="Y402" s="120">
        <f t="shared" si="6"/>
        <v>71</v>
      </c>
    </row>
    <row r="403" spans="24:25" x14ac:dyDescent="0.25">
      <c r="X403" s="101">
        <v>398</v>
      </c>
      <c r="Y403" s="120">
        <f t="shared" si="6"/>
        <v>71</v>
      </c>
    </row>
    <row r="404" spans="24:25" x14ac:dyDescent="0.25">
      <c r="X404" s="101">
        <v>399</v>
      </c>
      <c r="Y404" s="120">
        <f t="shared" si="6"/>
        <v>71</v>
      </c>
    </row>
    <row r="405" spans="24:25" x14ac:dyDescent="0.25">
      <c r="X405" s="101">
        <v>400</v>
      </c>
      <c r="Y405" s="120">
        <f t="shared" si="6"/>
        <v>75</v>
      </c>
    </row>
    <row r="406" spans="24:25" x14ac:dyDescent="0.25">
      <c r="X406" s="101">
        <v>401</v>
      </c>
      <c r="Y406" s="120">
        <f t="shared" si="6"/>
        <v>75</v>
      </c>
    </row>
    <row r="407" spans="24:25" x14ac:dyDescent="0.25">
      <c r="X407" s="101">
        <v>402</v>
      </c>
      <c r="Y407" s="120">
        <f t="shared" si="6"/>
        <v>75</v>
      </c>
    </row>
    <row r="408" spans="24:25" x14ac:dyDescent="0.25">
      <c r="X408" s="101">
        <v>403</v>
      </c>
      <c r="Y408" s="120">
        <f t="shared" si="6"/>
        <v>75</v>
      </c>
    </row>
    <row r="409" spans="24:25" x14ac:dyDescent="0.25">
      <c r="X409" s="101">
        <v>404</v>
      </c>
      <c r="Y409" s="120">
        <f t="shared" si="6"/>
        <v>75</v>
      </c>
    </row>
    <row r="410" spans="24:25" x14ac:dyDescent="0.25">
      <c r="X410" s="101">
        <v>405</v>
      </c>
      <c r="Y410" s="120">
        <f t="shared" si="6"/>
        <v>75</v>
      </c>
    </row>
    <row r="411" spans="24:25" x14ac:dyDescent="0.25">
      <c r="X411" s="101">
        <v>406</v>
      </c>
      <c r="Y411" s="120">
        <f t="shared" si="6"/>
        <v>75</v>
      </c>
    </row>
    <row r="412" spans="24:25" x14ac:dyDescent="0.25">
      <c r="X412" s="101">
        <v>407</v>
      </c>
      <c r="Y412" s="120">
        <f t="shared" si="6"/>
        <v>75</v>
      </c>
    </row>
    <row r="413" spans="24:25" x14ac:dyDescent="0.25">
      <c r="X413" s="101">
        <v>408</v>
      </c>
      <c r="Y413" s="120">
        <f t="shared" si="6"/>
        <v>75</v>
      </c>
    </row>
    <row r="414" spans="24:25" x14ac:dyDescent="0.25">
      <c r="X414" s="101">
        <v>409</v>
      </c>
      <c r="Y414" s="120">
        <f t="shared" si="6"/>
        <v>75</v>
      </c>
    </row>
    <row r="415" spans="24:25" x14ac:dyDescent="0.25">
      <c r="X415" s="101">
        <v>410</v>
      </c>
      <c r="Y415" s="120">
        <f t="shared" si="6"/>
        <v>75</v>
      </c>
    </row>
    <row r="416" spans="24:25" x14ac:dyDescent="0.25">
      <c r="X416" s="101">
        <v>411</v>
      </c>
      <c r="Y416" s="120">
        <f t="shared" si="6"/>
        <v>75</v>
      </c>
    </row>
    <row r="417" spans="24:25" x14ac:dyDescent="0.25">
      <c r="X417" s="101">
        <v>412</v>
      </c>
      <c r="Y417" s="120">
        <f t="shared" si="6"/>
        <v>75</v>
      </c>
    </row>
    <row r="418" spans="24:25" x14ac:dyDescent="0.25">
      <c r="X418" s="101">
        <v>413</v>
      </c>
      <c r="Y418" s="120">
        <f t="shared" si="6"/>
        <v>75</v>
      </c>
    </row>
    <row r="419" spans="24:25" x14ac:dyDescent="0.25">
      <c r="X419" s="101">
        <v>414</v>
      </c>
      <c r="Y419" s="120">
        <f t="shared" si="6"/>
        <v>75</v>
      </c>
    </row>
    <row r="420" spans="24:25" x14ac:dyDescent="0.25">
      <c r="X420" s="101">
        <v>415</v>
      </c>
      <c r="Y420" s="120">
        <f t="shared" si="6"/>
        <v>75</v>
      </c>
    </row>
    <row r="421" spans="24:25" x14ac:dyDescent="0.25">
      <c r="X421" s="101">
        <v>416</v>
      </c>
      <c r="Y421" s="120">
        <f t="shared" si="6"/>
        <v>75</v>
      </c>
    </row>
    <row r="422" spans="24:25" x14ac:dyDescent="0.25">
      <c r="X422" s="101">
        <v>417</v>
      </c>
      <c r="Y422" s="120">
        <f t="shared" si="6"/>
        <v>75</v>
      </c>
    </row>
    <row r="423" spans="24:25" x14ac:dyDescent="0.25">
      <c r="X423" s="101">
        <v>418</v>
      </c>
      <c r="Y423" s="120">
        <f t="shared" si="6"/>
        <v>75</v>
      </c>
    </row>
    <row r="424" spans="24:25" x14ac:dyDescent="0.25">
      <c r="X424" s="101">
        <v>419</v>
      </c>
      <c r="Y424" s="120">
        <f t="shared" si="6"/>
        <v>75</v>
      </c>
    </row>
    <row r="425" spans="24:25" x14ac:dyDescent="0.25">
      <c r="X425" s="101">
        <v>420</v>
      </c>
      <c r="Y425" s="120">
        <f t="shared" si="6"/>
        <v>78</v>
      </c>
    </row>
    <row r="426" spans="24:25" x14ac:dyDescent="0.25">
      <c r="X426" s="101">
        <v>421</v>
      </c>
      <c r="Y426" s="120">
        <f t="shared" si="6"/>
        <v>78</v>
      </c>
    </row>
    <row r="427" spans="24:25" x14ac:dyDescent="0.25">
      <c r="X427" s="101">
        <v>422</v>
      </c>
      <c r="Y427" s="120">
        <f t="shared" si="6"/>
        <v>78</v>
      </c>
    </row>
    <row r="428" spans="24:25" x14ac:dyDescent="0.25">
      <c r="X428" s="101">
        <v>423</v>
      </c>
      <c r="Y428" s="120">
        <f t="shared" si="6"/>
        <v>78</v>
      </c>
    </row>
    <row r="429" spans="24:25" x14ac:dyDescent="0.25">
      <c r="X429" s="101">
        <v>424</v>
      </c>
      <c r="Y429" s="120">
        <f t="shared" si="6"/>
        <v>78</v>
      </c>
    </row>
    <row r="430" spans="24:25" x14ac:dyDescent="0.25">
      <c r="X430" s="101">
        <v>425</v>
      </c>
      <c r="Y430" s="120">
        <f t="shared" si="6"/>
        <v>78</v>
      </c>
    </row>
    <row r="431" spans="24:25" x14ac:dyDescent="0.25">
      <c r="X431" s="101">
        <v>426</v>
      </c>
      <c r="Y431" s="120">
        <f t="shared" si="6"/>
        <v>78</v>
      </c>
    </row>
    <row r="432" spans="24:25" x14ac:dyDescent="0.25">
      <c r="X432" s="101">
        <v>427</v>
      </c>
      <c r="Y432" s="120">
        <f t="shared" si="6"/>
        <v>78</v>
      </c>
    </row>
    <row r="433" spans="24:25" x14ac:dyDescent="0.25">
      <c r="X433" s="101">
        <v>428</v>
      </c>
      <c r="Y433" s="120">
        <f t="shared" si="6"/>
        <v>78</v>
      </c>
    </row>
    <row r="434" spans="24:25" x14ac:dyDescent="0.25">
      <c r="X434" s="101">
        <v>429</v>
      </c>
      <c r="Y434" s="120">
        <f t="shared" si="6"/>
        <v>78</v>
      </c>
    </row>
    <row r="435" spans="24:25" x14ac:dyDescent="0.25">
      <c r="X435" s="101">
        <v>430</v>
      </c>
      <c r="Y435" s="120">
        <f t="shared" si="6"/>
        <v>78</v>
      </c>
    </row>
    <row r="436" spans="24:25" x14ac:dyDescent="0.25">
      <c r="X436" s="101">
        <v>431</v>
      </c>
      <c r="Y436" s="120">
        <f t="shared" si="6"/>
        <v>78</v>
      </c>
    </row>
    <row r="437" spans="24:25" x14ac:dyDescent="0.25">
      <c r="X437" s="101">
        <v>432</v>
      </c>
      <c r="Y437" s="120">
        <f t="shared" si="6"/>
        <v>78</v>
      </c>
    </row>
    <row r="438" spans="24:25" x14ac:dyDescent="0.25">
      <c r="X438" s="101">
        <v>433</v>
      </c>
      <c r="Y438" s="120">
        <f t="shared" si="6"/>
        <v>78</v>
      </c>
    </row>
    <row r="439" spans="24:25" x14ac:dyDescent="0.25">
      <c r="X439" s="101">
        <v>434</v>
      </c>
      <c r="Y439" s="120">
        <f t="shared" si="6"/>
        <v>78</v>
      </c>
    </row>
    <row r="440" spans="24:25" x14ac:dyDescent="0.25">
      <c r="X440" s="101">
        <v>435</v>
      </c>
      <c r="Y440" s="120">
        <f t="shared" si="6"/>
        <v>78</v>
      </c>
    </row>
    <row r="441" spans="24:25" x14ac:dyDescent="0.25">
      <c r="X441" s="101">
        <v>436</v>
      </c>
      <c r="Y441" s="120">
        <f t="shared" si="6"/>
        <v>78</v>
      </c>
    </row>
    <row r="442" spans="24:25" x14ac:dyDescent="0.25">
      <c r="X442" s="101">
        <v>437</v>
      </c>
      <c r="Y442" s="120">
        <f t="shared" si="6"/>
        <v>78</v>
      </c>
    </row>
    <row r="443" spans="24:25" x14ac:dyDescent="0.25">
      <c r="X443" s="101">
        <v>438</v>
      </c>
      <c r="Y443" s="120">
        <f t="shared" si="6"/>
        <v>78</v>
      </c>
    </row>
    <row r="444" spans="24:25" x14ac:dyDescent="0.25">
      <c r="X444" s="101">
        <v>439</v>
      </c>
      <c r="Y444" s="120">
        <f t="shared" si="6"/>
        <v>78</v>
      </c>
    </row>
    <row r="445" spans="24:25" x14ac:dyDescent="0.25">
      <c r="X445" s="101">
        <v>440</v>
      </c>
      <c r="Y445" s="120">
        <f t="shared" si="6"/>
        <v>82</v>
      </c>
    </row>
    <row r="446" spans="24:25" x14ac:dyDescent="0.25">
      <c r="X446" s="101">
        <v>441</v>
      </c>
      <c r="Y446" s="120">
        <f t="shared" si="6"/>
        <v>82</v>
      </c>
    </row>
    <row r="447" spans="24:25" x14ac:dyDescent="0.25">
      <c r="X447" s="101">
        <v>442</v>
      </c>
      <c r="Y447" s="120">
        <f t="shared" si="6"/>
        <v>82</v>
      </c>
    </row>
    <row r="448" spans="24:25" x14ac:dyDescent="0.25">
      <c r="X448" s="101">
        <v>443</v>
      </c>
      <c r="Y448" s="120">
        <f t="shared" si="6"/>
        <v>82</v>
      </c>
    </row>
    <row r="449" spans="24:25" x14ac:dyDescent="0.25">
      <c r="X449" s="101">
        <v>444</v>
      </c>
      <c r="Y449" s="120">
        <f t="shared" si="6"/>
        <v>82</v>
      </c>
    </row>
    <row r="450" spans="24:25" x14ac:dyDescent="0.25">
      <c r="X450" s="101">
        <v>445</v>
      </c>
      <c r="Y450" s="120">
        <f t="shared" si="6"/>
        <v>82</v>
      </c>
    </row>
    <row r="451" spans="24:25" x14ac:dyDescent="0.25">
      <c r="X451" s="101">
        <v>446</v>
      </c>
      <c r="Y451" s="120">
        <f t="shared" si="6"/>
        <v>82</v>
      </c>
    </row>
    <row r="452" spans="24:25" x14ac:dyDescent="0.25">
      <c r="X452" s="101">
        <v>447</v>
      </c>
      <c r="Y452" s="120">
        <f t="shared" si="6"/>
        <v>82</v>
      </c>
    </row>
    <row r="453" spans="24:25" x14ac:dyDescent="0.25">
      <c r="X453" s="101">
        <v>448</v>
      </c>
      <c r="Y453" s="120">
        <f t="shared" si="6"/>
        <v>82</v>
      </c>
    </row>
    <row r="454" spans="24:25" x14ac:dyDescent="0.25">
      <c r="X454" s="101">
        <v>449</v>
      </c>
      <c r="Y454" s="120">
        <f t="shared" ref="Y454:Y517" si="7">INDEX(inhale_driver_table,INT(100*(X454/ticks_per_inhale))+1)</f>
        <v>82</v>
      </c>
    </row>
    <row r="455" spans="24:25" x14ac:dyDescent="0.25">
      <c r="X455" s="101">
        <v>450</v>
      </c>
      <c r="Y455" s="120">
        <f t="shared" si="7"/>
        <v>82</v>
      </c>
    </row>
    <row r="456" spans="24:25" x14ac:dyDescent="0.25">
      <c r="X456" s="101">
        <v>451</v>
      </c>
      <c r="Y456" s="120">
        <f t="shared" si="7"/>
        <v>82</v>
      </c>
    </row>
    <row r="457" spans="24:25" x14ac:dyDescent="0.25">
      <c r="X457" s="101">
        <v>452</v>
      </c>
      <c r="Y457" s="120">
        <f t="shared" si="7"/>
        <v>82</v>
      </c>
    </row>
    <row r="458" spans="24:25" x14ac:dyDescent="0.25">
      <c r="X458" s="101">
        <v>453</v>
      </c>
      <c r="Y458" s="120">
        <f t="shared" si="7"/>
        <v>82</v>
      </c>
    </row>
    <row r="459" spans="24:25" x14ac:dyDescent="0.25">
      <c r="X459" s="101">
        <v>454</v>
      </c>
      <c r="Y459" s="120">
        <f t="shared" si="7"/>
        <v>82</v>
      </c>
    </row>
    <row r="460" spans="24:25" x14ac:dyDescent="0.25">
      <c r="X460" s="101">
        <v>455</v>
      </c>
      <c r="Y460" s="120">
        <f t="shared" si="7"/>
        <v>82</v>
      </c>
    </row>
    <row r="461" spans="24:25" x14ac:dyDescent="0.25">
      <c r="X461" s="101">
        <v>456</v>
      </c>
      <c r="Y461" s="120">
        <f t="shared" si="7"/>
        <v>82</v>
      </c>
    </row>
    <row r="462" spans="24:25" x14ac:dyDescent="0.25">
      <c r="X462" s="101">
        <v>457</v>
      </c>
      <c r="Y462" s="120">
        <f t="shared" si="7"/>
        <v>82</v>
      </c>
    </row>
    <row r="463" spans="24:25" x14ac:dyDescent="0.25">
      <c r="X463" s="101">
        <v>458</v>
      </c>
      <c r="Y463" s="120">
        <f t="shared" si="7"/>
        <v>82</v>
      </c>
    </row>
    <row r="464" spans="24:25" x14ac:dyDescent="0.25">
      <c r="X464" s="101">
        <v>459</v>
      </c>
      <c r="Y464" s="120">
        <f t="shared" si="7"/>
        <v>82</v>
      </c>
    </row>
    <row r="465" spans="24:25" x14ac:dyDescent="0.25">
      <c r="X465" s="101">
        <v>460</v>
      </c>
      <c r="Y465" s="120">
        <f t="shared" si="7"/>
        <v>86</v>
      </c>
    </row>
    <row r="466" spans="24:25" x14ac:dyDescent="0.25">
      <c r="X466" s="101">
        <v>461</v>
      </c>
      <c r="Y466" s="120">
        <f t="shared" si="7"/>
        <v>86</v>
      </c>
    </row>
    <row r="467" spans="24:25" x14ac:dyDescent="0.25">
      <c r="X467" s="101">
        <v>462</v>
      </c>
      <c r="Y467" s="120">
        <f t="shared" si="7"/>
        <v>86</v>
      </c>
    </row>
    <row r="468" spans="24:25" x14ac:dyDescent="0.25">
      <c r="X468" s="101">
        <v>463</v>
      </c>
      <c r="Y468" s="120">
        <f t="shared" si="7"/>
        <v>86</v>
      </c>
    </row>
    <row r="469" spans="24:25" x14ac:dyDescent="0.25">
      <c r="X469" s="101">
        <v>464</v>
      </c>
      <c r="Y469" s="120">
        <f t="shared" si="7"/>
        <v>86</v>
      </c>
    </row>
    <row r="470" spans="24:25" x14ac:dyDescent="0.25">
      <c r="X470" s="101">
        <v>465</v>
      </c>
      <c r="Y470" s="120">
        <f t="shared" si="7"/>
        <v>86</v>
      </c>
    </row>
    <row r="471" spans="24:25" x14ac:dyDescent="0.25">
      <c r="X471" s="101">
        <v>466</v>
      </c>
      <c r="Y471" s="120">
        <f t="shared" si="7"/>
        <v>86</v>
      </c>
    </row>
    <row r="472" spans="24:25" x14ac:dyDescent="0.25">
      <c r="X472" s="101">
        <v>467</v>
      </c>
      <c r="Y472" s="120">
        <f t="shared" si="7"/>
        <v>86</v>
      </c>
    </row>
    <row r="473" spans="24:25" x14ac:dyDescent="0.25">
      <c r="X473" s="101">
        <v>468</v>
      </c>
      <c r="Y473" s="120">
        <f t="shared" si="7"/>
        <v>86</v>
      </c>
    </row>
    <row r="474" spans="24:25" x14ac:dyDescent="0.25">
      <c r="X474" s="101">
        <v>469</v>
      </c>
      <c r="Y474" s="120">
        <f t="shared" si="7"/>
        <v>86</v>
      </c>
    </row>
    <row r="475" spans="24:25" x14ac:dyDescent="0.25">
      <c r="X475" s="101">
        <v>470</v>
      </c>
      <c r="Y475" s="120">
        <f t="shared" si="7"/>
        <v>86</v>
      </c>
    </row>
    <row r="476" spans="24:25" x14ac:dyDescent="0.25">
      <c r="X476" s="101">
        <v>471</v>
      </c>
      <c r="Y476" s="120">
        <f t="shared" si="7"/>
        <v>86</v>
      </c>
    </row>
    <row r="477" spans="24:25" x14ac:dyDescent="0.25">
      <c r="X477" s="101">
        <v>472</v>
      </c>
      <c r="Y477" s="120">
        <f t="shared" si="7"/>
        <v>86</v>
      </c>
    </row>
    <row r="478" spans="24:25" x14ac:dyDescent="0.25">
      <c r="X478" s="101">
        <v>473</v>
      </c>
      <c r="Y478" s="120">
        <f t="shared" si="7"/>
        <v>86</v>
      </c>
    </row>
    <row r="479" spans="24:25" x14ac:dyDescent="0.25">
      <c r="X479" s="101">
        <v>474</v>
      </c>
      <c r="Y479" s="120">
        <f t="shared" si="7"/>
        <v>86</v>
      </c>
    </row>
    <row r="480" spans="24:25" x14ac:dyDescent="0.25">
      <c r="X480" s="101">
        <v>475</v>
      </c>
      <c r="Y480" s="120">
        <f t="shared" si="7"/>
        <v>86</v>
      </c>
    </row>
    <row r="481" spans="24:25" x14ac:dyDescent="0.25">
      <c r="X481" s="101">
        <v>476</v>
      </c>
      <c r="Y481" s="120">
        <f t="shared" si="7"/>
        <v>86</v>
      </c>
    </row>
    <row r="482" spans="24:25" x14ac:dyDescent="0.25">
      <c r="X482" s="101">
        <v>477</v>
      </c>
      <c r="Y482" s="120">
        <f t="shared" si="7"/>
        <v>86</v>
      </c>
    </row>
    <row r="483" spans="24:25" x14ac:dyDescent="0.25">
      <c r="X483" s="101">
        <v>478</v>
      </c>
      <c r="Y483" s="120">
        <f t="shared" si="7"/>
        <v>86</v>
      </c>
    </row>
    <row r="484" spans="24:25" x14ac:dyDescent="0.25">
      <c r="X484" s="101">
        <v>479</v>
      </c>
      <c r="Y484" s="120">
        <f t="shared" si="7"/>
        <v>86</v>
      </c>
    </row>
    <row r="485" spans="24:25" x14ac:dyDescent="0.25">
      <c r="X485" s="101">
        <v>480</v>
      </c>
      <c r="Y485" s="120">
        <f t="shared" si="7"/>
        <v>90</v>
      </c>
    </row>
    <row r="486" spans="24:25" x14ac:dyDescent="0.25">
      <c r="X486" s="101">
        <v>481</v>
      </c>
      <c r="Y486" s="120">
        <f t="shared" si="7"/>
        <v>90</v>
      </c>
    </row>
    <row r="487" spans="24:25" x14ac:dyDescent="0.25">
      <c r="X487" s="101">
        <v>482</v>
      </c>
      <c r="Y487" s="120">
        <f t="shared" si="7"/>
        <v>90</v>
      </c>
    </row>
    <row r="488" spans="24:25" x14ac:dyDescent="0.25">
      <c r="X488" s="101">
        <v>483</v>
      </c>
      <c r="Y488" s="120">
        <f t="shared" si="7"/>
        <v>90</v>
      </c>
    </row>
    <row r="489" spans="24:25" x14ac:dyDescent="0.25">
      <c r="X489" s="101">
        <v>484</v>
      </c>
      <c r="Y489" s="120">
        <f t="shared" si="7"/>
        <v>90</v>
      </c>
    </row>
    <row r="490" spans="24:25" x14ac:dyDescent="0.25">
      <c r="X490" s="101">
        <v>485</v>
      </c>
      <c r="Y490" s="120">
        <f t="shared" si="7"/>
        <v>90</v>
      </c>
    </row>
    <row r="491" spans="24:25" x14ac:dyDescent="0.25">
      <c r="X491" s="101">
        <v>486</v>
      </c>
      <c r="Y491" s="120">
        <f t="shared" si="7"/>
        <v>90</v>
      </c>
    </row>
    <row r="492" spans="24:25" x14ac:dyDescent="0.25">
      <c r="X492" s="101">
        <v>487</v>
      </c>
      <c r="Y492" s="120">
        <f t="shared" si="7"/>
        <v>90</v>
      </c>
    </row>
    <row r="493" spans="24:25" x14ac:dyDescent="0.25">
      <c r="X493" s="101">
        <v>488</v>
      </c>
      <c r="Y493" s="120">
        <f t="shared" si="7"/>
        <v>90</v>
      </c>
    </row>
    <row r="494" spans="24:25" x14ac:dyDescent="0.25">
      <c r="X494" s="101">
        <v>489</v>
      </c>
      <c r="Y494" s="120">
        <f t="shared" si="7"/>
        <v>90</v>
      </c>
    </row>
    <row r="495" spans="24:25" x14ac:dyDescent="0.25">
      <c r="X495" s="101">
        <v>490</v>
      </c>
      <c r="Y495" s="120">
        <f t="shared" si="7"/>
        <v>90</v>
      </c>
    </row>
    <row r="496" spans="24:25" x14ac:dyDescent="0.25">
      <c r="X496" s="101">
        <v>491</v>
      </c>
      <c r="Y496" s="120">
        <f t="shared" si="7"/>
        <v>90</v>
      </c>
    </row>
    <row r="497" spans="24:25" x14ac:dyDescent="0.25">
      <c r="X497" s="101">
        <v>492</v>
      </c>
      <c r="Y497" s="120">
        <f t="shared" si="7"/>
        <v>90</v>
      </c>
    </row>
    <row r="498" spans="24:25" x14ac:dyDescent="0.25">
      <c r="X498" s="101">
        <v>493</v>
      </c>
      <c r="Y498" s="120">
        <f t="shared" si="7"/>
        <v>90</v>
      </c>
    </row>
    <row r="499" spans="24:25" x14ac:dyDescent="0.25">
      <c r="X499" s="101">
        <v>494</v>
      </c>
      <c r="Y499" s="120">
        <f t="shared" si="7"/>
        <v>90</v>
      </c>
    </row>
    <row r="500" spans="24:25" x14ac:dyDescent="0.25">
      <c r="X500" s="101">
        <v>495</v>
      </c>
      <c r="Y500" s="120">
        <f t="shared" si="7"/>
        <v>90</v>
      </c>
    </row>
    <row r="501" spans="24:25" x14ac:dyDescent="0.25">
      <c r="X501" s="101">
        <v>496</v>
      </c>
      <c r="Y501" s="120">
        <f t="shared" si="7"/>
        <v>90</v>
      </c>
    </row>
    <row r="502" spans="24:25" x14ac:dyDescent="0.25">
      <c r="X502" s="101">
        <v>497</v>
      </c>
      <c r="Y502" s="120">
        <f t="shared" si="7"/>
        <v>90</v>
      </c>
    </row>
    <row r="503" spans="24:25" x14ac:dyDescent="0.25">
      <c r="X503" s="101">
        <v>498</v>
      </c>
      <c r="Y503" s="120">
        <f t="shared" si="7"/>
        <v>90</v>
      </c>
    </row>
    <row r="504" spans="24:25" x14ac:dyDescent="0.25">
      <c r="X504" s="101">
        <v>499</v>
      </c>
      <c r="Y504" s="120">
        <f t="shared" si="7"/>
        <v>90</v>
      </c>
    </row>
    <row r="505" spans="24:25" x14ac:dyDescent="0.25">
      <c r="X505" s="101">
        <v>500</v>
      </c>
      <c r="Y505" s="120">
        <f t="shared" si="7"/>
        <v>93</v>
      </c>
    </row>
    <row r="506" spans="24:25" x14ac:dyDescent="0.25">
      <c r="X506" s="101">
        <v>501</v>
      </c>
      <c r="Y506" s="120">
        <f t="shared" si="7"/>
        <v>93</v>
      </c>
    </row>
    <row r="507" spans="24:25" x14ac:dyDescent="0.25">
      <c r="X507" s="101">
        <v>502</v>
      </c>
      <c r="Y507" s="120">
        <f t="shared" si="7"/>
        <v>93</v>
      </c>
    </row>
    <row r="508" spans="24:25" x14ac:dyDescent="0.25">
      <c r="X508" s="101">
        <v>503</v>
      </c>
      <c r="Y508" s="120">
        <f t="shared" si="7"/>
        <v>93</v>
      </c>
    </row>
    <row r="509" spans="24:25" x14ac:dyDescent="0.25">
      <c r="X509" s="101">
        <v>504</v>
      </c>
      <c r="Y509" s="120">
        <f t="shared" si="7"/>
        <v>93</v>
      </c>
    </row>
    <row r="510" spans="24:25" x14ac:dyDescent="0.25">
      <c r="X510" s="101">
        <v>505</v>
      </c>
      <c r="Y510" s="120">
        <f t="shared" si="7"/>
        <v>93</v>
      </c>
    </row>
    <row r="511" spans="24:25" x14ac:dyDescent="0.25">
      <c r="X511" s="101">
        <v>506</v>
      </c>
      <c r="Y511" s="120">
        <f t="shared" si="7"/>
        <v>93</v>
      </c>
    </row>
    <row r="512" spans="24:25" x14ac:dyDescent="0.25">
      <c r="X512" s="101">
        <v>507</v>
      </c>
      <c r="Y512" s="120">
        <f t="shared" si="7"/>
        <v>93</v>
      </c>
    </row>
    <row r="513" spans="24:25" x14ac:dyDescent="0.25">
      <c r="X513" s="101">
        <v>508</v>
      </c>
      <c r="Y513" s="120">
        <f t="shared" si="7"/>
        <v>93</v>
      </c>
    </row>
    <row r="514" spans="24:25" x14ac:dyDescent="0.25">
      <c r="X514" s="101">
        <v>509</v>
      </c>
      <c r="Y514" s="120">
        <f t="shared" si="7"/>
        <v>93</v>
      </c>
    </row>
    <row r="515" spans="24:25" x14ac:dyDescent="0.25">
      <c r="X515" s="101">
        <v>510</v>
      </c>
      <c r="Y515" s="120">
        <f t="shared" si="7"/>
        <v>93</v>
      </c>
    </row>
    <row r="516" spans="24:25" x14ac:dyDescent="0.25">
      <c r="X516" s="101">
        <v>511</v>
      </c>
      <c r="Y516" s="120">
        <f t="shared" si="7"/>
        <v>93</v>
      </c>
    </row>
    <row r="517" spans="24:25" x14ac:dyDescent="0.25">
      <c r="X517" s="101">
        <v>512</v>
      </c>
      <c r="Y517" s="120">
        <f t="shared" si="7"/>
        <v>93</v>
      </c>
    </row>
    <row r="518" spans="24:25" x14ac:dyDescent="0.25">
      <c r="X518" s="101">
        <v>513</v>
      </c>
      <c r="Y518" s="120">
        <f t="shared" ref="Y518:Y581" si="8">INDEX(inhale_driver_table,INT(100*(X518/ticks_per_inhale))+1)</f>
        <v>93</v>
      </c>
    </row>
    <row r="519" spans="24:25" x14ac:dyDescent="0.25">
      <c r="X519" s="101">
        <v>514</v>
      </c>
      <c r="Y519" s="120">
        <f t="shared" si="8"/>
        <v>93</v>
      </c>
    </row>
    <row r="520" spans="24:25" x14ac:dyDescent="0.25">
      <c r="X520" s="101">
        <v>515</v>
      </c>
      <c r="Y520" s="120">
        <f t="shared" si="8"/>
        <v>93</v>
      </c>
    </row>
    <row r="521" spans="24:25" x14ac:dyDescent="0.25">
      <c r="X521" s="101">
        <v>516</v>
      </c>
      <c r="Y521" s="120">
        <f t="shared" si="8"/>
        <v>93</v>
      </c>
    </row>
    <row r="522" spans="24:25" x14ac:dyDescent="0.25">
      <c r="X522" s="101">
        <v>517</v>
      </c>
      <c r="Y522" s="120">
        <f t="shared" si="8"/>
        <v>93</v>
      </c>
    </row>
    <row r="523" spans="24:25" x14ac:dyDescent="0.25">
      <c r="X523" s="101">
        <v>518</v>
      </c>
      <c r="Y523" s="120">
        <f t="shared" si="8"/>
        <v>93</v>
      </c>
    </row>
    <row r="524" spans="24:25" x14ac:dyDescent="0.25">
      <c r="X524" s="101">
        <v>519</v>
      </c>
      <c r="Y524" s="120">
        <f t="shared" si="8"/>
        <v>93</v>
      </c>
    </row>
    <row r="525" spans="24:25" x14ac:dyDescent="0.25">
      <c r="X525" s="101">
        <v>520</v>
      </c>
      <c r="Y525" s="120">
        <f t="shared" si="8"/>
        <v>97</v>
      </c>
    </row>
    <row r="526" spans="24:25" x14ac:dyDescent="0.25">
      <c r="X526" s="101">
        <v>521</v>
      </c>
      <c r="Y526" s="120">
        <f t="shared" si="8"/>
        <v>97</v>
      </c>
    </row>
    <row r="527" spans="24:25" x14ac:dyDescent="0.25">
      <c r="X527" s="101">
        <v>522</v>
      </c>
      <c r="Y527" s="120">
        <f t="shared" si="8"/>
        <v>97</v>
      </c>
    </row>
    <row r="528" spans="24:25" x14ac:dyDescent="0.25">
      <c r="X528" s="101">
        <v>523</v>
      </c>
      <c r="Y528" s="120">
        <f t="shared" si="8"/>
        <v>97</v>
      </c>
    </row>
    <row r="529" spans="24:25" x14ac:dyDescent="0.25">
      <c r="X529" s="101">
        <v>524</v>
      </c>
      <c r="Y529" s="120">
        <f t="shared" si="8"/>
        <v>97</v>
      </c>
    </row>
    <row r="530" spans="24:25" x14ac:dyDescent="0.25">
      <c r="X530" s="101">
        <v>525</v>
      </c>
      <c r="Y530" s="120">
        <f t="shared" si="8"/>
        <v>97</v>
      </c>
    </row>
    <row r="531" spans="24:25" x14ac:dyDescent="0.25">
      <c r="X531" s="101">
        <v>526</v>
      </c>
      <c r="Y531" s="120">
        <f t="shared" si="8"/>
        <v>97</v>
      </c>
    </row>
    <row r="532" spans="24:25" x14ac:dyDescent="0.25">
      <c r="X532" s="101">
        <v>527</v>
      </c>
      <c r="Y532" s="120">
        <f t="shared" si="8"/>
        <v>97</v>
      </c>
    </row>
    <row r="533" spans="24:25" x14ac:dyDescent="0.25">
      <c r="X533" s="101">
        <v>528</v>
      </c>
      <c r="Y533" s="120">
        <f t="shared" si="8"/>
        <v>97</v>
      </c>
    </row>
    <row r="534" spans="24:25" x14ac:dyDescent="0.25">
      <c r="X534" s="101">
        <v>529</v>
      </c>
      <c r="Y534" s="120">
        <f t="shared" si="8"/>
        <v>97</v>
      </c>
    </row>
    <row r="535" spans="24:25" x14ac:dyDescent="0.25">
      <c r="X535" s="101">
        <v>530</v>
      </c>
      <c r="Y535" s="120">
        <f t="shared" si="8"/>
        <v>97</v>
      </c>
    </row>
    <row r="536" spans="24:25" x14ac:dyDescent="0.25">
      <c r="X536" s="101">
        <v>531</v>
      </c>
      <c r="Y536" s="120">
        <f t="shared" si="8"/>
        <v>97</v>
      </c>
    </row>
    <row r="537" spans="24:25" x14ac:dyDescent="0.25">
      <c r="X537" s="101">
        <v>532</v>
      </c>
      <c r="Y537" s="120">
        <f t="shared" si="8"/>
        <v>97</v>
      </c>
    </row>
    <row r="538" spans="24:25" x14ac:dyDescent="0.25">
      <c r="X538" s="101">
        <v>533</v>
      </c>
      <c r="Y538" s="120">
        <f t="shared" si="8"/>
        <v>97</v>
      </c>
    </row>
    <row r="539" spans="24:25" x14ac:dyDescent="0.25">
      <c r="X539" s="101">
        <v>534</v>
      </c>
      <c r="Y539" s="120">
        <f t="shared" si="8"/>
        <v>97</v>
      </c>
    </row>
    <row r="540" spans="24:25" x14ac:dyDescent="0.25">
      <c r="X540" s="101">
        <v>535</v>
      </c>
      <c r="Y540" s="120">
        <f t="shared" si="8"/>
        <v>97</v>
      </c>
    </row>
    <row r="541" spans="24:25" x14ac:dyDescent="0.25">
      <c r="X541" s="101">
        <v>536</v>
      </c>
      <c r="Y541" s="120">
        <f t="shared" si="8"/>
        <v>97</v>
      </c>
    </row>
    <row r="542" spans="24:25" x14ac:dyDescent="0.25">
      <c r="X542" s="101">
        <v>537</v>
      </c>
      <c r="Y542" s="120">
        <f t="shared" si="8"/>
        <v>97</v>
      </c>
    </row>
    <row r="543" spans="24:25" x14ac:dyDescent="0.25">
      <c r="X543" s="101">
        <v>538</v>
      </c>
      <c r="Y543" s="120">
        <f t="shared" si="8"/>
        <v>97</v>
      </c>
    </row>
    <row r="544" spans="24:25" x14ac:dyDescent="0.25">
      <c r="X544" s="101">
        <v>539</v>
      </c>
      <c r="Y544" s="120">
        <f t="shared" si="8"/>
        <v>97</v>
      </c>
    </row>
    <row r="545" spans="24:25" x14ac:dyDescent="0.25">
      <c r="X545" s="101">
        <v>540</v>
      </c>
      <c r="Y545" s="120">
        <f t="shared" si="8"/>
        <v>101</v>
      </c>
    </row>
    <row r="546" spans="24:25" x14ac:dyDescent="0.25">
      <c r="X546" s="101">
        <v>541</v>
      </c>
      <c r="Y546" s="120">
        <f t="shared" si="8"/>
        <v>101</v>
      </c>
    </row>
    <row r="547" spans="24:25" x14ac:dyDescent="0.25">
      <c r="X547" s="101">
        <v>542</v>
      </c>
      <c r="Y547" s="120">
        <f t="shared" si="8"/>
        <v>101</v>
      </c>
    </row>
    <row r="548" spans="24:25" x14ac:dyDescent="0.25">
      <c r="X548" s="101">
        <v>543</v>
      </c>
      <c r="Y548" s="120">
        <f t="shared" si="8"/>
        <v>101</v>
      </c>
    </row>
    <row r="549" spans="24:25" x14ac:dyDescent="0.25">
      <c r="X549" s="101">
        <v>544</v>
      </c>
      <c r="Y549" s="120">
        <f t="shared" si="8"/>
        <v>101</v>
      </c>
    </row>
    <row r="550" spans="24:25" x14ac:dyDescent="0.25">
      <c r="X550" s="101">
        <v>545</v>
      </c>
      <c r="Y550" s="120">
        <f t="shared" si="8"/>
        <v>101</v>
      </c>
    </row>
    <row r="551" spans="24:25" x14ac:dyDescent="0.25">
      <c r="X551" s="101">
        <v>546</v>
      </c>
      <c r="Y551" s="120">
        <f t="shared" si="8"/>
        <v>101</v>
      </c>
    </row>
    <row r="552" spans="24:25" x14ac:dyDescent="0.25">
      <c r="X552" s="101">
        <v>547</v>
      </c>
      <c r="Y552" s="120">
        <f t="shared" si="8"/>
        <v>101</v>
      </c>
    </row>
    <row r="553" spans="24:25" x14ac:dyDescent="0.25">
      <c r="X553" s="101">
        <v>548</v>
      </c>
      <c r="Y553" s="120">
        <f t="shared" si="8"/>
        <v>101</v>
      </c>
    </row>
    <row r="554" spans="24:25" x14ac:dyDescent="0.25">
      <c r="X554" s="101">
        <v>549</v>
      </c>
      <c r="Y554" s="120">
        <f t="shared" si="8"/>
        <v>101</v>
      </c>
    </row>
    <row r="555" spans="24:25" x14ac:dyDescent="0.25">
      <c r="X555" s="101">
        <v>550</v>
      </c>
      <c r="Y555" s="120">
        <f t="shared" si="8"/>
        <v>101</v>
      </c>
    </row>
    <row r="556" spans="24:25" x14ac:dyDescent="0.25">
      <c r="X556" s="101">
        <v>551</v>
      </c>
      <c r="Y556" s="120">
        <f t="shared" si="8"/>
        <v>101</v>
      </c>
    </row>
    <row r="557" spans="24:25" x14ac:dyDescent="0.25">
      <c r="X557" s="101">
        <v>552</v>
      </c>
      <c r="Y557" s="120">
        <f t="shared" si="8"/>
        <v>101</v>
      </c>
    </row>
    <row r="558" spans="24:25" x14ac:dyDescent="0.25">
      <c r="X558" s="101">
        <v>553</v>
      </c>
      <c r="Y558" s="120">
        <f t="shared" si="8"/>
        <v>101</v>
      </c>
    </row>
    <row r="559" spans="24:25" x14ac:dyDescent="0.25">
      <c r="X559" s="101">
        <v>554</v>
      </c>
      <c r="Y559" s="120">
        <f t="shared" si="8"/>
        <v>101</v>
      </c>
    </row>
    <row r="560" spans="24:25" x14ac:dyDescent="0.25">
      <c r="X560" s="101">
        <v>555</v>
      </c>
      <c r="Y560" s="120">
        <f t="shared" si="8"/>
        <v>101</v>
      </c>
    </row>
    <row r="561" spans="24:25" x14ac:dyDescent="0.25">
      <c r="X561" s="101">
        <v>556</v>
      </c>
      <c r="Y561" s="120">
        <f t="shared" si="8"/>
        <v>101</v>
      </c>
    </row>
    <row r="562" spans="24:25" x14ac:dyDescent="0.25">
      <c r="X562" s="101">
        <v>557</v>
      </c>
      <c r="Y562" s="120">
        <f t="shared" si="8"/>
        <v>101</v>
      </c>
    </row>
    <row r="563" spans="24:25" x14ac:dyDescent="0.25">
      <c r="X563" s="101">
        <v>558</v>
      </c>
      <c r="Y563" s="120">
        <f t="shared" si="8"/>
        <v>101</v>
      </c>
    </row>
    <row r="564" spans="24:25" x14ac:dyDescent="0.25">
      <c r="X564" s="101">
        <v>559</v>
      </c>
      <c r="Y564" s="120">
        <f t="shared" si="8"/>
        <v>101</v>
      </c>
    </row>
    <row r="565" spans="24:25" x14ac:dyDescent="0.25">
      <c r="X565" s="101">
        <v>560</v>
      </c>
      <c r="Y565" s="120">
        <f t="shared" si="8"/>
        <v>105</v>
      </c>
    </row>
    <row r="566" spans="24:25" x14ac:dyDescent="0.25">
      <c r="X566" s="101">
        <v>561</v>
      </c>
      <c r="Y566" s="120">
        <f t="shared" si="8"/>
        <v>105</v>
      </c>
    </row>
    <row r="567" spans="24:25" x14ac:dyDescent="0.25">
      <c r="X567" s="101">
        <v>562</v>
      </c>
      <c r="Y567" s="120">
        <f t="shared" si="8"/>
        <v>105</v>
      </c>
    </row>
    <row r="568" spans="24:25" x14ac:dyDescent="0.25">
      <c r="X568" s="101">
        <v>563</v>
      </c>
      <c r="Y568" s="120">
        <f t="shared" si="8"/>
        <v>105</v>
      </c>
    </row>
    <row r="569" spans="24:25" x14ac:dyDescent="0.25">
      <c r="X569" s="101">
        <v>564</v>
      </c>
      <c r="Y569" s="120">
        <f t="shared" si="8"/>
        <v>105</v>
      </c>
    </row>
    <row r="570" spans="24:25" x14ac:dyDescent="0.25">
      <c r="X570" s="101">
        <v>565</v>
      </c>
      <c r="Y570" s="120">
        <f t="shared" si="8"/>
        <v>105</v>
      </c>
    </row>
    <row r="571" spans="24:25" x14ac:dyDescent="0.25">
      <c r="X571" s="101">
        <v>566</v>
      </c>
      <c r="Y571" s="120">
        <f t="shared" si="8"/>
        <v>105</v>
      </c>
    </row>
    <row r="572" spans="24:25" x14ac:dyDescent="0.25">
      <c r="X572" s="101">
        <v>567</v>
      </c>
      <c r="Y572" s="120">
        <f t="shared" si="8"/>
        <v>105</v>
      </c>
    </row>
    <row r="573" spans="24:25" x14ac:dyDescent="0.25">
      <c r="X573" s="101">
        <v>568</v>
      </c>
      <c r="Y573" s="120">
        <f t="shared" si="8"/>
        <v>105</v>
      </c>
    </row>
    <row r="574" spans="24:25" x14ac:dyDescent="0.25">
      <c r="X574" s="101">
        <v>569</v>
      </c>
      <c r="Y574" s="120">
        <f t="shared" si="8"/>
        <v>105</v>
      </c>
    </row>
    <row r="575" spans="24:25" x14ac:dyDescent="0.25">
      <c r="X575" s="101">
        <v>570</v>
      </c>
      <c r="Y575" s="120">
        <f t="shared" si="8"/>
        <v>105</v>
      </c>
    </row>
    <row r="576" spans="24:25" x14ac:dyDescent="0.25">
      <c r="X576" s="101">
        <v>571</v>
      </c>
      <c r="Y576" s="120">
        <f t="shared" si="8"/>
        <v>105</v>
      </c>
    </row>
    <row r="577" spans="24:25" x14ac:dyDescent="0.25">
      <c r="X577" s="101">
        <v>572</v>
      </c>
      <c r="Y577" s="120">
        <f t="shared" si="8"/>
        <v>105</v>
      </c>
    </row>
    <row r="578" spans="24:25" x14ac:dyDescent="0.25">
      <c r="X578" s="101">
        <v>573</v>
      </c>
      <c r="Y578" s="120">
        <f t="shared" si="8"/>
        <v>105</v>
      </c>
    </row>
    <row r="579" spans="24:25" x14ac:dyDescent="0.25">
      <c r="X579" s="101">
        <v>574</v>
      </c>
      <c r="Y579" s="120">
        <f t="shared" si="8"/>
        <v>105</v>
      </c>
    </row>
    <row r="580" spans="24:25" x14ac:dyDescent="0.25">
      <c r="X580" s="101">
        <v>575</v>
      </c>
      <c r="Y580" s="120">
        <f t="shared" si="8"/>
        <v>105</v>
      </c>
    </row>
    <row r="581" spans="24:25" x14ac:dyDescent="0.25">
      <c r="X581" s="101">
        <v>576</v>
      </c>
      <c r="Y581" s="120">
        <f t="shared" si="8"/>
        <v>105</v>
      </c>
    </row>
    <row r="582" spans="24:25" x14ac:dyDescent="0.25">
      <c r="X582" s="101">
        <v>577</v>
      </c>
      <c r="Y582" s="120">
        <f t="shared" ref="Y582:Y645" si="9">INDEX(inhale_driver_table,INT(100*(X582/ticks_per_inhale))+1)</f>
        <v>105</v>
      </c>
    </row>
    <row r="583" spans="24:25" x14ac:dyDescent="0.25">
      <c r="X583" s="101">
        <v>578</v>
      </c>
      <c r="Y583" s="120">
        <f t="shared" si="9"/>
        <v>105</v>
      </c>
    </row>
    <row r="584" spans="24:25" x14ac:dyDescent="0.25">
      <c r="X584" s="101">
        <v>579</v>
      </c>
      <c r="Y584" s="120">
        <f t="shared" si="9"/>
        <v>105</v>
      </c>
    </row>
    <row r="585" spans="24:25" x14ac:dyDescent="0.25">
      <c r="X585" s="101">
        <v>580</v>
      </c>
      <c r="Y585" s="120">
        <f t="shared" si="9"/>
        <v>108</v>
      </c>
    </row>
    <row r="586" spans="24:25" x14ac:dyDescent="0.25">
      <c r="X586" s="101">
        <v>581</v>
      </c>
      <c r="Y586" s="120">
        <f t="shared" si="9"/>
        <v>108</v>
      </c>
    </row>
    <row r="587" spans="24:25" x14ac:dyDescent="0.25">
      <c r="X587" s="101">
        <v>582</v>
      </c>
      <c r="Y587" s="120">
        <f t="shared" si="9"/>
        <v>108</v>
      </c>
    </row>
    <row r="588" spans="24:25" x14ac:dyDescent="0.25">
      <c r="X588" s="101">
        <v>583</v>
      </c>
      <c r="Y588" s="120">
        <f t="shared" si="9"/>
        <v>108</v>
      </c>
    </row>
    <row r="589" spans="24:25" x14ac:dyDescent="0.25">
      <c r="X589" s="101">
        <v>584</v>
      </c>
      <c r="Y589" s="120">
        <f t="shared" si="9"/>
        <v>108</v>
      </c>
    </row>
    <row r="590" spans="24:25" x14ac:dyDescent="0.25">
      <c r="X590" s="101">
        <v>585</v>
      </c>
      <c r="Y590" s="120">
        <f t="shared" si="9"/>
        <v>108</v>
      </c>
    </row>
    <row r="591" spans="24:25" x14ac:dyDescent="0.25">
      <c r="X591" s="101">
        <v>586</v>
      </c>
      <c r="Y591" s="120">
        <f t="shared" si="9"/>
        <v>108</v>
      </c>
    </row>
    <row r="592" spans="24:25" x14ac:dyDescent="0.25">
      <c r="X592" s="101">
        <v>587</v>
      </c>
      <c r="Y592" s="120">
        <f t="shared" si="9"/>
        <v>108</v>
      </c>
    </row>
    <row r="593" spans="24:25" x14ac:dyDescent="0.25">
      <c r="X593" s="101">
        <v>588</v>
      </c>
      <c r="Y593" s="120">
        <f t="shared" si="9"/>
        <v>108</v>
      </c>
    </row>
    <row r="594" spans="24:25" x14ac:dyDescent="0.25">
      <c r="X594" s="101">
        <v>589</v>
      </c>
      <c r="Y594" s="120">
        <f t="shared" si="9"/>
        <v>108</v>
      </c>
    </row>
    <row r="595" spans="24:25" x14ac:dyDescent="0.25">
      <c r="X595" s="101">
        <v>590</v>
      </c>
      <c r="Y595" s="120">
        <f t="shared" si="9"/>
        <v>108</v>
      </c>
    </row>
    <row r="596" spans="24:25" x14ac:dyDescent="0.25">
      <c r="X596" s="101">
        <v>591</v>
      </c>
      <c r="Y596" s="120">
        <f t="shared" si="9"/>
        <v>108</v>
      </c>
    </row>
    <row r="597" spans="24:25" x14ac:dyDescent="0.25">
      <c r="X597" s="101">
        <v>592</v>
      </c>
      <c r="Y597" s="120">
        <f t="shared" si="9"/>
        <v>108</v>
      </c>
    </row>
    <row r="598" spans="24:25" x14ac:dyDescent="0.25">
      <c r="X598" s="101">
        <v>593</v>
      </c>
      <c r="Y598" s="120">
        <f t="shared" si="9"/>
        <v>108</v>
      </c>
    </row>
    <row r="599" spans="24:25" x14ac:dyDescent="0.25">
      <c r="X599" s="101">
        <v>594</v>
      </c>
      <c r="Y599" s="120">
        <f t="shared" si="9"/>
        <v>108</v>
      </c>
    </row>
    <row r="600" spans="24:25" x14ac:dyDescent="0.25">
      <c r="X600" s="101">
        <v>595</v>
      </c>
      <c r="Y600" s="120">
        <f t="shared" si="9"/>
        <v>108</v>
      </c>
    </row>
    <row r="601" spans="24:25" x14ac:dyDescent="0.25">
      <c r="X601" s="101">
        <v>596</v>
      </c>
      <c r="Y601" s="120">
        <f t="shared" si="9"/>
        <v>108</v>
      </c>
    </row>
    <row r="602" spans="24:25" x14ac:dyDescent="0.25">
      <c r="X602" s="101">
        <v>597</v>
      </c>
      <c r="Y602" s="120">
        <f t="shared" si="9"/>
        <v>108</v>
      </c>
    </row>
    <row r="603" spans="24:25" x14ac:dyDescent="0.25">
      <c r="X603" s="101">
        <v>598</v>
      </c>
      <c r="Y603" s="120">
        <f t="shared" si="9"/>
        <v>108</v>
      </c>
    </row>
    <row r="604" spans="24:25" x14ac:dyDescent="0.25">
      <c r="X604" s="101">
        <v>599</v>
      </c>
      <c r="Y604" s="120">
        <f t="shared" si="9"/>
        <v>108</v>
      </c>
    </row>
    <row r="605" spans="24:25" x14ac:dyDescent="0.25">
      <c r="X605" s="101">
        <v>600</v>
      </c>
      <c r="Y605" s="120">
        <f t="shared" si="9"/>
        <v>112</v>
      </c>
    </row>
    <row r="606" spans="24:25" x14ac:dyDescent="0.25">
      <c r="X606" s="101">
        <v>601</v>
      </c>
      <c r="Y606" s="120">
        <f t="shared" si="9"/>
        <v>112</v>
      </c>
    </row>
    <row r="607" spans="24:25" x14ac:dyDescent="0.25">
      <c r="X607" s="101">
        <v>602</v>
      </c>
      <c r="Y607" s="120">
        <f t="shared" si="9"/>
        <v>112</v>
      </c>
    </row>
    <row r="608" spans="24:25" x14ac:dyDescent="0.25">
      <c r="X608" s="101">
        <v>603</v>
      </c>
      <c r="Y608" s="120">
        <f t="shared" si="9"/>
        <v>112</v>
      </c>
    </row>
    <row r="609" spans="24:25" x14ac:dyDescent="0.25">
      <c r="X609" s="101">
        <v>604</v>
      </c>
      <c r="Y609" s="120">
        <f t="shared" si="9"/>
        <v>112</v>
      </c>
    </row>
    <row r="610" spans="24:25" x14ac:dyDescent="0.25">
      <c r="X610" s="101">
        <v>605</v>
      </c>
      <c r="Y610" s="120">
        <f t="shared" si="9"/>
        <v>112</v>
      </c>
    </row>
    <row r="611" spans="24:25" x14ac:dyDescent="0.25">
      <c r="X611" s="101">
        <v>606</v>
      </c>
      <c r="Y611" s="120">
        <f t="shared" si="9"/>
        <v>112</v>
      </c>
    </row>
    <row r="612" spans="24:25" x14ac:dyDescent="0.25">
      <c r="X612" s="101">
        <v>607</v>
      </c>
      <c r="Y612" s="120">
        <f t="shared" si="9"/>
        <v>112</v>
      </c>
    </row>
    <row r="613" spans="24:25" x14ac:dyDescent="0.25">
      <c r="X613" s="101">
        <v>608</v>
      </c>
      <c r="Y613" s="120">
        <f t="shared" si="9"/>
        <v>112</v>
      </c>
    </row>
    <row r="614" spans="24:25" x14ac:dyDescent="0.25">
      <c r="X614" s="101">
        <v>609</v>
      </c>
      <c r="Y614" s="120">
        <f t="shared" si="9"/>
        <v>112</v>
      </c>
    </row>
    <row r="615" spans="24:25" x14ac:dyDescent="0.25">
      <c r="X615" s="101">
        <v>610</v>
      </c>
      <c r="Y615" s="120">
        <f t="shared" si="9"/>
        <v>112</v>
      </c>
    </row>
    <row r="616" spans="24:25" x14ac:dyDescent="0.25">
      <c r="X616" s="101">
        <v>611</v>
      </c>
      <c r="Y616" s="120">
        <f t="shared" si="9"/>
        <v>112</v>
      </c>
    </row>
    <row r="617" spans="24:25" x14ac:dyDescent="0.25">
      <c r="X617" s="101">
        <v>612</v>
      </c>
      <c r="Y617" s="120">
        <f t="shared" si="9"/>
        <v>112</v>
      </c>
    </row>
    <row r="618" spans="24:25" x14ac:dyDescent="0.25">
      <c r="X618" s="101">
        <v>613</v>
      </c>
      <c r="Y618" s="120">
        <f t="shared" si="9"/>
        <v>112</v>
      </c>
    </row>
    <row r="619" spans="24:25" x14ac:dyDescent="0.25">
      <c r="X619" s="101">
        <v>614</v>
      </c>
      <c r="Y619" s="120">
        <f t="shared" si="9"/>
        <v>112</v>
      </c>
    </row>
    <row r="620" spans="24:25" x14ac:dyDescent="0.25">
      <c r="X620" s="101">
        <v>615</v>
      </c>
      <c r="Y620" s="120">
        <f t="shared" si="9"/>
        <v>112</v>
      </c>
    </row>
    <row r="621" spans="24:25" x14ac:dyDescent="0.25">
      <c r="X621" s="101">
        <v>616</v>
      </c>
      <c r="Y621" s="120">
        <f t="shared" si="9"/>
        <v>112</v>
      </c>
    </row>
    <row r="622" spans="24:25" x14ac:dyDescent="0.25">
      <c r="X622" s="101">
        <v>617</v>
      </c>
      <c r="Y622" s="120">
        <f t="shared" si="9"/>
        <v>112</v>
      </c>
    </row>
    <row r="623" spans="24:25" x14ac:dyDescent="0.25">
      <c r="X623" s="101">
        <v>618</v>
      </c>
      <c r="Y623" s="120">
        <f t="shared" si="9"/>
        <v>112</v>
      </c>
    </row>
    <row r="624" spans="24:25" x14ac:dyDescent="0.25">
      <c r="X624" s="101">
        <v>619</v>
      </c>
      <c r="Y624" s="120">
        <f t="shared" si="9"/>
        <v>112</v>
      </c>
    </row>
    <row r="625" spans="24:25" x14ac:dyDescent="0.25">
      <c r="X625" s="101">
        <v>620</v>
      </c>
      <c r="Y625" s="120">
        <f t="shared" si="9"/>
        <v>116</v>
      </c>
    </row>
    <row r="626" spans="24:25" x14ac:dyDescent="0.25">
      <c r="X626" s="101">
        <v>621</v>
      </c>
      <c r="Y626" s="120">
        <f t="shared" si="9"/>
        <v>116</v>
      </c>
    </row>
    <row r="627" spans="24:25" x14ac:dyDescent="0.25">
      <c r="X627" s="101">
        <v>622</v>
      </c>
      <c r="Y627" s="120">
        <f t="shared" si="9"/>
        <v>116</v>
      </c>
    </row>
    <row r="628" spans="24:25" x14ac:dyDescent="0.25">
      <c r="X628" s="101">
        <v>623</v>
      </c>
      <c r="Y628" s="120">
        <f t="shared" si="9"/>
        <v>116</v>
      </c>
    </row>
    <row r="629" spans="24:25" x14ac:dyDescent="0.25">
      <c r="X629" s="101">
        <v>624</v>
      </c>
      <c r="Y629" s="120">
        <f t="shared" si="9"/>
        <v>116</v>
      </c>
    </row>
    <row r="630" spans="24:25" x14ac:dyDescent="0.25">
      <c r="X630" s="101">
        <v>625</v>
      </c>
      <c r="Y630" s="120">
        <f t="shared" si="9"/>
        <v>116</v>
      </c>
    </row>
    <row r="631" spans="24:25" x14ac:dyDescent="0.25">
      <c r="X631" s="101">
        <v>626</v>
      </c>
      <c r="Y631" s="120">
        <f t="shared" si="9"/>
        <v>116</v>
      </c>
    </row>
    <row r="632" spans="24:25" x14ac:dyDescent="0.25">
      <c r="X632" s="101">
        <v>627</v>
      </c>
      <c r="Y632" s="120">
        <f t="shared" si="9"/>
        <v>116</v>
      </c>
    </row>
    <row r="633" spans="24:25" x14ac:dyDescent="0.25">
      <c r="X633" s="101">
        <v>628</v>
      </c>
      <c r="Y633" s="120">
        <f t="shared" si="9"/>
        <v>116</v>
      </c>
    </row>
    <row r="634" spans="24:25" x14ac:dyDescent="0.25">
      <c r="X634" s="101">
        <v>629</v>
      </c>
      <c r="Y634" s="120">
        <f t="shared" si="9"/>
        <v>116</v>
      </c>
    </row>
    <row r="635" spans="24:25" x14ac:dyDescent="0.25">
      <c r="X635" s="101">
        <v>630</v>
      </c>
      <c r="Y635" s="120">
        <f t="shared" si="9"/>
        <v>116</v>
      </c>
    </row>
    <row r="636" spans="24:25" x14ac:dyDescent="0.25">
      <c r="X636" s="101">
        <v>631</v>
      </c>
      <c r="Y636" s="120">
        <f t="shared" si="9"/>
        <v>116</v>
      </c>
    </row>
    <row r="637" spans="24:25" x14ac:dyDescent="0.25">
      <c r="X637" s="101">
        <v>632</v>
      </c>
      <c r="Y637" s="120">
        <f t="shared" si="9"/>
        <v>116</v>
      </c>
    </row>
    <row r="638" spans="24:25" x14ac:dyDescent="0.25">
      <c r="X638" s="101">
        <v>633</v>
      </c>
      <c r="Y638" s="120">
        <f t="shared" si="9"/>
        <v>116</v>
      </c>
    </row>
    <row r="639" spans="24:25" x14ac:dyDescent="0.25">
      <c r="X639" s="101">
        <v>634</v>
      </c>
      <c r="Y639" s="120">
        <f t="shared" si="9"/>
        <v>116</v>
      </c>
    </row>
    <row r="640" spans="24:25" x14ac:dyDescent="0.25">
      <c r="X640" s="101">
        <v>635</v>
      </c>
      <c r="Y640" s="120">
        <f t="shared" si="9"/>
        <v>116</v>
      </c>
    </row>
    <row r="641" spans="24:25" x14ac:dyDescent="0.25">
      <c r="X641" s="101">
        <v>636</v>
      </c>
      <c r="Y641" s="120">
        <f t="shared" si="9"/>
        <v>116</v>
      </c>
    </row>
    <row r="642" spans="24:25" x14ac:dyDescent="0.25">
      <c r="X642" s="101">
        <v>637</v>
      </c>
      <c r="Y642" s="120">
        <f t="shared" si="9"/>
        <v>116</v>
      </c>
    </row>
    <row r="643" spans="24:25" x14ac:dyDescent="0.25">
      <c r="X643" s="101">
        <v>638</v>
      </c>
      <c r="Y643" s="120">
        <f t="shared" si="9"/>
        <v>116</v>
      </c>
    </row>
    <row r="644" spans="24:25" x14ac:dyDescent="0.25">
      <c r="X644" s="101">
        <v>639</v>
      </c>
      <c r="Y644" s="120">
        <f t="shared" si="9"/>
        <v>116</v>
      </c>
    </row>
    <row r="645" spans="24:25" x14ac:dyDescent="0.25">
      <c r="X645" s="101">
        <v>640</v>
      </c>
      <c r="Y645" s="120">
        <f t="shared" si="9"/>
        <v>120</v>
      </c>
    </row>
    <row r="646" spans="24:25" x14ac:dyDescent="0.25">
      <c r="X646" s="101">
        <v>641</v>
      </c>
      <c r="Y646" s="120">
        <f t="shared" ref="Y646:Y709" si="10">INDEX(inhale_driver_table,INT(100*(X646/ticks_per_inhale))+1)</f>
        <v>120</v>
      </c>
    </row>
    <row r="647" spans="24:25" x14ac:dyDescent="0.25">
      <c r="X647" s="101">
        <v>642</v>
      </c>
      <c r="Y647" s="120">
        <f t="shared" si="10"/>
        <v>120</v>
      </c>
    </row>
    <row r="648" spans="24:25" x14ac:dyDescent="0.25">
      <c r="X648" s="101">
        <v>643</v>
      </c>
      <c r="Y648" s="120">
        <f t="shared" si="10"/>
        <v>120</v>
      </c>
    </row>
    <row r="649" spans="24:25" x14ac:dyDescent="0.25">
      <c r="X649" s="101">
        <v>644</v>
      </c>
      <c r="Y649" s="120">
        <f t="shared" si="10"/>
        <v>120</v>
      </c>
    </row>
    <row r="650" spans="24:25" x14ac:dyDescent="0.25">
      <c r="X650" s="101">
        <v>645</v>
      </c>
      <c r="Y650" s="120">
        <f t="shared" si="10"/>
        <v>120</v>
      </c>
    </row>
    <row r="651" spans="24:25" x14ac:dyDescent="0.25">
      <c r="X651" s="101">
        <v>646</v>
      </c>
      <c r="Y651" s="120">
        <f t="shared" si="10"/>
        <v>120</v>
      </c>
    </row>
    <row r="652" spans="24:25" x14ac:dyDescent="0.25">
      <c r="X652" s="101">
        <v>647</v>
      </c>
      <c r="Y652" s="120">
        <f t="shared" si="10"/>
        <v>120</v>
      </c>
    </row>
    <row r="653" spans="24:25" x14ac:dyDescent="0.25">
      <c r="X653" s="101">
        <v>648</v>
      </c>
      <c r="Y653" s="120">
        <f t="shared" si="10"/>
        <v>120</v>
      </c>
    </row>
    <row r="654" spans="24:25" x14ac:dyDescent="0.25">
      <c r="X654" s="101">
        <v>649</v>
      </c>
      <c r="Y654" s="120">
        <f t="shared" si="10"/>
        <v>120</v>
      </c>
    </row>
    <row r="655" spans="24:25" x14ac:dyDescent="0.25">
      <c r="X655" s="101">
        <v>650</v>
      </c>
      <c r="Y655" s="120">
        <f t="shared" si="10"/>
        <v>120</v>
      </c>
    </row>
    <row r="656" spans="24:25" x14ac:dyDescent="0.25">
      <c r="X656" s="101">
        <v>651</v>
      </c>
      <c r="Y656" s="120">
        <f t="shared" si="10"/>
        <v>120</v>
      </c>
    </row>
    <row r="657" spans="24:25" x14ac:dyDescent="0.25">
      <c r="X657" s="101">
        <v>652</v>
      </c>
      <c r="Y657" s="120">
        <f t="shared" si="10"/>
        <v>120</v>
      </c>
    </row>
    <row r="658" spans="24:25" x14ac:dyDescent="0.25">
      <c r="X658" s="101">
        <v>653</v>
      </c>
      <c r="Y658" s="120">
        <f t="shared" si="10"/>
        <v>120</v>
      </c>
    </row>
    <row r="659" spans="24:25" x14ac:dyDescent="0.25">
      <c r="X659" s="101">
        <v>654</v>
      </c>
      <c r="Y659" s="120">
        <f t="shared" si="10"/>
        <v>120</v>
      </c>
    </row>
    <row r="660" spans="24:25" x14ac:dyDescent="0.25">
      <c r="X660" s="101">
        <v>655</v>
      </c>
      <c r="Y660" s="120">
        <f t="shared" si="10"/>
        <v>120</v>
      </c>
    </row>
    <row r="661" spans="24:25" x14ac:dyDescent="0.25">
      <c r="X661" s="101">
        <v>656</v>
      </c>
      <c r="Y661" s="120">
        <f t="shared" si="10"/>
        <v>120</v>
      </c>
    </row>
    <row r="662" spans="24:25" x14ac:dyDescent="0.25">
      <c r="X662" s="101">
        <v>657</v>
      </c>
      <c r="Y662" s="120">
        <f t="shared" si="10"/>
        <v>120</v>
      </c>
    </row>
    <row r="663" spans="24:25" x14ac:dyDescent="0.25">
      <c r="X663" s="101">
        <v>658</v>
      </c>
      <c r="Y663" s="120">
        <f t="shared" si="10"/>
        <v>120</v>
      </c>
    </row>
    <row r="664" spans="24:25" x14ac:dyDescent="0.25">
      <c r="X664" s="101">
        <v>659</v>
      </c>
      <c r="Y664" s="120">
        <f t="shared" si="10"/>
        <v>120</v>
      </c>
    </row>
    <row r="665" spans="24:25" x14ac:dyDescent="0.25">
      <c r="X665" s="101">
        <v>660</v>
      </c>
      <c r="Y665" s="120">
        <f t="shared" si="10"/>
        <v>123</v>
      </c>
    </row>
    <row r="666" spans="24:25" x14ac:dyDescent="0.25">
      <c r="X666" s="101">
        <v>661</v>
      </c>
      <c r="Y666" s="120">
        <f t="shared" si="10"/>
        <v>123</v>
      </c>
    </row>
    <row r="667" spans="24:25" x14ac:dyDescent="0.25">
      <c r="X667" s="101">
        <v>662</v>
      </c>
      <c r="Y667" s="120">
        <f t="shared" si="10"/>
        <v>123</v>
      </c>
    </row>
    <row r="668" spans="24:25" x14ac:dyDescent="0.25">
      <c r="X668" s="101">
        <v>663</v>
      </c>
      <c r="Y668" s="120">
        <f t="shared" si="10"/>
        <v>123</v>
      </c>
    </row>
    <row r="669" spans="24:25" x14ac:dyDescent="0.25">
      <c r="X669" s="101">
        <v>664</v>
      </c>
      <c r="Y669" s="120">
        <f t="shared" si="10"/>
        <v>123</v>
      </c>
    </row>
    <row r="670" spans="24:25" x14ac:dyDescent="0.25">
      <c r="X670" s="101">
        <v>665</v>
      </c>
      <c r="Y670" s="120">
        <f t="shared" si="10"/>
        <v>123</v>
      </c>
    </row>
    <row r="671" spans="24:25" x14ac:dyDescent="0.25">
      <c r="X671" s="101">
        <v>666</v>
      </c>
      <c r="Y671" s="120">
        <f t="shared" si="10"/>
        <v>123</v>
      </c>
    </row>
    <row r="672" spans="24:25" x14ac:dyDescent="0.25">
      <c r="X672" s="101">
        <v>667</v>
      </c>
      <c r="Y672" s="120">
        <f t="shared" si="10"/>
        <v>123</v>
      </c>
    </row>
    <row r="673" spans="24:25" x14ac:dyDescent="0.25">
      <c r="X673" s="101">
        <v>668</v>
      </c>
      <c r="Y673" s="120">
        <f t="shared" si="10"/>
        <v>123</v>
      </c>
    </row>
    <row r="674" spans="24:25" x14ac:dyDescent="0.25">
      <c r="X674" s="101">
        <v>669</v>
      </c>
      <c r="Y674" s="120">
        <f t="shared" si="10"/>
        <v>123</v>
      </c>
    </row>
    <row r="675" spans="24:25" x14ac:dyDescent="0.25">
      <c r="X675" s="101">
        <v>670</v>
      </c>
      <c r="Y675" s="120">
        <f t="shared" si="10"/>
        <v>123</v>
      </c>
    </row>
    <row r="676" spans="24:25" x14ac:dyDescent="0.25">
      <c r="X676" s="101">
        <v>671</v>
      </c>
      <c r="Y676" s="120">
        <f t="shared" si="10"/>
        <v>123</v>
      </c>
    </row>
    <row r="677" spans="24:25" x14ac:dyDescent="0.25">
      <c r="X677" s="101">
        <v>672</v>
      </c>
      <c r="Y677" s="120">
        <f t="shared" si="10"/>
        <v>123</v>
      </c>
    </row>
    <row r="678" spans="24:25" x14ac:dyDescent="0.25">
      <c r="X678" s="101">
        <v>673</v>
      </c>
      <c r="Y678" s="120">
        <f t="shared" si="10"/>
        <v>123</v>
      </c>
    </row>
    <row r="679" spans="24:25" x14ac:dyDescent="0.25">
      <c r="X679" s="101">
        <v>674</v>
      </c>
      <c r="Y679" s="120">
        <f t="shared" si="10"/>
        <v>123</v>
      </c>
    </row>
    <row r="680" spans="24:25" x14ac:dyDescent="0.25">
      <c r="X680" s="101">
        <v>675</v>
      </c>
      <c r="Y680" s="120">
        <f t="shared" si="10"/>
        <v>123</v>
      </c>
    </row>
    <row r="681" spans="24:25" x14ac:dyDescent="0.25">
      <c r="X681" s="101">
        <v>676</v>
      </c>
      <c r="Y681" s="120">
        <f t="shared" si="10"/>
        <v>123</v>
      </c>
    </row>
    <row r="682" spans="24:25" x14ac:dyDescent="0.25">
      <c r="X682" s="101">
        <v>677</v>
      </c>
      <c r="Y682" s="120">
        <f t="shared" si="10"/>
        <v>123</v>
      </c>
    </row>
    <row r="683" spans="24:25" x14ac:dyDescent="0.25">
      <c r="X683" s="101">
        <v>678</v>
      </c>
      <c r="Y683" s="120">
        <f t="shared" si="10"/>
        <v>123</v>
      </c>
    </row>
    <row r="684" spans="24:25" x14ac:dyDescent="0.25">
      <c r="X684" s="101">
        <v>679</v>
      </c>
      <c r="Y684" s="120">
        <f t="shared" si="10"/>
        <v>123</v>
      </c>
    </row>
    <row r="685" spans="24:25" x14ac:dyDescent="0.25">
      <c r="X685" s="101">
        <v>680</v>
      </c>
      <c r="Y685" s="120">
        <f t="shared" si="10"/>
        <v>127</v>
      </c>
    </row>
    <row r="686" spans="24:25" x14ac:dyDescent="0.25">
      <c r="X686" s="101">
        <v>681</v>
      </c>
      <c r="Y686" s="120">
        <f t="shared" si="10"/>
        <v>127</v>
      </c>
    </row>
    <row r="687" spans="24:25" x14ac:dyDescent="0.25">
      <c r="X687" s="101">
        <v>682</v>
      </c>
      <c r="Y687" s="120">
        <f t="shared" si="10"/>
        <v>127</v>
      </c>
    </row>
    <row r="688" spans="24:25" x14ac:dyDescent="0.25">
      <c r="X688" s="101">
        <v>683</v>
      </c>
      <c r="Y688" s="120">
        <f t="shared" si="10"/>
        <v>127</v>
      </c>
    </row>
    <row r="689" spans="24:25" x14ac:dyDescent="0.25">
      <c r="X689" s="101">
        <v>684</v>
      </c>
      <c r="Y689" s="120">
        <f t="shared" si="10"/>
        <v>127</v>
      </c>
    </row>
    <row r="690" spans="24:25" x14ac:dyDescent="0.25">
      <c r="X690" s="101">
        <v>685</v>
      </c>
      <c r="Y690" s="120">
        <f t="shared" si="10"/>
        <v>127</v>
      </c>
    </row>
    <row r="691" spans="24:25" x14ac:dyDescent="0.25">
      <c r="X691" s="101">
        <v>686</v>
      </c>
      <c r="Y691" s="120">
        <f t="shared" si="10"/>
        <v>127</v>
      </c>
    </row>
    <row r="692" spans="24:25" x14ac:dyDescent="0.25">
      <c r="X692" s="101">
        <v>687</v>
      </c>
      <c r="Y692" s="120">
        <f t="shared" si="10"/>
        <v>127</v>
      </c>
    </row>
    <row r="693" spans="24:25" x14ac:dyDescent="0.25">
      <c r="X693" s="101">
        <v>688</v>
      </c>
      <c r="Y693" s="120">
        <f t="shared" si="10"/>
        <v>127</v>
      </c>
    </row>
    <row r="694" spans="24:25" x14ac:dyDescent="0.25">
      <c r="X694" s="101">
        <v>689</v>
      </c>
      <c r="Y694" s="120">
        <f t="shared" si="10"/>
        <v>127</v>
      </c>
    </row>
    <row r="695" spans="24:25" x14ac:dyDescent="0.25">
      <c r="X695" s="101">
        <v>690</v>
      </c>
      <c r="Y695" s="120">
        <f t="shared" si="10"/>
        <v>127</v>
      </c>
    </row>
    <row r="696" spans="24:25" x14ac:dyDescent="0.25">
      <c r="X696" s="101">
        <v>691</v>
      </c>
      <c r="Y696" s="120">
        <f t="shared" si="10"/>
        <v>127</v>
      </c>
    </row>
    <row r="697" spans="24:25" x14ac:dyDescent="0.25">
      <c r="X697" s="101">
        <v>692</v>
      </c>
      <c r="Y697" s="120">
        <f t="shared" si="10"/>
        <v>127</v>
      </c>
    </row>
    <row r="698" spans="24:25" x14ac:dyDescent="0.25">
      <c r="X698" s="101">
        <v>693</v>
      </c>
      <c r="Y698" s="120">
        <f t="shared" si="10"/>
        <v>127</v>
      </c>
    </row>
    <row r="699" spans="24:25" x14ac:dyDescent="0.25">
      <c r="X699" s="101">
        <v>694</v>
      </c>
      <c r="Y699" s="120">
        <f t="shared" si="10"/>
        <v>127</v>
      </c>
    </row>
    <row r="700" spans="24:25" x14ac:dyDescent="0.25">
      <c r="X700" s="101">
        <v>695</v>
      </c>
      <c r="Y700" s="120">
        <f t="shared" si="10"/>
        <v>127</v>
      </c>
    </row>
    <row r="701" spans="24:25" x14ac:dyDescent="0.25">
      <c r="X701" s="101">
        <v>696</v>
      </c>
      <c r="Y701" s="120">
        <f t="shared" si="10"/>
        <v>127</v>
      </c>
    </row>
    <row r="702" spans="24:25" x14ac:dyDescent="0.25">
      <c r="X702" s="101">
        <v>697</v>
      </c>
      <c r="Y702" s="120">
        <f t="shared" si="10"/>
        <v>127</v>
      </c>
    </row>
    <row r="703" spans="24:25" x14ac:dyDescent="0.25">
      <c r="X703" s="101">
        <v>698</v>
      </c>
      <c r="Y703" s="120">
        <f t="shared" si="10"/>
        <v>127</v>
      </c>
    </row>
    <row r="704" spans="24:25" x14ac:dyDescent="0.25">
      <c r="X704" s="101">
        <v>699</v>
      </c>
      <c r="Y704" s="120">
        <f t="shared" si="10"/>
        <v>127</v>
      </c>
    </row>
    <row r="705" spans="24:25" x14ac:dyDescent="0.25">
      <c r="X705" s="101">
        <v>700</v>
      </c>
      <c r="Y705" s="120">
        <f t="shared" si="10"/>
        <v>131</v>
      </c>
    </row>
    <row r="706" spans="24:25" x14ac:dyDescent="0.25">
      <c r="X706" s="101">
        <v>701</v>
      </c>
      <c r="Y706" s="120">
        <f t="shared" si="10"/>
        <v>131</v>
      </c>
    </row>
    <row r="707" spans="24:25" x14ac:dyDescent="0.25">
      <c r="X707" s="101">
        <v>702</v>
      </c>
      <c r="Y707" s="120">
        <f t="shared" si="10"/>
        <v>131</v>
      </c>
    </row>
    <row r="708" spans="24:25" x14ac:dyDescent="0.25">
      <c r="X708" s="101">
        <v>703</v>
      </c>
      <c r="Y708" s="120">
        <f t="shared" si="10"/>
        <v>131</v>
      </c>
    </row>
    <row r="709" spans="24:25" x14ac:dyDescent="0.25">
      <c r="X709" s="101">
        <v>704</v>
      </c>
      <c r="Y709" s="120">
        <f t="shared" si="10"/>
        <v>131</v>
      </c>
    </row>
    <row r="710" spans="24:25" x14ac:dyDescent="0.25">
      <c r="X710" s="101">
        <v>705</v>
      </c>
      <c r="Y710" s="120">
        <f t="shared" ref="Y710:Y773" si="11">INDEX(inhale_driver_table,INT(100*(X710/ticks_per_inhale))+1)</f>
        <v>131</v>
      </c>
    </row>
    <row r="711" spans="24:25" x14ac:dyDescent="0.25">
      <c r="X711" s="101">
        <v>706</v>
      </c>
      <c r="Y711" s="120">
        <f t="shared" si="11"/>
        <v>131</v>
      </c>
    </row>
    <row r="712" spans="24:25" x14ac:dyDescent="0.25">
      <c r="X712" s="101">
        <v>707</v>
      </c>
      <c r="Y712" s="120">
        <f t="shared" si="11"/>
        <v>131</v>
      </c>
    </row>
    <row r="713" spans="24:25" x14ac:dyDescent="0.25">
      <c r="X713" s="101">
        <v>708</v>
      </c>
      <c r="Y713" s="120">
        <f t="shared" si="11"/>
        <v>131</v>
      </c>
    </row>
    <row r="714" spans="24:25" x14ac:dyDescent="0.25">
      <c r="X714" s="101">
        <v>709</v>
      </c>
      <c r="Y714" s="120">
        <f t="shared" si="11"/>
        <v>131</v>
      </c>
    </row>
    <row r="715" spans="24:25" x14ac:dyDescent="0.25">
      <c r="X715" s="101">
        <v>710</v>
      </c>
      <c r="Y715" s="120">
        <f t="shared" si="11"/>
        <v>131</v>
      </c>
    </row>
    <row r="716" spans="24:25" x14ac:dyDescent="0.25">
      <c r="X716" s="101">
        <v>711</v>
      </c>
      <c r="Y716" s="120">
        <f t="shared" si="11"/>
        <v>131</v>
      </c>
    </row>
    <row r="717" spans="24:25" x14ac:dyDescent="0.25">
      <c r="X717" s="101">
        <v>712</v>
      </c>
      <c r="Y717" s="120">
        <f t="shared" si="11"/>
        <v>131</v>
      </c>
    </row>
    <row r="718" spans="24:25" x14ac:dyDescent="0.25">
      <c r="X718" s="101">
        <v>713</v>
      </c>
      <c r="Y718" s="120">
        <f t="shared" si="11"/>
        <v>131</v>
      </c>
    </row>
    <row r="719" spans="24:25" x14ac:dyDescent="0.25">
      <c r="X719" s="101">
        <v>714</v>
      </c>
      <c r="Y719" s="120">
        <f t="shared" si="11"/>
        <v>131</v>
      </c>
    </row>
    <row r="720" spans="24:25" x14ac:dyDescent="0.25">
      <c r="X720" s="101">
        <v>715</v>
      </c>
      <c r="Y720" s="120">
        <f t="shared" si="11"/>
        <v>131</v>
      </c>
    </row>
    <row r="721" spans="24:25" x14ac:dyDescent="0.25">
      <c r="X721" s="101">
        <v>716</v>
      </c>
      <c r="Y721" s="120">
        <f t="shared" si="11"/>
        <v>131</v>
      </c>
    </row>
    <row r="722" spans="24:25" x14ac:dyDescent="0.25">
      <c r="X722" s="101">
        <v>717</v>
      </c>
      <c r="Y722" s="120">
        <f t="shared" si="11"/>
        <v>131</v>
      </c>
    </row>
    <row r="723" spans="24:25" x14ac:dyDescent="0.25">
      <c r="X723" s="101">
        <v>718</v>
      </c>
      <c r="Y723" s="120">
        <f t="shared" si="11"/>
        <v>131</v>
      </c>
    </row>
    <row r="724" spans="24:25" x14ac:dyDescent="0.25">
      <c r="X724" s="101">
        <v>719</v>
      </c>
      <c r="Y724" s="120">
        <f t="shared" si="11"/>
        <v>131</v>
      </c>
    </row>
    <row r="725" spans="24:25" x14ac:dyDescent="0.25">
      <c r="X725" s="101">
        <v>720</v>
      </c>
      <c r="Y725" s="120">
        <f t="shared" si="11"/>
        <v>135</v>
      </c>
    </row>
    <row r="726" spans="24:25" x14ac:dyDescent="0.25">
      <c r="X726" s="101">
        <v>721</v>
      </c>
      <c r="Y726" s="120">
        <f t="shared" si="11"/>
        <v>135</v>
      </c>
    </row>
    <row r="727" spans="24:25" x14ac:dyDescent="0.25">
      <c r="X727" s="101">
        <v>722</v>
      </c>
      <c r="Y727" s="120">
        <f t="shared" si="11"/>
        <v>135</v>
      </c>
    </row>
    <row r="728" spans="24:25" x14ac:dyDescent="0.25">
      <c r="X728" s="101">
        <v>723</v>
      </c>
      <c r="Y728" s="120">
        <f t="shared" si="11"/>
        <v>135</v>
      </c>
    </row>
    <row r="729" spans="24:25" x14ac:dyDescent="0.25">
      <c r="X729" s="101">
        <v>724</v>
      </c>
      <c r="Y729" s="120">
        <f t="shared" si="11"/>
        <v>135</v>
      </c>
    </row>
    <row r="730" spans="24:25" x14ac:dyDescent="0.25">
      <c r="X730" s="101">
        <v>725</v>
      </c>
      <c r="Y730" s="120">
        <f t="shared" si="11"/>
        <v>135</v>
      </c>
    </row>
    <row r="731" spans="24:25" x14ac:dyDescent="0.25">
      <c r="X731" s="101">
        <v>726</v>
      </c>
      <c r="Y731" s="120">
        <f t="shared" si="11"/>
        <v>135</v>
      </c>
    </row>
    <row r="732" spans="24:25" x14ac:dyDescent="0.25">
      <c r="X732" s="101">
        <v>727</v>
      </c>
      <c r="Y732" s="120">
        <f t="shared" si="11"/>
        <v>135</v>
      </c>
    </row>
    <row r="733" spans="24:25" x14ac:dyDescent="0.25">
      <c r="X733" s="101">
        <v>728</v>
      </c>
      <c r="Y733" s="120">
        <f t="shared" si="11"/>
        <v>135</v>
      </c>
    </row>
    <row r="734" spans="24:25" x14ac:dyDescent="0.25">
      <c r="X734" s="101">
        <v>729</v>
      </c>
      <c r="Y734" s="120">
        <f t="shared" si="11"/>
        <v>135</v>
      </c>
    </row>
    <row r="735" spans="24:25" x14ac:dyDescent="0.25">
      <c r="X735" s="101">
        <v>730</v>
      </c>
      <c r="Y735" s="120">
        <f t="shared" si="11"/>
        <v>135</v>
      </c>
    </row>
    <row r="736" spans="24:25" x14ac:dyDescent="0.25">
      <c r="X736" s="101">
        <v>731</v>
      </c>
      <c r="Y736" s="120">
        <f t="shared" si="11"/>
        <v>135</v>
      </c>
    </row>
    <row r="737" spans="24:25" x14ac:dyDescent="0.25">
      <c r="X737" s="101">
        <v>732</v>
      </c>
      <c r="Y737" s="120">
        <f t="shared" si="11"/>
        <v>135</v>
      </c>
    </row>
    <row r="738" spans="24:25" x14ac:dyDescent="0.25">
      <c r="X738" s="101">
        <v>733</v>
      </c>
      <c r="Y738" s="120">
        <f t="shared" si="11"/>
        <v>135</v>
      </c>
    </row>
    <row r="739" spans="24:25" x14ac:dyDescent="0.25">
      <c r="X739" s="101">
        <v>734</v>
      </c>
      <c r="Y739" s="120">
        <f t="shared" si="11"/>
        <v>135</v>
      </c>
    </row>
    <row r="740" spans="24:25" x14ac:dyDescent="0.25">
      <c r="X740" s="101">
        <v>735</v>
      </c>
      <c r="Y740" s="120">
        <f t="shared" si="11"/>
        <v>135</v>
      </c>
    </row>
    <row r="741" spans="24:25" x14ac:dyDescent="0.25">
      <c r="X741" s="101">
        <v>736</v>
      </c>
      <c r="Y741" s="120">
        <f t="shared" si="11"/>
        <v>135</v>
      </c>
    </row>
    <row r="742" spans="24:25" x14ac:dyDescent="0.25">
      <c r="X742" s="101">
        <v>737</v>
      </c>
      <c r="Y742" s="120">
        <f t="shared" si="11"/>
        <v>135</v>
      </c>
    </row>
    <row r="743" spans="24:25" x14ac:dyDescent="0.25">
      <c r="X743" s="101">
        <v>738</v>
      </c>
      <c r="Y743" s="120">
        <f t="shared" si="11"/>
        <v>135</v>
      </c>
    </row>
    <row r="744" spans="24:25" x14ac:dyDescent="0.25">
      <c r="X744" s="101">
        <v>739</v>
      </c>
      <c r="Y744" s="120">
        <f t="shared" si="11"/>
        <v>135</v>
      </c>
    </row>
    <row r="745" spans="24:25" x14ac:dyDescent="0.25">
      <c r="X745" s="101">
        <v>740</v>
      </c>
      <c r="Y745" s="120">
        <f t="shared" si="11"/>
        <v>138</v>
      </c>
    </row>
    <row r="746" spans="24:25" x14ac:dyDescent="0.25">
      <c r="X746" s="101">
        <v>741</v>
      </c>
      <c r="Y746" s="120">
        <f t="shared" si="11"/>
        <v>138</v>
      </c>
    </row>
    <row r="747" spans="24:25" x14ac:dyDescent="0.25">
      <c r="X747" s="101">
        <v>742</v>
      </c>
      <c r="Y747" s="120">
        <f t="shared" si="11"/>
        <v>138</v>
      </c>
    </row>
    <row r="748" spans="24:25" x14ac:dyDescent="0.25">
      <c r="X748" s="101">
        <v>743</v>
      </c>
      <c r="Y748" s="120">
        <f t="shared" si="11"/>
        <v>138</v>
      </c>
    </row>
    <row r="749" spans="24:25" x14ac:dyDescent="0.25">
      <c r="X749" s="101">
        <v>744</v>
      </c>
      <c r="Y749" s="120">
        <f t="shared" si="11"/>
        <v>138</v>
      </c>
    </row>
    <row r="750" spans="24:25" x14ac:dyDescent="0.25">
      <c r="X750" s="101">
        <v>745</v>
      </c>
      <c r="Y750" s="120">
        <f t="shared" si="11"/>
        <v>138</v>
      </c>
    </row>
    <row r="751" spans="24:25" x14ac:dyDescent="0.25">
      <c r="X751" s="101">
        <v>746</v>
      </c>
      <c r="Y751" s="120">
        <f t="shared" si="11"/>
        <v>138</v>
      </c>
    </row>
    <row r="752" spans="24:25" x14ac:dyDescent="0.25">
      <c r="X752" s="101">
        <v>747</v>
      </c>
      <c r="Y752" s="120">
        <f t="shared" si="11"/>
        <v>138</v>
      </c>
    </row>
    <row r="753" spans="24:25" x14ac:dyDescent="0.25">
      <c r="X753" s="101">
        <v>748</v>
      </c>
      <c r="Y753" s="120">
        <f t="shared" si="11"/>
        <v>138</v>
      </c>
    </row>
    <row r="754" spans="24:25" x14ac:dyDescent="0.25">
      <c r="X754" s="101">
        <v>749</v>
      </c>
      <c r="Y754" s="120">
        <f t="shared" si="11"/>
        <v>138</v>
      </c>
    </row>
    <row r="755" spans="24:25" x14ac:dyDescent="0.25">
      <c r="X755" s="101">
        <v>750</v>
      </c>
      <c r="Y755" s="120">
        <f t="shared" si="11"/>
        <v>138</v>
      </c>
    </row>
    <row r="756" spans="24:25" x14ac:dyDescent="0.25">
      <c r="X756" s="101">
        <v>751</v>
      </c>
      <c r="Y756" s="120">
        <f t="shared" si="11"/>
        <v>138</v>
      </c>
    </row>
    <row r="757" spans="24:25" x14ac:dyDescent="0.25">
      <c r="X757" s="101">
        <v>752</v>
      </c>
      <c r="Y757" s="120">
        <f t="shared" si="11"/>
        <v>138</v>
      </c>
    </row>
    <row r="758" spans="24:25" x14ac:dyDescent="0.25">
      <c r="X758" s="101">
        <v>753</v>
      </c>
      <c r="Y758" s="120">
        <f t="shared" si="11"/>
        <v>138</v>
      </c>
    </row>
    <row r="759" spans="24:25" x14ac:dyDescent="0.25">
      <c r="X759" s="101">
        <v>754</v>
      </c>
      <c r="Y759" s="120">
        <f t="shared" si="11"/>
        <v>138</v>
      </c>
    </row>
    <row r="760" spans="24:25" x14ac:dyDescent="0.25">
      <c r="X760" s="101">
        <v>755</v>
      </c>
      <c r="Y760" s="120">
        <f t="shared" si="11"/>
        <v>138</v>
      </c>
    </row>
    <row r="761" spans="24:25" x14ac:dyDescent="0.25">
      <c r="X761" s="101">
        <v>756</v>
      </c>
      <c r="Y761" s="120">
        <f t="shared" si="11"/>
        <v>138</v>
      </c>
    </row>
    <row r="762" spans="24:25" x14ac:dyDescent="0.25">
      <c r="X762" s="101">
        <v>757</v>
      </c>
      <c r="Y762" s="120">
        <f t="shared" si="11"/>
        <v>138</v>
      </c>
    </row>
    <row r="763" spans="24:25" x14ac:dyDescent="0.25">
      <c r="X763" s="101">
        <v>758</v>
      </c>
      <c r="Y763" s="120">
        <f t="shared" si="11"/>
        <v>138</v>
      </c>
    </row>
    <row r="764" spans="24:25" x14ac:dyDescent="0.25">
      <c r="X764" s="101">
        <v>759</v>
      </c>
      <c r="Y764" s="120">
        <f t="shared" si="11"/>
        <v>138</v>
      </c>
    </row>
    <row r="765" spans="24:25" x14ac:dyDescent="0.25">
      <c r="X765" s="101">
        <v>760</v>
      </c>
      <c r="Y765" s="120">
        <f t="shared" si="11"/>
        <v>142</v>
      </c>
    </row>
    <row r="766" spans="24:25" x14ac:dyDescent="0.25">
      <c r="X766" s="101">
        <v>761</v>
      </c>
      <c r="Y766" s="120">
        <f t="shared" si="11"/>
        <v>142</v>
      </c>
    </row>
    <row r="767" spans="24:25" x14ac:dyDescent="0.25">
      <c r="X767" s="101">
        <v>762</v>
      </c>
      <c r="Y767" s="120">
        <f t="shared" si="11"/>
        <v>142</v>
      </c>
    </row>
    <row r="768" spans="24:25" x14ac:dyDescent="0.25">
      <c r="X768" s="101">
        <v>763</v>
      </c>
      <c r="Y768" s="120">
        <f t="shared" si="11"/>
        <v>142</v>
      </c>
    </row>
    <row r="769" spans="24:25" x14ac:dyDescent="0.25">
      <c r="X769" s="101">
        <v>764</v>
      </c>
      <c r="Y769" s="120">
        <f t="shared" si="11"/>
        <v>142</v>
      </c>
    </row>
    <row r="770" spans="24:25" x14ac:dyDescent="0.25">
      <c r="X770" s="101">
        <v>765</v>
      </c>
      <c r="Y770" s="120">
        <f t="shared" si="11"/>
        <v>142</v>
      </c>
    </row>
    <row r="771" spans="24:25" x14ac:dyDescent="0.25">
      <c r="X771" s="101">
        <v>766</v>
      </c>
      <c r="Y771" s="120">
        <f t="shared" si="11"/>
        <v>142</v>
      </c>
    </row>
    <row r="772" spans="24:25" x14ac:dyDescent="0.25">
      <c r="X772" s="101">
        <v>767</v>
      </c>
      <c r="Y772" s="120">
        <f t="shared" si="11"/>
        <v>142</v>
      </c>
    </row>
    <row r="773" spans="24:25" x14ac:dyDescent="0.25">
      <c r="X773" s="101">
        <v>768</v>
      </c>
      <c r="Y773" s="120">
        <f t="shared" si="11"/>
        <v>142</v>
      </c>
    </row>
    <row r="774" spans="24:25" x14ac:dyDescent="0.25">
      <c r="X774" s="101">
        <v>769</v>
      </c>
      <c r="Y774" s="120">
        <f t="shared" ref="Y774:Y837" si="12">INDEX(inhale_driver_table,INT(100*(X774/ticks_per_inhale))+1)</f>
        <v>142</v>
      </c>
    </row>
    <row r="775" spans="24:25" x14ac:dyDescent="0.25">
      <c r="X775" s="101">
        <v>770</v>
      </c>
      <c r="Y775" s="120">
        <f t="shared" si="12"/>
        <v>142</v>
      </c>
    </row>
    <row r="776" spans="24:25" x14ac:dyDescent="0.25">
      <c r="X776" s="101">
        <v>771</v>
      </c>
      <c r="Y776" s="120">
        <f t="shared" si="12"/>
        <v>142</v>
      </c>
    </row>
    <row r="777" spans="24:25" x14ac:dyDescent="0.25">
      <c r="X777" s="101">
        <v>772</v>
      </c>
      <c r="Y777" s="120">
        <f t="shared" si="12"/>
        <v>142</v>
      </c>
    </row>
    <row r="778" spans="24:25" x14ac:dyDescent="0.25">
      <c r="X778" s="101">
        <v>773</v>
      </c>
      <c r="Y778" s="120">
        <f t="shared" si="12"/>
        <v>142</v>
      </c>
    </row>
    <row r="779" spans="24:25" x14ac:dyDescent="0.25">
      <c r="X779" s="101">
        <v>774</v>
      </c>
      <c r="Y779" s="120">
        <f t="shared" si="12"/>
        <v>142</v>
      </c>
    </row>
    <row r="780" spans="24:25" x14ac:dyDescent="0.25">
      <c r="X780" s="101">
        <v>775</v>
      </c>
      <c r="Y780" s="120">
        <f t="shared" si="12"/>
        <v>142</v>
      </c>
    </row>
    <row r="781" spans="24:25" x14ac:dyDescent="0.25">
      <c r="X781" s="101">
        <v>776</v>
      </c>
      <c r="Y781" s="120">
        <f t="shared" si="12"/>
        <v>142</v>
      </c>
    </row>
    <row r="782" spans="24:25" x14ac:dyDescent="0.25">
      <c r="X782" s="101">
        <v>777</v>
      </c>
      <c r="Y782" s="120">
        <f t="shared" si="12"/>
        <v>142</v>
      </c>
    </row>
    <row r="783" spans="24:25" x14ac:dyDescent="0.25">
      <c r="X783" s="101">
        <v>778</v>
      </c>
      <c r="Y783" s="120">
        <f t="shared" si="12"/>
        <v>142</v>
      </c>
    </row>
    <row r="784" spans="24:25" x14ac:dyDescent="0.25">
      <c r="X784" s="101">
        <v>779</v>
      </c>
      <c r="Y784" s="120">
        <f t="shared" si="12"/>
        <v>142</v>
      </c>
    </row>
    <row r="785" spans="24:25" x14ac:dyDescent="0.25">
      <c r="X785" s="101">
        <v>780</v>
      </c>
      <c r="Y785" s="120">
        <f t="shared" si="12"/>
        <v>146</v>
      </c>
    </row>
    <row r="786" spans="24:25" x14ac:dyDescent="0.25">
      <c r="X786" s="101">
        <v>781</v>
      </c>
      <c r="Y786" s="120">
        <f t="shared" si="12"/>
        <v>146</v>
      </c>
    </row>
    <row r="787" spans="24:25" x14ac:dyDescent="0.25">
      <c r="X787" s="101">
        <v>782</v>
      </c>
      <c r="Y787" s="120">
        <f t="shared" si="12"/>
        <v>146</v>
      </c>
    </row>
    <row r="788" spans="24:25" x14ac:dyDescent="0.25">
      <c r="X788" s="101">
        <v>783</v>
      </c>
      <c r="Y788" s="120">
        <f t="shared" si="12"/>
        <v>146</v>
      </c>
    </row>
    <row r="789" spans="24:25" x14ac:dyDescent="0.25">
      <c r="X789" s="101">
        <v>784</v>
      </c>
      <c r="Y789" s="120">
        <f t="shared" si="12"/>
        <v>146</v>
      </c>
    </row>
    <row r="790" spans="24:25" x14ac:dyDescent="0.25">
      <c r="X790" s="101">
        <v>785</v>
      </c>
      <c r="Y790" s="120">
        <f t="shared" si="12"/>
        <v>146</v>
      </c>
    </row>
    <row r="791" spans="24:25" x14ac:dyDescent="0.25">
      <c r="X791" s="101">
        <v>786</v>
      </c>
      <c r="Y791" s="120">
        <f t="shared" si="12"/>
        <v>146</v>
      </c>
    </row>
    <row r="792" spans="24:25" x14ac:dyDescent="0.25">
      <c r="X792" s="101">
        <v>787</v>
      </c>
      <c r="Y792" s="120">
        <f t="shared" si="12"/>
        <v>146</v>
      </c>
    </row>
    <row r="793" spans="24:25" x14ac:dyDescent="0.25">
      <c r="X793" s="101">
        <v>788</v>
      </c>
      <c r="Y793" s="120">
        <f t="shared" si="12"/>
        <v>146</v>
      </c>
    </row>
    <row r="794" spans="24:25" x14ac:dyDescent="0.25">
      <c r="X794" s="101">
        <v>789</v>
      </c>
      <c r="Y794" s="120">
        <f t="shared" si="12"/>
        <v>146</v>
      </c>
    </row>
    <row r="795" spans="24:25" x14ac:dyDescent="0.25">
      <c r="X795" s="101">
        <v>790</v>
      </c>
      <c r="Y795" s="120">
        <f t="shared" si="12"/>
        <v>146</v>
      </c>
    </row>
    <row r="796" spans="24:25" x14ac:dyDescent="0.25">
      <c r="X796" s="101">
        <v>791</v>
      </c>
      <c r="Y796" s="120">
        <f t="shared" si="12"/>
        <v>146</v>
      </c>
    </row>
    <row r="797" spans="24:25" x14ac:dyDescent="0.25">
      <c r="X797" s="101">
        <v>792</v>
      </c>
      <c r="Y797" s="120">
        <f t="shared" si="12"/>
        <v>146</v>
      </c>
    </row>
    <row r="798" spans="24:25" x14ac:dyDescent="0.25">
      <c r="X798" s="101">
        <v>793</v>
      </c>
      <c r="Y798" s="120">
        <f t="shared" si="12"/>
        <v>146</v>
      </c>
    </row>
    <row r="799" spans="24:25" x14ac:dyDescent="0.25">
      <c r="X799" s="101">
        <v>794</v>
      </c>
      <c r="Y799" s="120">
        <f t="shared" si="12"/>
        <v>146</v>
      </c>
    </row>
    <row r="800" spans="24:25" x14ac:dyDescent="0.25">
      <c r="X800" s="101">
        <v>795</v>
      </c>
      <c r="Y800" s="120">
        <f t="shared" si="12"/>
        <v>146</v>
      </c>
    </row>
    <row r="801" spans="24:25" x14ac:dyDescent="0.25">
      <c r="X801" s="101">
        <v>796</v>
      </c>
      <c r="Y801" s="120">
        <f t="shared" si="12"/>
        <v>146</v>
      </c>
    </row>
    <row r="802" spans="24:25" x14ac:dyDescent="0.25">
      <c r="X802" s="101">
        <v>797</v>
      </c>
      <c r="Y802" s="120">
        <f t="shared" si="12"/>
        <v>146</v>
      </c>
    </row>
    <row r="803" spans="24:25" x14ac:dyDescent="0.25">
      <c r="X803" s="101">
        <v>798</v>
      </c>
      <c r="Y803" s="120">
        <f t="shared" si="12"/>
        <v>146</v>
      </c>
    </row>
    <row r="804" spans="24:25" x14ac:dyDescent="0.25">
      <c r="X804" s="101">
        <v>799</v>
      </c>
      <c r="Y804" s="120">
        <f t="shared" si="12"/>
        <v>146</v>
      </c>
    </row>
    <row r="805" spans="24:25" x14ac:dyDescent="0.25">
      <c r="X805" s="101">
        <v>800</v>
      </c>
      <c r="Y805" s="120">
        <f t="shared" si="12"/>
        <v>150</v>
      </c>
    </row>
    <row r="806" spans="24:25" x14ac:dyDescent="0.25">
      <c r="X806" s="101">
        <v>801</v>
      </c>
      <c r="Y806" s="120">
        <f t="shared" si="12"/>
        <v>150</v>
      </c>
    </row>
    <row r="807" spans="24:25" x14ac:dyDescent="0.25">
      <c r="X807" s="101">
        <v>802</v>
      </c>
      <c r="Y807" s="120">
        <f t="shared" si="12"/>
        <v>150</v>
      </c>
    </row>
    <row r="808" spans="24:25" x14ac:dyDescent="0.25">
      <c r="X808" s="101">
        <v>803</v>
      </c>
      <c r="Y808" s="120">
        <f t="shared" si="12"/>
        <v>150</v>
      </c>
    </row>
    <row r="809" spans="24:25" x14ac:dyDescent="0.25">
      <c r="X809" s="101">
        <v>804</v>
      </c>
      <c r="Y809" s="120">
        <f t="shared" si="12"/>
        <v>150</v>
      </c>
    </row>
    <row r="810" spans="24:25" x14ac:dyDescent="0.25">
      <c r="X810" s="101">
        <v>805</v>
      </c>
      <c r="Y810" s="120">
        <f t="shared" si="12"/>
        <v>150</v>
      </c>
    </row>
    <row r="811" spans="24:25" x14ac:dyDescent="0.25">
      <c r="X811" s="101">
        <v>806</v>
      </c>
      <c r="Y811" s="120">
        <f t="shared" si="12"/>
        <v>150</v>
      </c>
    </row>
    <row r="812" spans="24:25" x14ac:dyDescent="0.25">
      <c r="X812" s="101">
        <v>807</v>
      </c>
      <c r="Y812" s="120">
        <f t="shared" si="12"/>
        <v>150</v>
      </c>
    </row>
    <row r="813" spans="24:25" x14ac:dyDescent="0.25">
      <c r="X813" s="101">
        <v>808</v>
      </c>
      <c r="Y813" s="120">
        <f t="shared" si="12"/>
        <v>150</v>
      </c>
    </row>
    <row r="814" spans="24:25" x14ac:dyDescent="0.25">
      <c r="X814" s="101">
        <v>809</v>
      </c>
      <c r="Y814" s="120">
        <f t="shared" si="12"/>
        <v>150</v>
      </c>
    </row>
    <row r="815" spans="24:25" x14ac:dyDescent="0.25">
      <c r="X815" s="101">
        <v>810</v>
      </c>
      <c r="Y815" s="120">
        <f t="shared" si="12"/>
        <v>150</v>
      </c>
    </row>
    <row r="816" spans="24:25" x14ac:dyDescent="0.25">
      <c r="X816" s="101">
        <v>811</v>
      </c>
      <c r="Y816" s="120">
        <f t="shared" si="12"/>
        <v>150</v>
      </c>
    </row>
    <row r="817" spans="24:25" x14ac:dyDescent="0.25">
      <c r="X817" s="101">
        <v>812</v>
      </c>
      <c r="Y817" s="120">
        <f t="shared" si="12"/>
        <v>150</v>
      </c>
    </row>
    <row r="818" spans="24:25" x14ac:dyDescent="0.25">
      <c r="X818" s="101">
        <v>813</v>
      </c>
      <c r="Y818" s="120">
        <f t="shared" si="12"/>
        <v>150</v>
      </c>
    </row>
    <row r="819" spans="24:25" x14ac:dyDescent="0.25">
      <c r="X819" s="101">
        <v>814</v>
      </c>
      <c r="Y819" s="120">
        <f t="shared" si="12"/>
        <v>150</v>
      </c>
    </row>
    <row r="820" spans="24:25" x14ac:dyDescent="0.25">
      <c r="X820" s="101">
        <v>815</v>
      </c>
      <c r="Y820" s="120">
        <f t="shared" si="12"/>
        <v>150</v>
      </c>
    </row>
    <row r="821" spans="24:25" x14ac:dyDescent="0.25">
      <c r="X821" s="101">
        <v>816</v>
      </c>
      <c r="Y821" s="120">
        <f t="shared" si="12"/>
        <v>150</v>
      </c>
    </row>
    <row r="822" spans="24:25" x14ac:dyDescent="0.25">
      <c r="X822" s="101">
        <v>817</v>
      </c>
      <c r="Y822" s="120">
        <f t="shared" si="12"/>
        <v>150</v>
      </c>
    </row>
    <row r="823" spans="24:25" x14ac:dyDescent="0.25">
      <c r="X823" s="101">
        <v>818</v>
      </c>
      <c r="Y823" s="120">
        <f t="shared" si="12"/>
        <v>150</v>
      </c>
    </row>
    <row r="824" spans="24:25" x14ac:dyDescent="0.25">
      <c r="X824" s="101">
        <v>819</v>
      </c>
      <c r="Y824" s="120">
        <f t="shared" si="12"/>
        <v>150</v>
      </c>
    </row>
    <row r="825" spans="24:25" x14ac:dyDescent="0.25">
      <c r="X825" s="101">
        <v>820</v>
      </c>
      <c r="Y825" s="120">
        <f t="shared" si="12"/>
        <v>155</v>
      </c>
    </row>
    <row r="826" spans="24:25" x14ac:dyDescent="0.25">
      <c r="X826" s="101">
        <v>821</v>
      </c>
      <c r="Y826" s="120">
        <f t="shared" si="12"/>
        <v>155</v>
      </c>
    </row>
    <row r="827" spans="24:25" x14ac:dyDescent="0.25">
      <c r="X827" s="101">
        <v>822</v>
      </c>
      <c r="Y827" s="120">
        <f t="shared" si="12"/>
        <v>155</v>
      </c>
    </row>
    <row r="828" spans="24:25" x14ac:dyDescent="0.25">
      <c r="X828" s="101">
        <v>823</v>
      </c>
      <c r="Y828" s="120">
        <f t="shared" si="12"/>
        <v>155</v>
      </c>
    </row>
    <row r="829" spans="24:25" x14ac:dyDescent="0.25">
      <c r="X829" s="101">
        <v>824</v>
      </c>
      <c r="Y829" s="120">
        <f t="shared" si="12"/>
        <v>155</v>
      </c>
    </row>
    <row r="830" spans="24:25" x14ac:dyDescent="0.25">
      <c r="X830" s="101">
        <v>825</v>
      </c>
      <c r="Y830" s="120">
        <f t="shared" si="12"/>
        <v>155</v>
      </c>
    </row>
    <row r="831" spans="24:25" x14ac:dyDescent="0.25">
      <c r="X831" s="101">
        <v>826</v>
      </c>
      <c r="Y831" s="120">
        <f t="shared" si="12"/>
        <v>155</v>
      </c>
    </row>
    <row r="832" spans="24:25" x14ac:dyDescent="0.25">
      <c r="X832" s="101">
        <v>827</v>
      </c>
      <c r="Y832" s="120">
        <f t="shared" si="12"/>
        <v>155</v>
      </c>
    </row>
    <row r="833" spans="24:25" x14ac:dyDescent="0.25">
      <c r="X833" s="101">
        <v>828</v>
      </c>
      <c r="Y833" s="120">
        <f t="shared" si="12"/>
        <v>155</v>
      </c>
    </row>
    <row r="834" spans="24:25" x14ac:dyDescent="0.25">
      <c r="X834" s="101">
        <v>829</v>
      </c>
      <c r="Y834" s="120">
        <f t="shared" si="12"/>
        <v>155</v>
      </c>
    </row>
    <row r="835" spans="24:25" x14ac:dyDescent="0.25">
      <c r="X835" s="101">
        <v>830</v>
      </c>
      <c r="Y835" s="120">
        <f t="shared" si="12"/>
        <v>155</v>
      </c>
    </row>
    <row r="836" spans="24:25" x14ac:dyDescent="0.25">
      <c r="X836" s="101">
        <v>831</v>
      </c>
      <c r="Y836" s="120">
        <f t="shared" si="12"/>
        <v>155</v>
      </c>
    </row>
    <row r="837" spans="24:25" x14ac:dyDescent="0.25">
      <c r="X837" s="101">
        <v>832</v>
      </c>
      <c r="Y837" s="120">
        <f t="shared" si="12"/>
        <v>155</v>
      </c>
    </row>
    <row r="838" spans="24:25" x14ac:dyDescent="0.25">
      <c r="X838" s="101">
        <v>833</v>
      </c>
      <c r="Y838" s="120">
        <f t="shared" ref="Y838:Y901" si="13">INDEX(inhale_driver_table,INT(100*(X838/ticks_per_inhale))+1)</f>
        <v>155</v>
      </c>
    </row>
    <row r="839" spans="24:25" x14ac:dyDescent="0.25">
      <c r="X839" s="101">
        <v>834</v>
      </c>
      <c r="Y839" s="120">
        <f t="shared" si="13"/>
        <v>155</v>
      </c>
    </row>
    <row r="840" spans="24:25" x14ac:dyDescent="0.25">
      <c r="X840" s="101">
        <v>835</v>
      </c>
      <c r="Y840" s="120">
        <f t="shared" si="13"/>
        <v>155</v>
      </c>
    </row>
    <row r="841" spans="24:25" x14ac:dyDescent="0.25">
      <c r="X841" s="101">
        <v>836</v>
      </c>
      <c r="Y841" s="120">
        <f t="shared" si="13"/>
        <v>155</v>
      </c>
    </row>
    <row r="842" spans="24:25" x14ac:dyDescent="0.25">
      <c r="X842" s="101">
        <v>837</v>
      </c>
      <c r="Y842" s="120">
        <f t="shared" si="13"/>
        <v>155</v>
      </c>
    </row>
    <row r="843" spans="24:25" x14ac:dyDescent="0.25">
      <c r="X843" s="101">
        <v>838</v>
      </c>
      <c r="Y843" s="120">
        <f t="shared" si="13"/>
        <v>155</v>
      </c>
    </row>
    <row r="844" spans="24:25" x14ac:dyDescent="0.25">
      <c r="X844" s="101">
        <v>839</v>
      </c>
      <c r="Y844" s="120">
        <f t="shared" si="13"/>
        <v>155</v>
      </c>
    </row>
    <row r="845" spans="24:25" x14ac:dyDescent="0.25">
      <c r="X845" s="101">
        <v>840</v>
      </c>
      <c r="Y845" s="120">
        <f t="shared" si="13"/>
        <v>160</v>
      </c>
    </row>
    <row r="846" spans="24:25" x14ac:dyDescent="0.25">
      <c r="X846" s="101">
        <v>841</v>
      </c>
      <c r="Y846" s="120">
        <f t="shared" si="13"/>
        <v>160</v>
      </c>
    </row>
    <row r="847" spans="24:25" x14ac:dyDescent="0.25">
      <c r="X847" s="101">
        <v>842</v>
      </c>
      <c r="Y847" s="120">
        <f t="shared" si="13"/>
        <v>160</v>
      </c>
    </row>
    <row r="848" spans="24:25" x14ac:dyDescent="0.25">
      <c r="X848" s="101">
        <v>843</v>
      </c>
      <c r="Y848" s="120">
        <f t="shared" si="13"/>
        <v>160</v>
      </c>
    </row>
    <row r="849" spans="24:25" x14ac:dyDescent="0.25">
      <c r="X849" s="101">
        <v>844</v>
      </c>
      <c r="Y849" s="120">
        <f t="shared" si="13"/>
        <v>160</v>
      </c>
    </row>
    <row r="850" spans="24:25" x14ac:dyDescent="0.25">
      <c r="X850" s="101">
        <v>845</v>
      </c>
      <c r="Y850" s="120">
        <f t="shared" si="13"/>
        <v>160</v>
      </c>
    </row>
    <row r="851" spans="24:25" x14ac:dyDescent="0.25">
      <c r="X851" s="101">
        <v>846</v>
      </c>
      <c r="Y851" s="120">
        <f t="shared" si="13"/>
        <v>160</v>
      </c>
    </row>
    <row r="852" spans="24:25" x14ac:dyDescent="0.25">
      <c r="X852" s="101">
        <v>847</v>
      </c>
      <c r="Y852" s="120">
        <f t="shared" si="13"/>
        <v>160</v>
      </c>
    </row>
    <row r="853" spans="24:25" x14ac:dyDescent="0.25">
      <c r="X853" s="101">
        <v>848</v>
      </c>
      <c r="Y853" s="120">
        <f t="shared" si="13"/>
        <v>160</v>
      </c>
    </row>
    <row r="854" spans="24:25" x14ac:dyDescent="0.25">
      <c r="X854" s="101">
        <v>849</v>
      </c>
      <c r="Y854" s="120">
        <f t="shared" si="13"/>
        <v>160</v>
      </c>
    </row>
    <row r="855" spans="24:25" x14ac:dyDescent="0.25">
      <c r="X855" s="101">
        <v>850</v>
      </c>
      <c r="Y855" s="120">
        <f t="shared" si="13"/>
        <v>160</v>
      </c>
    </row>
    <row r="856" spans="24:25" x14ac:dyDescent="0.25">
      <c r="X856" s="101">
        <v>851</v>
      </c>
      <c r="Y856" s="120">
        <f t="shared" si="13"/>
        <v>160</v>
      </c>
    </row>
    <row r="857" spans="24:25" x14ac:dyDescent="0.25">
      <c r="X857" s="101">
        <v>852</v>
      </c>
      <c r="Y857" s="120">
        <f t="shared" si="13"/>
        <v>160</v>
      </c>
    </row>
    <row r="858" spans="24:25" x14ac:dyDescent="0.25">
      <c r="X858" s="101">
        <v>853</v>
      </c>
      <c r="Y858" s="120">
        <f t="shared" si="13"/>
        <v>160</v>
      </c>
    </row>
    <row r="859" spans="24:25" x14ac:dyDescent="0.25">
      <c r="X859" s="101">
        <v>854</v>
      </c>
      <c r="Y859" s="120">
        <f t="shared" si="13"/>
        <v>160</v>
      </c>
    </row>
    <row r="860" spans="24:25" x14ac:dyDescent="0.25">
      <c r="X860" s="101">
        <v>855</v>
      </c>
      <c r="Y860" s="120">
        <f t="shared" si="13"/>
        <v>160</v>
      </c>
    </row>
    <row r="861" spans="24:25" x14ac:dyDescent="0.25">
      <c r="X861" s="101">
        <v>856</v>
      </c>
      <c r="Y861" s="120">
        <f t="shared" si="13"/>
        <v>160</v>
      </c>
    </row>
    <row r="862" spans="24:25" x14ac:dyDescent="0.25">
      <c r="X862" s="101">
        <v>857</v>
      </c>
      <c r="Y862" s="120">
        <f t="shared" si="13"/>
        <v>160</v>
      </c>
    </row>
    <row r="863" spans="24:25" x14ac:dyDescent="0.25">
      <c r="X863" s="101">
        <v>858</v>
      </c>
      <c r="Y863" s="120">
        <f t="shared" si="13"/>
        <v>160</v>
      </c>
    </row>
    <row r="864" spans="24:25" x14ac:dyDescent="0.25">
      <c r="X864" s="101">
        <v>859</v>
      </c>
      <c r="Y864" s="120">
        <f t="shared" si="13"/>
        <v>160</v>
      </c>
    </row>
    <row r="865" spans="24:25" x14ac:dyDescent="0.25">
      <c r="X865" s="101">
        <v>860</v>
      </c>
      <c r="Y865" s="120">
        <f t="shared" si="13"/>
        <v>165</v>
      </c>
    </row>
    <row r="866" spans="24:25" x14ac:dyDescent="0.25">
      <c r="X866" s="101">
        <v>861</v>
      </c>
      <c r="Y866" s="120">
        <f t="shared" si="13"/>
        <v>165</v>
      </c>
    </row>
    <row r="867" spans="24:25" x14ac:dyDescent="0.25">
      <c r="X867" s="101">
        <v>862</v>
      </c>
      <c r="Y867" s="120">
        <f t="shared" si="13"/>
        <v>165</v>
      </c>
    </row>
    <row r="868" spans="24:25" x14ac:dyDescent="0.25">
      <c r="X868" s="101">
        <v>863</v>
      </c>
      <c r="Y868" s="120">
        <f t="shared" si="13"/>
        <v>165</v>
      </c>
    </row>
    <row r="869" spans="24:25" x14ac:dyDescent="0.25">
      <c r="X869" s="101">
        <v>864</v>
      </c>
      <c r="Y869" s="120">
        <f t="shared" si="13"/>
        <v>165</v>
      </c>
    </row>
    <row r="870" spans="24:25" x14ac:dyDescent="0.25">
      <c r="X870" s="101">
        <v>865</v>
      </c>
      <c r="Y870" s="120">
        <f t="shared" si="13"/>
        <v>165</v>
      </c>
    </row>
    <row r="871" spans="24:25" x14ac:dyDescent="0.25">
      <c r="X871" s="101">
        <v>866</v>
      </c>
      <c r="Y871" s="120">
        <f t="shared" si="13"/>
        <v>165</v>
      </c>
    </row>
    <row r="872" spans="24:25" x14ac:dyDescent="0.25">
      <c r="X872" s="101">
        <v>867</v>
      </c>
      <c r="Y872" s="120">
        <f t="shared" si="13"/>
        <v>165</v>
      </c>
    </row>
    <row r="873" spans="24:25" x14ac:dyDescent="0.25">
      <c r="X873" s="101">
        <v>868</v>
      </c>
      <c r="Y873" s="120">
        <f t="shared" si="13"/>
        <v>165</v>
      </c>
    </row>
    <row r="874" spans="24:25" x14ac:dyDescent="0.25">
      <c r="X874" s="101">
        <v>869</v>
      </c>
      <c r="Y874" s="120">
        <f t="shared" si="13"/>
        <v>165</v>
      </c>
    </row>
    <row r="875" spans="24:25" x14ac:dyDescent="0.25">
      <c r="X875" s="101">
        <v>870</v>
      </c>
      <c r="Y875" s="120">
        <f t="shared" si="13"/>
        <v>165</v>
      </c>
    </row>
    <row r="876" spans="24:25" x14ac:dyDescent="0.25">
      <c r="X876" s="101">
        <v>871</v>
      </c>
      <c r="Y876" s="120">
        <f t="shared" si="13"/>
        <v>165</v>
      </c>
    </row>
    <row r="877" spans="24:25" x14ac:dyDescent="0.25">
      <c r="X877" s="101">
        <v>872</v>
      </c>
      <c r="Y877" s="120">
        <f t="shared" si="13"/>
        <v>165</v>
      </c>
    </row>
    <row r="878" spans="24:25" x14ac:dyDescent="0.25">
      <c r="X878" s="101">
        <v>873</v>
      </c>
      <c r="Y878" s="120">
        <f t="shared" si="13"/>
        <v>165</v>
      </c>
    </row>
    <row r="879" spans="24:25" x14ac:dyDescent="0.25">
      <c r="X879" s="101">
        <v>874</v>
      </c>
      <c r="Y879" s="120">
        <f t="shared" si="13"/>
        <v>165</v>
      </c>
    </row>
    <row r="880" spans="24:25" x14ac:dyDescent="0.25">
      <c r="X880" s="101">
        <v>875</v>
      </c>
      <c r="Y880" s="120">
        <f t="shared" si="13"/>
        <v>165</v>
      </c>
    </row>
    <row r="881" spans="24:25" x14ac:dyDescent="0.25">
      <c r="X881" s="101">
        <v>876</v>
      </c>
      <c r="Y881" s="120">
        <f t="shared" si="13"/>
        <v>165</v>
      </c>
    </row>
    <row r="882" spans="24:25" x14ac:dyDescent="0.25">
      <c r="X882" s="101">
        <v>877</v>
      </c>
      <c r="Y882" s="120">
        <f t="shared" si="13"/>
        <v>165</v>
      </c>
    </row>
    <row r="883" spans="24:25" x14ac:dyDescent="0.25">
      <c r="X883" s="101">
        <v>878</v>
      </c>
      <c r="Y883" s="120">
        <f t="shared" si="13"/>
        <v>165</v>
      </c>
    </row>
    <row r="884" spans="24:25" x14ac:dyDescent="0.25">
      <c r="X884" s="101">
        <v>879</v>
      </c>
      <c r="Y884" s="120">
        <f t="shared" si="13"/>
        <v>165</v>
      </c>
    </row>
    <row r="885" spans="24:25" x14ac:dyDescent="0.25">
      <c r="X885" s="101">
        <v>880</v>
      </c>
      <c r="Y885" s="120">
        <f t="shared" si="13"/>
        <v>170</v>
      </c>
    </row>
    <row r="886" spans="24:25" x14ac:dyDescent="0.25">
      <c r="X886" s="101">
        <v>881</v>
      </c>
      <c r="Y886" s="120">
        <f t="shared" si="13"/>
        <v>170</v>
      </c>
    </row>
    <row r="887" spans="24:25" x14ac:dyDescent="0.25">
      <c r="X887" s="101">
        <v>882</v>
      </c>
      <c r="Y887" s="120">
        <f t="shared" si="13"/>
        <v>170</v>
      </c>
    </row>
    <row r="888" spans="24:25" x14ac:dyDescent="0.25">
      <c r="X888" s="101">
        <v>883</v>
      </c>
      <c r="Y888" s="120">
        <f t="shared" si="13"/>
        <v>170</v>
      </c>
    </row>
    <row r="889" spans="24:25" x14ac:dyDescent="0.25">
      <c r="X889" s="101">
        <v>884</v>
      </c>
      <c r="Y889" s="120">
        <f t="shared" si="13"/>
        <v>170</v>
      </c>
    </row>
    <row r="890" spans="24:25" x14ac:dyDescent="0.25">
      <c r="X890" s="101">
        <v>885</v>
      </c>
      <c r="Y890" s="120">
        <f t="shared" si="13"/>
        <v>170</v>
      </c>
    </row>
    <row r="891" spans="24:25" x14ac:dyDescent="0.25">
      <c r="X891" s="101">
        <v>886</v>
      </c>
      <c r="Y891" s="120">
        <f t="shared" si="13"/>
        <v>170</v>
      </c>
    </row>
    <row r="892" spans="24:25" x14ac:dyDescent="0.25">
      <c r="X892" s="101">
        <v>887</v>
      </c>
      <c r="Y892" s="120">
        <f t="shared" si="13"/>
        <v>170</v>
      </c>
    </row>
    <row r="893" spans="24:25" x14ac:dyDescent="0.25">
      <c r="X893" s="101">
        <v>888</v>
      </c>
      <c r="Y893" s="120">
        <f t="shared" si="13"/>
        <v>170</v>
      </c>
    </row>
    <row r="894" spans="24:25" x14ac:dyDescent="0.25">
      <c r="X894" s="101">
        <v>889</v>
      </c>
      <c r="Y894" s="120">
        <f t="shared" si="13"/>
        <v>170</v>
      </c>
    </row>
    <row r="895" spans="24:25" x14ac:dyDescent="0.25">
      <c r="X895" s="101">
        <v>890</v>
      </c>
      <c r="Y895" s="120">
        <f t="shared" si="13"/>
        <v>170</v>
      </c>
    </row>
    <row r="896" spans="24:25" x14ac:dyDescent="0.25">
      <c r="X896" s="101">
        <v>891</v>
      </c>
      <c r="Y896" s="120">
        <f t="shared" si="13"/>
        <v>170</v>
      </c>
    </row>
    <row r="897" spans="24:25" x14ac:dyDescent="0.25">
      <c r="X897" s="101">
        <v>892</v>
      </c>
      <c r="Y897" s="120">
        <f t="shared" si="13"/>
        <v>170</v>
      </c>
    </row>
    <row r="898" spans="24:25" x14ac:dyDescent="0.25">
      <c r="X898" s="101">
        <v>893</v>
      </c>
      <c r="Y898" s="120">
        <f t="shared" si="13"/>
        <v>170</v>
      </c>
    </row>
    <row r="899" spans="24:25" x14ac:dyDescent="0.25">
      <c r="X899" s="101">
        <v>894</v>
      </c>
      <c r="Y899" s="120">
        <f t="shared" si="13"/>
        <v>170</v>
      </c>
    </row>
    <row r="900" spans="24:25" x14ac:dyDescent="0.25">
      <c r="X900" s="101">
        <v>895</v>
      </c>
      <c r="Y900" s="120">
        <f t="shared" si="13"/>
        <v>170</v>
      </c>
    </row>
    <row r="901" spans="24:25" x14ac:dyDescent="0.25">
      <c r="X901" s="101">
        <v>896</v>
      </c>
      <c r="Y901" s="120">
        <f t="shared" si="13"/>
        <v>170</v>
      </c>
    </row>
    <row r="902" spans="24:25" x14ac:dyDescent="0.25">
      <c r="X902" s="101">
        <v>897</v>
      </c>
      <c r="Y902" s="120">
        <f t="shared" ref="Y902:Y965" si="14">INDEX(inhale_driver_table,INT(100*(X902/ticks_per_inhale))+1)</f>
        <v>170</v>
      </c>
    </row>
    <row r="903" spans="24:25" x14ac:dyDescent="0.25">
      <c r="X903" s="101">
        <v>898</v>
      </c>
      <c r="Y903" s="120">
        <f t="shared" si="14"/>
        <v>170</v>
      </c>
    </row>
    <row r="904" spans="24:25" x14ac:dyDescent="0.25">
      <c r="X904" s="101">
        <v>899</v>
      </c>
      <c r="Y904" s="120">
        <f t="shared" si="14"/>
        <v>170</v>
      </c>
    </row>
    <row r="905" spans="24:25" x14ac:dyDescent="0.25">
      <c r="X905" s="101">
        <v>900</v>
      </c>
      <c r="Y905" s="120">
        <f t="shared" si="14"/>
        <v>175</v>
      </c>
    </row>
    <row r="906" spans="24:25" x14ac:dyDescent="0.25">
      <c r="X906" s="101">
        <v>901</v>
      </c>
      <c r="Y906" s="120">
        <f t="shared" si="14"/>
        <v>175</v>
      </c>
    </row>
    <row r="907" spans="24:25" x14ac:dyDescent="0.25">
      <c r="X907" s="101">
        <v>902</v>
      </c>
      <c r="Y907" s="120">
        <f t="shared" si="14"/>
        <v>175</v>
      </c>
    </row>
    <row r="908" spans="24:25" x14ac:dyDescent="0.25">
      <c r="X908" s="101">
        <v>903</v>
      </c>
      <c r="Y908" s="120">
        <f t="shared" si="14"/>
        <v>175</v>
      </c>
    </row>
    <row r="909" spans="24:25" x14ac:dyDescent="0.25">
      <c r="X909" s="101">
        <v>904</v>
      </c>
      <c r="Y909" s="120">
        <f t="shared" si="14"/>
        <v>175</v>
      </c>
    </row>
    <row r="910" spans="24:25" x14ac:dyDescent="0.25">
      <c r="X910" s="101">
        <v>905</v>
      </c>
      <c r="Y910" s="120">
        <f t="shared" si="14"/>
        <v>175</v>
      </c>
    </row>
    <row r="911" spans="24:25" x14ac:dyDescent="0.25">
      <c r="X911" s="101">
        <v>906</v>
      </c>
      <c r="Y911" s="120">
        <f t="shared" si="14"/>
        <v>175</v>
      </c>
    </row>
    <row r="912" spans="24:25" x14ac:dyDescent="0.25">
      <c r="X912" s="101">
        <v>907</v>
      </c>
      <c r="Y912" s="120">
        <f t="shared" si="14"/>
        <v>175</v>
      </c>
    </row>
    <row r="913" spans="24:25" x14ac:dyDescent="0.25">
      <c r="X913" s="101">
        <v>908</v>
      </c>
      <c r="Y913" s="120">
        <f t="shared" si="14"/>
        <v>175</v>
      </c>
    </row>
    <row r="914" spans="24:25" x14ac:dyDescent="0.25">
      <c r="X914" s="101">
        <v>909</v>
      </c>
      <c r="Y914" s="120">
        <f t="shared" si="14"/>
        <v>175</v>
      </c>
    </row>
    <row r="915" spans="24:25" x14ac:dyDescent="0.25">
      <c r="X915" s="101">
        <v>910</v>
      </c>
      <c r="Y915" s="120">
        <f t="shared" si="14"/>
        <v>175</v>
      </c>
    </row>
    <row r="916" spans="24:25" x14ac:dyDescent="0.25">
      <c r="X916" s="101">
        <v>911</v>
      </c>
      <c r="Y916" s="120">
        <f t="shared" si="14"/>
        <v>175</v>
      </c>
    </row>
    <row r="917" spans="24:25" x14ac:dyDescent="0.25">
      <c r="X917" s="101">
        <v>912</v>
      </c>
      <c r="Y917" s="120">
        <f t="shared" si="14"/>
        <v>175</v>
      </c>
    </row>
    <row r="918" spans="24:25" x14ac:dyDescent="0.25">
      <c r="X918" s="101">
        <v>913</v>
      </c>
      <c r="Y918" s="120">
        <f t="shared" si="14"/>
        <v>175</v>
      </c>
    </row>
    <row r="919" spans="24:25" x14ac:dyDescent="0.25">
      <c r="X919" s="101">
        <v>914</v>
      </c>
      <c r="Y919" s="120">
        <f t="shared" si="14"/>
        <v>175</v>
      </c>
    </row>
    <row r="920" spans="24:25" x14ac:dyDescent="0.25">
      <c r="X920" s="101">
        <v>915</v>
      </c>
      <c r="Y920" s="120">
        <f t="shared" si="14"/>
        <v>175</v>
      </c>
    </row>
    <row r="921" spans="24:25" x14ac:dyDescent="0.25">
      <c r="X921" s="101">
        <v>916</v>
      </c>
      <c r="Y921" s="120">
        <f t="shared" si="14"/>
        <v>175</v>
      </c>
    </row>
    <row r="922" spans="24:25" x14ac:dyDescent="0.25">
      <c r="X922" s="101">
        <v>917</v>
      </c>
      <c r="Y922" s="120">
        <f t="shared" si="14"/>
        <v>175</v>
      </c>
    </row>
    <row r="923" spans="24:25" x14ac:dyDescent="0.25">
      <c r="X923" s="101">
        <v>918</v>
      </c>
      <c r="Y923" s="120">
        <f t="shared" si="14"/>
        <v>175</v>
      </c>
    </row>
    <row r="924" spans="24:25" x14ac:dyDescent="0.25">
      <c r="X924" s="101">
        <v>919</v>
      </c>
      <c r="Y924" s="120">
        <f t="shared" si="14"/>
        <v>175</v>
      </c>
    </row>
    <row r="925" spans="24:25" x14ac:dyDescent="0.25">
      <c r="X925" s="101">
        <v>920</v>
      </c>
      <c r="Y925" s="120">
        <f t="shared" si="14"/>
        <v>180</v>
      </c>
    </row>
    <row r="926" spans="24:25" x14ac:dyDescent="0.25">
      <c r="X926" s="101">
        <v>921</v>
      </c>
      <c r="Y926" s="120">
        <f t="shared" si="14"/>
        <v>180</v>
      </c>
    </row>
    <row r="927" spans="24:25" x14ac:dyDescent="0.25">
      <c r="X927" s="101">
        <v>922</v>
      </c>
      <c r="Y927" s="120">
        <f t="shared" si="14"/>
        <v>180</v>
      </c>
    </row>
    <row r="928" spans="24:25" x14ac:dyDescent="0.25">
      <c r="X928" s="101">
        <v>923</v>
      </c>
      <c r="Y928" s="120">
        <f t="shared" si="14"/>
        <v>180</v>
      </c>
    </row>
    <row r="929" spans="24:25" x14ac:dyDescent="0.25">
      <c r="X929" s="101">
        <v>924</v>
      </c>
      <c r="Y929" s="120">
        <f t="shared" si="14"/>
        <v>180</v>
      </c>
    </row>
    <row r="930" spans="24:25" x14ac:dyDescent="0.25">
      <c r="X930" s="101">
        <v>925</v>
      </c>
      <c r="Y930" s="120">
        <f t="shared" si="14"/>
        <v>180</v>
      </c>
    </row>
    <row r="931" spans="24:25" x14ac:dyDescent="0.25">
      <c r="X931" s="101">
        <v>926</v>
      </c>
      <c r="Y931" s="120">
        <f t="shared" si="14"/>
        <v>180</v>
      </c>
    </row>
    <row r="932" spans="24:25" x14ac:dyDescent="0.25">
      <c r="X932" s="101">
        <v>927</v>
      </c>
      <c r="Y932" s="120">
        <f t="shared" si="14"/>
        <v>180</v>
      </c>
    </row>
    <row r="933" spans="24:25" x14ac:dyDescent="0.25">
      <c r="X933" s="101">
        <v>928</v>
      </c>
      <c r="Y933" s="120">
        <f t="shared" si="14"/>
        <v>180</v>
      </c>
    </row>
    <row r="934" spans="24:25" x14ac:dyDescent="0.25">
      <c r="X934" s="101">
        <v>929</v>
      </c>
      <c r="Y934" s="120">
        <f t="shared" si="14"/>
        <v>180</v>
      </c>
    </row>
    <row r="935" spans="24:25" x14ac:dyDescent="0.25">
      <c r="X935" s="101">
        <v>930</v>
      </c>
      <c r="Y935" s="120">
        <f t="shared" si="14"/>
        <v>180</v>
      </c>
    </row>
    <row r="936" spans="24:25" x14ac:dyDescent="0.25">
      <c r="X936" s="101">
        <v>931</v>
      </c>
      <c r="Y936" s="120">
        <f t="shared" si="14"/>
        <v>180</v>
      </c>
    </row>
    <row r="937" spans="24:25" x14ac:dyDescent="0.25">
      <c r="X937" s="101">
        <v>932</v>
      </c>
      <c r="Y937" s="120">
        <f t="shared" si="14"/>
        <v>180</v>
      </c>
    </row>
    <row r="938" spans="24:25" x14ac:dyDescent="0.25">
      <c r="X938" s="101">
        <v>933</v>
      </c>
      <c r="Y938" s="120">
        <f t="shared" si="14"/>
        <v>180</v>
      </c>
    </row>
    <row r="939" spans="24:25" x14ac:dyDescent="0.25">
      <c r="X939" s="101">
        <v>934</v>
      </c>
      <c r="Y939" s="120">
        <f t="shared" si="14"/>
        <v>180</v>
      </c>
    </row>
    <row r="940" spans="24:25" x14ac:dyDescent="0.25">
      <c r="X940" s="101">
        <v>935</v>
      </c>
      <c r="Y940" s="120">
        <f t="shared" si="14"/>
        <v>180</v>
      </c>
    </row>
    <row r="941" spans="24:25" x14ac:dyDescent="0.25">
      <c r="X941" s="101">
        <v>936</v>
      </c>
      <c r="Y941" s="120">
        <f t="shared" si="14"/>
        <v>180</v>
      </c>
    </row>
    <row r="942" spans="24:25" x14ac:dyDescent="0.25">
      <c r="X942" s="101">
        <v>937</v>
      </c>
      <c r="Y942" s="120">
        <f t="shared" si="14"/>
        <v>180</v>
      </c>
    </row>
    <row r="943" spans="24:25" x14ac:dyDescent="0.25">
      <c r="X943" s="101">
        <v>938</v>
      </c>
      <c r="Y943" s="120">
        <f t="shared" si="14"/>
        <v>180</v>
      </c>
    </row>
    <row r="944" spans="24:25" x14ac:dyDescent="0.25">
      <c r="X944" s="101">
        <v>939</v>
      </c>
      <c r="Y944" s="120">
        <f t="shared" si="14"/>
        <v>180</v>
      </c>
    </row>
    <row r="945" spans="24:25" x14ac:dyDescent="0.25">
      <c r="X945" s="101">
        <v>940</v>
      </c>
      <c r="Y945" s="120">
        <f t="shared" si="14"/>
        <v>185</v>
      </c>
    </row>
    <row r="946" spans="24:25" x14ac:dyDescent="0.25">
      <c r="X946" s="101">
        <v>941</v>
      </c>
      <c r="Y946" s="120">
        <f t="shared" si="14"/>
        <v>185</v>
      </c>
    </row>
    <row r="947" spans="24:25" x14ac:dyDescent="0.25">
      <c r="X947" s="101">
        <v>942</v>
      </c>
      <c r="Y947" s="120">
        <f t="shared" si="14"/>
        <v>185</v>
      </c>
    </row>
    <row r="948" spans="24:25" x14ac:dyDescent="0.25">
      <c r="X948" s="101">
        <v>943</v>
      </c>
      <c r="Y948" s="120">
        <f t="shared" si="14"/>
        <v>185</v>
      </c>
    </row>
    <row r="949" spans="24:25" x14ac:dyDescent="0.25">
      <c r="X949" s="101">
        <v>944</v>
      </c>
      <c r="Y949" s="120">
        <f t="shared" si="14"/>
        <v>185</v>
      </c>
    </row>
    <row r="950" spans="24:25" x14ac:dyDescent="0.25">
      <c r="X950" s="101">
        <v>945</v>
      </c>
      <c r="Y950" s="120">
        <f t="shared" si="14"/>
        <v>185</v>
      </c>
    </row>
    <row r="951" spans="24:25" x14ac:dyDescent="0.25">
      <c r="X951" s="101">
        <v>946</v>
      </c>
      <c r="Y951" s="120">
        <f t="shared" si="14"/>
        <v>185</v>
      </c>
    </row>
    <row r="952" spans="24:25" x14ac:dyDescent="0.25">
      <c r="X952" s="101">
        <v>947</v>
      </c>
      <c r="Y952" s="120">
        <f t="shared" si="14"/>
        <v>185</v>
      </c>
    </row>
    <row r="953" spans="24:25" x14ac:dyDescent="0.25">
      <c r="X953" s="101">
        <v>948</v>
      </c>
      <c r="Y953" s="120">
        <f t="shared" si="14"/>
        <v>185</v>
      </c>
    </row>
    <row r="954" spans="24:25" x14ac:dyDescent="0.25">
      <c r="X954" s="101">
        <v>949</v>
      </c>
      <c r="Y954" s="120">
        <f t="shared" si="14"/>
        <v>185</v>
      </c>
    </row>
    <row r="955" spans="24:25" x14ac:dyDescent="0.25">
      <c r="X955" s="101">
        <v>950</v>
      </c>
      <c r="Y955" s="120">
        <f t="shared" si="14"/>
        <v>185</v>
      </c>
    </row>
    <row r="956" spans="24:25" x14ac:dyDescent="0.25">
      <c r="X956" s="101">
        <v>951</v>
      </c>
      <c r="Y956" s="120">
        <f t="shared" si="14"/>
        <v>185</v>
      </c>
    </row>
    <row r="957" spans="24:25" x14ac:dyDescent="0.25">
      <c r="X957" s="101">
        <v>952</v>
      </c>
      <c r="Y957" s="120">
        <f t="shared" si="14"/>
        <v>185</v>
      </c>
    </row>
    <row r="958" spans="24:25" x14ac:dyDescent="0.25">
      <c r="X958" s="101">
        <v>953</v>
      </c>
      <c r="Y958" s="120">
        <f t="shared" si="14"/>
        <v>185</v>
      </c>
    </row>
    <row r="959" spans="24:25" x14ac:dyDescent="0.25">
      <c r="X959" s="101">
        <v>954</v>
      </c>
      <c r="Y959" s="120">
        <f t="shared" si="14"/>
        <v>185</v>
      </c>
    </row>
    <row r="960" spans="24:25" x14ac:dyDescent="0.25">
      <c r="X960" s="101">
        <v>955</v>
      </c>
      <c r="Y960" s="120">
        <f t="shared" si="14"/>
        <v>185</v>
      </c>
    </row>
    <row r="961" spans="24:25" x14ac:dyDescent="0.25">
      <c r="X961" s="101">
        <v>956</v>
      </c>
      <c r="Y961" s="120">
        <f t="shared" si="14"/>
        <v>185</v>
      </c>
    </row>
    <row r="962" spans="24:25" x14ac:dyDescent="0.25">
      <c r="X962" s="101">
        <v>957</v>
      </c>
      <c r="Y962" s="120">
        <f t="shared" si="14"/>
        <v>185</v>
      </c>
    </row>
    <row r="963" spans="24:25" x14ac:dyDescent="0.25">
      <c r="X963" s="101">
        <v>958</v>
      </c>
      <c r="Y963" s="120">
        <f t="shared" si="14"/>
        <v>185</v>
      </c>
    </row>
    <row r="964" spans="24:25" x14ac:dyDescent="0.25">
      <c r="X964" s="101">
        <v>959</v>
      </c>
      <c r="Y964" s="120">
        <f t="shared" si="14"/>
        <v>185</v>
      </c>
    </row>
    <row r="965" spans="24:25" x14ac:dyDescent="0.25">
      <c r="X965" s="101">
        <v>960</v>
      </c>
      <c r="Y965" s="120">
        <f t="shared" si="14"/>
        <v>190</v>
      </c>
    </row>
    <row r="966" spans="24:25" x14ac:dyDescent="0.25">
      <c r="X966" s="101">
        <v>961</v>
      </c>
      <c r="Y966" s="120">
        <f t="shared" ref="Y966:Y1029" si="15">INDEX(inhale_driver_table,INT(100*(X966/ticks_per_inhale))+1)</f>
        <v>190</v>
      </c>
    </row>
    <row r="967" spans="24:25" x14ac:dyDescent="0.25">
      <c r="X967" s="101">
        <v>962</v>
      </c>
      <c r="Y967" s="120">
        <f t="shared" si="15"/>
        <v>190</v>
      </c>
    </row>
    <row r="968" spans="24:25" x14ac:dyDescent="0.25">
      <c r="X968" s="101">
        <v>963</v>
      </c>
      <c r="Y968" s="120">
        <f t="shared" si="15"/>
        <v>190</v>
      </c>
    </row>
    <row r="969" spans="24:25" x14ac:dyDescent="0.25">
      <c r="X969" s="101">
        <v>964</v>
      </c>
      <c r="Y969" s="120">
        <f t="shared" si="15"/>
        <v>190</v>
      </c>
    </row>
    <row r="970" spans="24:25" x14ac:dyDescent="0.25">
      <c r="X970" s="101">
        <v>965</v>
      </c>
      <c r="Y970" s="120">
        <f t="shared" si="15"/>
        <v>190</v>
      </c>
    </row>
    <row r="971" spans="24:25" x14ac:dyDescent="0.25">
      <c r="X971" s="101">
        <v>966</v>
      </c>
      <c r="Y971" s="120">
        <f t="shared" si="15"/>
        <v>190</v>
      </c>
    </row>
    <row r="972" spans="24:25" x14ac:dyDescent="0.25">
      <c r="X972" s="101">
        <v>967</v>
      </c>
      <c r="Y972" s="120">
        <f t="shared" si="15"/>
        <v>190</v>
      </c>
    </row>
    <row r="973" spans="24:25" x14ac:dyDescent="0.25">
      <c r="X973" s="101">
        <v>968</v>
      </c>
      <c r="Y973" s="120">
        <f t="shared" si="15"/>
        <v>190</v>
      </c>
    </row>
    <row r="974" spans="24:25" x14ac:dyDescent="0.25">
      <c r="X974" s="101">
        <v>969</v>
      </c>
      <c r="Y974" s="120">
        <f t="shared" si="15"/>
        <v>190</v>
      </c>
    </row>
    <row r="975" spans="24:25" x14ac:dyDescent="0.25">
      <c r="X975" s="101">
        <v>970</v>
      </c>
      <c r="Y975" s="120">
        <f t="shared" si="15"/>
        <v>190</v>
      </c>
    </row>
    <row r="976" spans="24:25" x14ac:dyDescent="0.25">
      <c r="X976" s="101">
        <v>971</v>
      </c>
      <c r="Y976" s="120">
        <f t="shared" si="15"/>
        <v>190</v>
      </c>
    </row>
    <row r="977" spans="24:25" x14ac:dyDescent="0.25">
      <c r="X977" s="101">
        <v>972</v>
      </c>
      <c r="Y977" s="120">
        <f t="shared" si="15"/>
        <v>190</v>
      </c>
    </row>
    <row r="978" spans="24:25" x14ac:dyDescent="0.25">
      <c r="X978" s="101">
        <v>973</v>
      </c>
      <c r="Y978" s="120">
        <f t="shared" si="15"/>
        <v>190</v>
      </c>
    </row>
    <row r="979" spans="24:25" x14ac:dyDescent="0.25">
      <c r="X979" s="101">
        <v>974</v>
      </c>
      <c r="Y979" s="120">
        <f t="shared" si="15"/>
        <v>190</v>
      </c>
    </row>
    <row r="980" spans="24:25" x14ac:dyDescent="0.25">
      <c r="X980" s="101">
        <v>975</v>
      </c>
      <c r="Y980" s="120">
        <f t="shared" si="15"/>
        <v>190</v>
      </c>
    </row>
    <row r="981" spans="24:25" x14ac:dyDescent="0.25">
      <c r="X981" s="101">
        <v>976</v>
      </c>
      <c r="Y981" s="120">
        <f t="shared" si="15"/>
        <v>190</v>
      </c>
    </row>
    <row r="982" spans="24:25" x14ac:dyDescent="0.25">
      <c r="X982" s="101">
        <v>977</v>
      </c>
      <c r="Y982" s="120">
        <f t="shared" si="15"/>
        <v>190</v>
      </c>
    </row>
    <row r="983" spans="24:25" x14ac:dyDescent="0.25">
      <c r="X983" s="101">
        <v>978</v>
      </c>
      <c r="Y983" s="120">
        <f t="shared" si="15"/>
        <v>190</v>
      </c>
    </row>
    <row r="984" spans="24:25" x14ac:dyDescent="0.25">
      <c r="X984" s="101">
        <v>979</v>
      </c>
      <c r="Y984" s="120">
        <f t="shared" si="15"/>
        <v>190</v>
      </c>
    </row>
    <row r="985" spans="24:25" x14ac:dyDescent="0.25">
      <c r="X985" s="101">
        <v>980</v>
      </c>
      <c r="Y985" s="120">
        <f t="shared" si="15"/>
        <v>195</v>
      </c>
    </row>
    <row r="986" spans="24:25" x14ac:dyDescent="0.25">
      <c r="X986" s="101">
        <v>981</v>
      </c>
      <c r="Y986" s="120">
        <f t="shared" si="15"/>
        <v>195</v>
      </c>
    </row>
    <row r="987" spans="24:25" x14ac:dyDescent="0.25">
      <c r="X987" s="101">
        <v>982</v>
      </c>
      <c r="Y987" s="120">
        <f t="shared" si="15"/>
        <v>195</v>
      </c>
    </row>
    <row r="988" spans="24:25" x14ac:dyDescent="0.25">
      <c r="X988" s="101">
        <v>983</v>
      </c>
      <c r="Y988" s="120">
        <f t="shared" si="15"/>
        <v>195</v>
      </c>
    </row>
    <row r="989" spans="24:25" x14ac:dyDescent="0.25">
      <c r="X989" s="101">
        <v>984</v>
      </c>
      <c r="Y989" s="120">
        <f t="shared" si="15"/>
        <v>195</v>
      </c>
    </row>
    <row r="990" spans="24:25" x14ac:dyDescent="0.25">
      <c r="X990" s="101">
        <v>985</v>
      </c>
      <c r="Y990" s="120">
        <f t="shared" si="15"/>
        <v>195</v>
      </c>
    </row>
    <row r="991" spans="24:25" x14ac:dyDescent="0.25">
      <c r="X991" s="101">
        <v>986</v>
      </c>
      <c r="Y991" s="120">
        <f t="shared" si="15"/>
        <v>195</v>
      </c>
    </row>
    <row r="992" spans="24:25" x14ac:dyDescent="0.25">
      <c r="X992" s="101">
        <v>987</v>
      </c>
      <c r="Y992" s="120">
        <f t="shared" si="15"/>
        <v>195</v>
      </c>
    </row>
    <row r="993" spans="24:25" x14ac:dyDescent="0.25">
      <c r="X993" s="101">
        <v>988</v>
      </c>
      <c r="Y993" s="120">
        <f t="shared" si="15"/>
        <v>195</v>
      </c>
    </row>
    <row r="994" spans="24:25" x14ac:dyDescent="0.25">
      <c r="X994" s="101">
        <v>989</v>
      </c>
      <c r="Y994" s="120">
        <f t="shared" si="15"/>
        <v>195</v>
      </c>
    </row>
    <row r="995" spans="24:25" x14ac:dyDescent="0.25">
      <c r="X995" s="101">
        <v>990</v>
      </c>
      <c r="Y995" s="120">
        <f t="shared" si="15"/>
        <v>195</v>
      </c>
    </row>
    <row r="996" spans="24:25" x14ac:dyDescent="0.25">
      <c r="X996" s="101">
        <v>991</v>
      </c>
      <c r="Y996" s="120">
        <f t="shared" si="15"/>
        <v>195</v>
      </c>
    </row>
    <row r="997" spans="24:25" x14ac:dyDescent="0.25">
      <c r="X997" s="101">
        <v>992</v>
      </c>
      <c r="Y997" s="120">
        <f t="shared" si="15"/>
        <v>195</v>
      </c>
    </row>
    <row r="998" spans="24:25" x14ac:dyDescent="0.25">
      <c r="X998" s="101">
        <v>993</v>
      </c>
      <c r="Y998" s="120">
        <f t="shared" si="15"/>
        <v>195</v>
      </c>
    </row>
    <row r="999" spans="24:25" x14ac:dyDescent="0.25">
      <c r="X999" s="101">
        <v>994</v>
      </c>
      <c r="Y999" s="120">
        <f t="shared" si="15"/>
        <v>195</v>
      </c>
    </row>
    <row r="1000" spans="24:25" x14ac:dyDescent="0.25">
      <c r="X1000" s="101">
        <v>995</v>
      </c>
      <c r="Y1000" s="120">
        <f t="shared" si="15"/>
        <v>195</v>
      </c>
    </row>
    <row r="1001" spans="24:25" x14ac:dyDescent="0.25">
      <c r="X1001" s="101">
        <v>996</v>
      </c>
      <c r="Y1001" s="120">
        <f t="shared" si="15"/>
        <v>195</v>
      </c>
    </row>
    <row r="1002" spans="24:25" x14ac:dyDescent="0.25">
      <c r="X1002" s="101">
        <v>997</v>
      </c>
      <c r="Y1002" s="120">
        <f t="shared" si="15"/>
        <v>195</v>
      </c>
    </row>
    <row r="1003" spans="24:25" x14ac:dyDescent="0.25">
      <c r="X1003" s="101">
        <v>998</v>
      </c>
      <c r="Y1003" s="120">
        <f t="shared" si="15"/>
        <v>195</v>
      </c>
    </row>
    <row r="1004" spans="24:25" x14ac:dyDescent="0.25">
      <c r="X1004" s="101">
        <v>999</v>
      </c>
      <c r="Y1004" s="120">
        <f t="shared" si="15"/>
        <v>195</v>
      </c>
    </row>
    <row r="1005" spans="24:25" x14ac:dyDescent="0.25">
      <c r="X1005" s="101">
        <v>1000</v>
      </c>
      <c r="Y1005" s="120">
        <f t="shared" si="15"/>
        <v>200</v>
      </c>
    </row>
    <row r="1006" spans="24:25" x14ac:dyDescent="0.25">
      <c r="X1006" s="101">
        <v>1001</v>
      </c>
      <c r="Y1006" s="120">
        <f t="shared" si="15"/>
        <v>200</v>
      </c>
    </row>
    <row r="1007" spans="24:25" x14ac:dyDescent="0.25">
      <c r="X1007" s="101">
        <v>1002</v>
      </c>
      <c r="Y1007" s="120">
        <f t="shared" si="15"/>
        <v>200</v>
      </c>
    </row>
    <row r="1008" spans="24:25" x14ac:dyDescent="0.25">
      <c r="X1008" s="101">
        <v>1003</v>
      </c>
      <c r="Y1008" s="120">
        <f t="shared" si="15"/>
        <v>200</v>
      </c>
    </row>
    <row r="1009" spans="24:25" x14ac:dyDescent="0.25">
      <c r="X1009" s="101">
        <v>1004</v>
      </c>
      <c r="Y1009" s="120">
        <f t="shared" si="15"/>
        <v>200</v>
      </c>
    </row>
    <row r="1010" spans="24:25" x14ac:dyDescent="0.25">
      <c r="X1010" s="101">
        <v>1005</v>
      </c>
      <c r="Y1010" s="120">
        <f t="shared" si="15"/>
        <v>200</v>
      </c>
    </row>
    <row r="1011" spans="24:25" x14ac:dyDescent="0.25">
      <c r="X1011" s="101">
        <v>1006</v>
      </c>
      <c r="Y1011" s="120">
        <f t="shared" si="15"/>
        <v>200</v>
      </c>
    </row>
    <row r="1012" spans="24:25" x14ac:dyDescent="0.25">
      <c r="X1012" s="101">
        <v>1007</v>
      </c>
      <c r="Y1012" s="120">
        <f t="shared" si="15"/>
        <v>200</v>
      </c>
    </row>
    <row r="1013" spans="24:25" x14ac:dyDescent="0.25">
      <c r="X1013" s="101">
        <v>1008</v>
      </c>
      <c r="Y1013" s="120">
        <f t="shared" si="15"/>
        <v>200</v>
      </c>
    </row>
    <row r="1014" spans="24:25" x14ac:dyDescent="0.25">
      <c r="X1014" s="101">
        <v>1009</v>
      </c>
      <c r="Y1014" s="120">
        <f t="shared" si="15"/>
        <v>200</v>
      </c>
    </row>
    <row r="1015" spans="24:25" x14ac:dyDescent="0.25">
      <c r="X1015" s="101">
        <v>1010</v>
      </c>
      <c r="Y1015" s="120">
        <f t="shared" si="15"/>
        <v>200</v>
      </c>
    </row>
    <row r="1016" spans="24:25" x14ac:dyDescent="0.25">
      <c r="X1016" s="101">
        <v>1011</v>
      </c>
      <c r="Y1016" s="120">
        <f t="shared" si="15"/>
        <v>200</v>
      </c>
    </row>
    <row r="1017" spans="24:25" x14ac:dyDescent="0.25">
      <c r="X1017" s="101">
        <v>1012</v>
      </c>
      <c r="Y1017" s="120">
        <f t="shared" si="15"/>
        <v>200</v>
      </c>
    </row>
    <row r="1018" spans="24:25" x14ac:dyDescent="0.25">
      <c r="X1018" s="101">
        <v>1013</v>
      </c>
      <c r="Y1018" s="120">
        <f t="shared" si="15"/>
        <v>200</v>
      </c>
    </row>
    <row r="1019" spans="24:25" x14ac:dyDescent="0.25">
      <c r="X1019" s="101">
        <v>1014</v>
      </c>
      <c r="Y1019" s="120">
        <f t="shared" si="15"/>
        <v>200</v>
      </c>
    </row>
    <row r="1020" spans="24:25" x14ac:dyDescent="0.25">
      <c r="X1020" s="101">
        <v>1015</v>
      </c>
      <c r="Y1020" s="120">
        <f t="shared" si="15"/>
        <v>200</v>
      </c>
    </row>
    <row r="1021" spans="24:25" x14ac:dyDescent="0.25">
      <c r="X1021" s="101">
        <v>1016</v>
      </c>
      <c r="Y1021" s="120">
        <f t="shared" si="15"/>
        <v>200</v>
      </c>
    </row>
    <row r="1022" spans="24:25" x14ac:dyDescent="0.25">
      <c r="X1022" s="101">
        <v>1017</v>
      </c>
      <c r="Y1022" s="120">
        <f t="shared" si="15"/>
        <v>200</v>
      </c>
    </row>
    <row r="1023" spans="24:25" x14ac:dyDescent="0.25">
      <c r="X1023" s="101">
        <v>1018</v>
      </c>
      <c r="Y1023" s="120">
        <f t="shared" si="15"/>
        <v>200</v>
      </c>
    </row>
    <row r="1024" spans="24:25" x14ac:dyDescent="0.25">
      <c r="X1024" s="101">
        <v>1019</v>
      </c>
      <c r="Y1024" s="120">
        <f t="shared" si="15"/>
        <v>200</v>
      </c>
    </row>
    <row r="1025" spans="24:25" x14ac:dyDescent="0.25">
      <c r="X1025" s="101">
        <v>1020</v>
      </c>
      <c r="Y1025" s="120">
        <f t="shared" si="15"/>
        <v>205</v>
      </c>
    </row>
    <row r="1026" spans="24:25" x14ac:dyDescent="0.25">
      <c r="X1026" s="101">
        <v>1021</v>
      </c>
      <c r="Y1026" s="120">
        <f t="shared" si="15"/>
        <v>205</v>
      </c>
    </row>
    <row r="1027" spans="24:25" x14ac:dyDescent="0.25">
      <c r="X1027" s="101">
        <v>1022</v>
      </c>
      <c r="Y1027" s="120">
        <f t="shared" si="15"/>
        <v>205</v>
      </c>
    </row>
    <row r="1028" spans="24:25" x14ac:dyDescent="0.25">
      <c r="X1028" s="101">
        <v>1023</v>
      </c>
      <c r="Y1028" s="120">
        <f t="shared" si="15"/>
        <v>205</v>
      </c>
    </row>
    <row r="1029" spans="24:25" x14ac:dyDescent="0.25">
      <c r="X1029" s="101">
        <v>1024</v>
      </c>
      <c r="Y1029" s="120">
        <f t="shared" si="15"/>
        <v>205</v>
      </c>
    </row>
    <row r="1030" spans="24:25" x14ac:dyDescent="0.25">
      <c r="X1030" s="101">
        <v>1025</v>
      </c>
      <c r="Y1030" s="120">
        <f t="shared" ref="Y1030:Y1093" si="16">INDEX(inhale_driver_table,INT(100*(X1030/ticks_per_inhale))+1)</f>
        <v>205</v>
      </c>
    </row>
    <row r="1031" spans="24:25" x14ac:dyDescent="0.25">
      <c r="X1031" s="101">
        <v>1026</v>
      </c>
      <c r="Y1031" s="120">
        <f t="shared" si="16"/>
        <v>205</v>
      </c>
    </row>
    <row r="1032" spans="24:25" x14ac:dyDescent="0.25">
      <c r="X1032" s="101">
        <v>1027</v>
      </c>
      <c r="Y1032" s="120">
        <f t="shared" si="16"/>
        <v>205</v>
      </c>
    </row>
    <row r="1033" spans="24:25" x14ac:dyDescent="0.25">
      <c r="X1033" s="101">
        <v>1028</v>
      </c>
      <c r="Y1033" s="120">
        <f t="shared" si="16"/>
        <v>205</v>
      </c>
    </row>
    <row r="1034" spans="24:25" x14ac:dyDescent="0.25">
      <c r="X1034" s="101">
        <v>1029</v>
      </c>
      <c r="Y1034" s="120">
        <f t="shared" si="16"/>
        <v>205</v>
      </c>
    </row>
    <row r="1035" spans="24:25" x14ac:dyDescent="0.25">
      <c r="X1035" s="101">
        <v>1030</v>
      </c>
      <c r="Y1035" s="120">
        <f t="shared" si="16"/>
        <v>205</v>
      </c>
    </row>
    <row r="1036" spans="24:25" x14ac:dyDescent="0.25">
      <c r="X1036" s="101">
        <v>1031</v>
      </c>
      <c r="Y1036" s="120">
        <f t="shared" si="16"/>
        <v>205</v>
      </c>
    </row>
    <row r="1037" spans="24:25" x14ac:dyDescent="0.25">
      <c r="X1037" s="101">
        <v>1032</v>
      </c>
      <c r="Y1037" s="120">
        <f t="shared" si="16"/>
        <v>205</v>
      </c>
    </row>
    <row r="1038" spans="24:25" x14ac:dyDescent="0.25">
      <c r="X1038" s="101">
        <v>1033</v>
      </c>
      <c r="Y1038" s="120">
        <f t="shared" si="16"/>
        <v>205</v>
      </c>
    </row>
    <row r="1039" spans="24:25" x14ac:dyDescent="0.25">
      <c r="X1039" s="101">
        <v>1034</v>
      </c>
      <c r="Y1039" s="120">
        <f t="shared" si="16"/>
        <v>205</v>
      </c>
    </row>
    <row r="1040" spans="24:25" x14ac:dyDescent="0.25">
      <c r="X1040" s="101">
        <v>1035</v>
      </c>
      <c r="Y1040" s="120">
        <f t="shared" si="16"/>
        <v>205</v>
      </c>
    </row>
    <row r="1041" spans="24:25" x14ac:dyDescent="0.25">
      <c r="X1041" s="101">
        <v>1036</v>
      </c>
      <c r="Y1041" s="120">
        <f t="shared" si="16"/>
        <v>205</v>
      </c>
    </row>
    <row r="1042" spans="24:25" x14ac:dyDescent="0.25">
      <c r="X1042" s="101">
        <v>1037</v>
      </c>
      <c r="Y1042" s="120">
        <f t="shared" si="16"/>
        <v>205</v>
      </c>
    </row>
    <row r="1043" spans="24:25" x14ac:dyDescent="0.25">
      <c r="X1043" s="101">
        <v>1038</v>
      </c>
      <c r="Y1043" s="120">
        <f t="shared" si="16"/>
        <v>205</v>
      </c>
    </row>
    <row r="1044" spans="24:25" x14ac:dyDescent="0.25">
      <c r="X1044" s="101">
        <v>1039</v>
      </c>
      <c r="Y1044" s="120">
        <f t="shared" si="16"/>
        <v>205</v>
      </c>
    </row>
    <row r="1045" spans="24:25" x14ac:dyDescent="0.25">
      <c r="X1045" s="101">
        <v>1040</v>
      </c>
      <c r="Y1045" s="120">
        <f t="shared" si="16"/>
        <v>210</v>
      </c>
    </row>
    <row r="1046" spans="24:25" x14ac:dyDescent="0.25">
      <c r="X1046" s="101">
        <v>1041</v>
      </c>
      <c r="Y1046" s="120">
        <f t="shared" si="16"/>
        <v>210</v>
      </c>
    </row>
    <row r="1047" spans="24:25" x14ac:dyDescent="0.25">
      <c r="X1047" s="101">
        <v>1042</v>
      </c>
      <c r="Y1047" s="120">
        <f t="shared" si="16"/>
        <v>210</v>
      </c>
    </row>
    <row r="1048" spans="24:25" x14ac:dyDescent="0.25">
      <c r="X1048" s="101">
        <v>1043</v>
      </c>
      <c r="Y1048" s="120">
        <f t="shared" si="16"/>
        <v>210</v>
      </c>
    </row>
    <row r="1049" spans="24:25" x14ac:dyDescent="0.25">
      <c r="X1049" s="101">
        <v>1044</v>
      </c>
      <c r="Y1049" s="120">
        <f t="shared" si="16"/>
        <v>210</v>
      </c>
    </row>
    <row r="1050" spans="24:25" x14ac:dyDescent="0.25">
      <c r="X1050" s="101">
        <v>1045</v>
      </c>
      <c r="Y1050" s="120">
        <f t="shared" si="16"/>
        <v>210</v>
      </c>
    </row>
    <row r="1051" spans="24:25" x14ac:dyDescent="0.25">
      <c r="X1051" s="101">
        <v>1046</v>
      </c>
      <c r="Y1051" s="120">
        <f t="shared" si="16"/>
        <v>210</v>
      </c>
    </row>
    <row r="1052" spans="24:25" x14ac:dyDescent="0.25">
      <c r="X1052" s="101">
        <v>1047</v>
      </c>
      <c r="Y1052" s="120">
        <f t="shared" si="16"/>
        <v>210</v>
      </c>
    </row>
    <row r="1053" spans="24:25" x14ac:dyDescent="0.25">
      <c r="X1053" s="101">
        <v>1048</v>
      </c>
      <c r="Y1053" s="120">
        <f t="shared" si="16"/>
        <v>210</v>
      </c>
    </row>
    <row r="1054" spans="24:25" x14ac:dyDescent="0.25">
      <c r="X1054" s="101">
        <v>1049</v>
      </c>
      <c r="Y1054" s="120">
        <f t="shared" si="16"/>
        <v>210</v>
      </c>
    </row>
    <row r="1055" spans="24:25" x14ac:dyDescent="0.25">
      <c r="X1055" s="101">
        <v>1050</v>
      </c>
      <c r="Y1055" s="120">
        <f t="shared" si="16"/>
        <v>210</v>
      </c>
    </row>
    <row r="1056" spans="24:25" x14ac:dyDescent="0.25">
      <c r="X1056" s="101">
        <v>1051</v>
      </c>
      <c r="Y1056" s="120">
        <f t="shared" si="16"/>
        <v>210</v>
      </c>
    </row>
    <row r="1057" spans="24:25" x14ac:dyDescent="0.25">
      <c r="X1057" s="101">
        <v>1052</v>
      </c>
      <c r="Y1057" s="120">
        <f t="shared" si="16"/>
        <v>210</v>
      </c>
    </row>
    <row r="1058" spans="24:25" x14ac:dyDescent="0.25">
      <c r="X1058" s="101">
        <v>1053</v>
      </c>
      <c r="Y1058" s="120">
        <f t="shared" si="16"/>
        <v>210</v>
      </c>
    </row>
    <row r="1059" spans="24:25" x14ac:dyDescent="0.25">
      <c r="X1059" s="101">
        <v>1054</v>
      </c>
      <c r="Y1059" s="120">
        <f t="shared" si="16"/>
        <v>210</v>
      </c>
    </row>
    <row r="1060" spans="24:25" x14ac:dyDescent="0.25">
      <c r="X1060" s="101">
        <v>1055</v>
      </c>
      <c r="Y1060" s="120">
        <f t="shared" si="16"/>
        <v>210</v>
      </c>
    </row>
    <row r="1061" spans="24:25" x14ac:dyDescent="0.25">
      <c r="X1061" s="101">
        <v>1056</v>
      </c>
      <c r="Y1061" s="120">
        <f t="shared" si="16"/>
        <v>210</v>
      </c>
    </row>
    <row r="1062" spans="24:25" x14ac:dyDescent="0.25">
      <c r="X1062" s="101">
        <v>1057</v>
      </c>
      <c r="Y1062" s="120">
        <f t="shared" si="16"/>
        <v>210</v>
      </c>
    </row>
    <row r="1063" spans="24:25" x14ac:dyDescent="0.25">
      <c r="X1063" s="101">
        <v>1058</v>
      </c>
      <c r="Y1063" s="120">
        <f t="shared" si="16"/>
        <v>210</v>
      </c>
    </row>
    <row r="1064" spans="24:25" x14ac:dyDescent="0.25">
      <c r="X1064" s="101">
        <v>1059</v>
      </c>
      <c r="Y1064" s="120">
        <f t="shared" si="16"/>
        <v>210</v>
      </c>
    </row>
    <row r="1065" spans="24:25" x14ac:dyDescent="0.25">
      <c r="X1065" s="101">
        <v>1060</v>
      </c>
      <c r="Y1065" s="120">
        <f t="shared" si="16"/>
        <v>215</v>
      </c>
    </row>
    <row r="1066" spans="24:25" x14ac:dyDescent="0.25">
      <c r="X1066" s="101">
        <v>1061</v>
      </c>
      <c r="Y1066" s="120">
        <f t="shared" si="16"/>
        <v>215</v>
      </c>
    </row>
    <row r="1067" spans="24:25" x14ac:dyDescent="0.25">
      <c r="X1067" s="101">
        <v>1062</v>
      </c>
      <c r="Y1067" s="120">
        <f t="shared" si="16"/>
        <v>215</v>
      </c>
    </row>
    <row r="1068" spans="24:25" x14ac:dyDescent="0.25">
      <c r="X1068" s="101">
        <v>1063</v>
      </c>
      <c r="Y1068" s="120">
        <f t="shared" si="16"/>
        <v>215</v>
      </c>
    </row>
    <row r="1069" spans="24:25" x14ac:dyDescent="0.25">
      <c r="X1069" s="101">
        <v>1064</v>
      </c>
      <c r="Y1069" s="120">
        <f t="shared" si="16"/>
        <v>215</v>
      </c>
    </row>
    <row r="1070" spans="24:25" x14ac:dyDescent="0.25">
      <c r="X1070" s="101">
        <v>1065</v>
      </c>
      <c r="Y1070" s="120">
        <f t="shared" si="16"/>
        <v>215</v>
      </c>
    </row>
    <row r="1071" spans="24:25" x14ac:dyDescent="0.25">
      <c r="X1071" s="101">
        <v>1066</v>
      </c>
      <c r="Y1071" s="120">
        <f t="shared" si="16"/>
        <v>215</v>
      </c>
    </row>
    <row r="1072" spans="24:25" x14ac:dyDescent="0.25">
      <c r="X1072" s="101">
        <v>1067</v>
      </c>
      <c r="Y1072" s="120">
        <f t="shared" si="16"/>
        <v>215</v>
      </c>
    </row>
    <row r="1073" spans="24:25" x14ac:dyDescent="0.25">
      <c r="X1073" s="101">
        <v>1068</v>
      </c>
      <c r="Y1073" s="120">
        <f t="shared" si="16"/>
        <v>215</v>
      </c>
    </row>
    <row r="1074" spans="24:25" x14ac:dyDescent="0.25">
      <c r="X1074" s="101">
        <v>1069</v>
      </c>
      <c r="Y1074" s="120">
        <f t="shared" si="16"/>
        <v>215</v>
      </c>
    </row>
    <row r="1075" spans="24:25" x14ac:dyDescent="0.25">
      <c r="X1075" s="101">
        <v>1070</v>
      </c>
      <c r="Y1075" s="120">
        <f t="shared" si="16"/>
        <v>215</v>
      </c>
    </row>
    <row r="1076" spans="24:25" x14ac:dyDescent="0.25">
      <c r="X1076" s="101">
        <v>1071</v>
      </c>
      <c r="Y1076" s="120">
        <f t="shared" si="16"/>
        <v>215</v>
      </c>
    </row>
    <row r="1077" spans="24:25" x14ac:dyDescent="0.25">
      <c r="X1077" s="101">
        <v>1072</v>
      </c>
      <c r="Y1077" s="120">
        <f t="shared" si="16"/>
        <v>215</v>
      </c>
    </row>
    <row r="1078" spans="24:25" x14ac:dyDescent="0.25">
      <c r="X1078" s="101">
        <v>1073</v>
      </c>
      <c r="Y1078" s="120">
        <f t="shared" si="16"/>
        <v>215</v>
      </c>
    </row>
    <row r="1079" spans="24:25" x14ac:dyDescent="0.25">
      <c r="X1079" s="101">
        <v>1074</v>
      </c>
      <c r="Y1079" s="120">
        <f t="shared" si="16"/>
        <v>215</v>
      </c>
    </row>
    <row r="1080" spans="24:25" x14ac:dyDescent="0.25">
      <c r="X1080" s="101">
        <v>1075</v>
      </c>
      <c r="Y1080" s="120">
        <f t="shared" si="16"/>
        <v>215</v>
      </c>
    </row>
    <row r="1081" spans="24:25" x14ac:dyDescent="0.25">
      <c r="X1081" s="101">
        <v>1076</v>
      </c>
      <c r="Y1081" s="120">
        <f t="shared" si="16"/>
        <v>215</v>
      </c>
    </row>
    <row r="1082" spans="24:25" x14ac:dyDescent="0.25">
      <c r="X1082" s="101">
        <v>1077</v>
      </c>
      <c r="Y1082" s="120">
        <f t="shared" si="16"/>
        <v>215</v>
      </c>
    </row>
    <row r="1083" spans="24:25" x14ac:dyDescent="0.25">
      <c r="X1083" s="101">
        <v>1078</v>
      </c>
      <c r="Y1083" s="120">
        <f t="shared" si="16"/>
        <v>215</v>
      </c>
    </row>
    <row r="1084" spans="24:25" x14ac:dyDescent="0.25">
      <c r="X1084" s="101">
        <v>1079</v>
      </c>
      <c r="Y1084" s="120">
        <f t="shared" si="16"/>
        <v>215</v>
      </c>
    </row>
    <row r="1085" spans="24:25" x14ac:dyDescent="0.25">
      <c r="X1085" s="101">
        <v>1080</v>
      </c>
      <c r="Y1085" s="120">
        <f t="shared" si="16"/>
        <v>220</v>
      </c>
    </row>
    <row r="1086" spans="24:25" x14ac:dyDescent="0.25">
      <c r="X1086" s="101">
        <v>1081</v>
      </c>
      <c r="Y1086" s="120">
        <f t="shared" si="16"/>
        <v>220</v>
      </c>
    </row>
    <row r="1087" spans="24:25" x14ac:dyDescent="0.25">
      <c r="X1087" s="101">
        <v>1082</v>
      </c>
      <c r="Y1087" s="120">
        <f t="shared" si="16"/>
        <v>220</v>
      </c>
    </row>
    <row r="1088" spans="24:25" x14ac:dyDescent="0.25">
      <c r="X1088" s="101">
        <v>1083</v>
      </c>
      <c r="Y1088" s="120">
        <f t="shared" si="16"/>
        <v>220</v>
      </c>
    </row>
    <row r="1089" spans="24:25" x14ac:dyDescent="0.25">
      <c r="X1089" s="101">
        <v>1084</v>
      </c>
      <c r="Y1089" s="120">
        <f t="shared" si="16"/>
        <v>220</v>
      </c>
    </row>
    <row r="1090" spans="24:25" x14ac:dyDescent="0.25">
      <c r="X1090" s="101">
        <v>1085</v>
      </c>
      <c r="Y1090" s="120">
        <f t="shared" si="16"/>
        <v>220</v>
      </c>
    </row>
    <row r="1091" spans="24:25" x14ac:dyDescent="0.25">
      <c r="X1091" s="101">
        <v>1086</v>
      </c>
      <c r="Y1091" s="120">
        <f t="shared" si="16"/>
        <v>220</v>
      </c>
    </row>
    <row r="1092" spans="24:25" x14ac:dyDescent="0.25">
      <c r="X1092" s="101">
        <v>1087</v>
      </c>
      <c r="Y1092" s="120">
        <f t="shared" si="16"/>
        <v>220</v>
      </c>
    </row>
    <row r="1093" spans="24:25" x14ac:dyDescent="0.25">
      <c r="X1093" s="101">
        <v>1088</v>
      </c>
      <c r="Y1093" s="120">
        <f t="shared" si="16"/>
        <v>220</v>
      </c>
    </row>
    <row r="1094" spans="24:25" x14ac:dyDescent="0.25">
      <c r="X1094" s="101">
        <v>1089</v>
      </c>
      <c r="Y1094" s="120">
        <f t="shared" ref="Y1094:Y1157" si="17">INDEX(inhale_driver_table,INT(100*(X1094/ticks_per_inhale))+1)</f>
        <v>220</v>
      </c>
    </row>
    <row r="1095" spans="24:25" x14ac:dyDescent="0.25">
      <c r="X1095" s="101">
        <v>1090</v>
      </c>
      <c r="Y1095" s="120">
        <f t="shared" si="17"/>
        <v>220</v>
      </c>
    </row>
    <row r="1096" spans="24:25" x14ac:dyDescent="0.25">
      <c r="X1096" s="101">
        <v>1091</v>
      </c>
      <c r="Y1096" s="120">
        <f t="shared" si="17"/>
        <v>220</v>
      </c>
    </row>
    <row r="1097" spans="24:25" x14ac:dyDescent="0.25">
      <c r="X1097" s="101">
        <v>1092</v>
      </c>
      <c r="Y1097" s="120">
        <f t="shared" si="17"/>
        <v>220</v>
      </c>
    </row>
    <row r="1098" spans="24:25" x14ac:dyDescent="0.25">
      <c r="X1098" s="101">
        <v>1093</v>
      </c>
      <c r="Y1098" s="120">
        <f t="shared" si="17"/>
        <v>220</v>
      </c>
    </row>
    <row r="1099" spans="24:25" x14ac:dyDescent="0.25">
      <c r="X1099" s="101">
        <v>1094</v>
      </c>
      <c r="Y1099" s="120">
        <f t="shared" si="17"/>
        <v>220</v>
      </c>
    </row>
    <row r="1100" spans="24:25" x14ac:dyDescent="0.25">
      <c r="X1100" s="101">
        <v>1095</v>
      </c>
      <c r="Y1100" s="120">
        <f t="shared" si="17"/>
        <v>220</v>
      </c>
    </row>
    <row r="1101" spans="24:25" x14ac:dyDescent="0.25">
      <c r="X1101" s="101">
        <v>1096</v>
      </c>
      <c r="Y1101" s="120">
        <f t="shared" si="17"/>
        <v>220</v>
      </c>
    </row>
    <row r="1102" spans="24:25" x14ac:dyDescent="0.25">
      <c r="X1102" s="101">
        <v>1097</v>
      </c>
      <c r="Y1102" s="120">
        <f t="shared" si="17"/>
        <v>220</v>
      </c>
    </row>
    <row r="1103" spans="24:25" x14ac:dyDescent="0.25">
      <c r="X1103" s="101">
        <v>1098</v>
      </c>
      <c r="Y1103" s="120">
        <f t="shared" si="17"/>
        <v>220</v>
      </c>
    </row>
    <row r="1104" spans="24:25" x14ac:dyDescent="0.25">
      <c r="X1104" s="101">
        <v>1099</v>
      </c>
      <c r="Y1104" s="120">
        <f t="shared" si="17"/>
        <v>220</v>
      </c>
    </row>
    <row r="1105" spans="24:25" x14ac:dyDescent="0.25">
      <c r="X1105" s="101">
        <v>1100</v>
      </c>
      <c r="Y1105" s="120">
        <f t="shared" si="17"/>
        <v>225</v>
      </c>
    </row>
    <row r="1106" spans="24:25" x14ac:dyDescent="0.25">
      <c r="X1106" s="101">
        <v>1101</v>
      </c>
      <c r="Y1106" s="120">
        <f t="shared" si="17"/>
        <v>225</v>
      </c>
    </row>
    <row r="1107" spans="24:25" x14ac:dyDescent="0.25">
      <c r="X1107" s="101">
        <v>1102</v>
      </c>
      <c r="Y1107" s="120">
        <f t="shared" si="17"/>
        <v>225</v>
      </c>
    </row>
    <row r="1108" spans="24:25" x14ac:dyDescent="0.25">
      <c r="X1108" s="101">
        <v>1103</v>
      </c>
      <c r="Y1108" s="120">
        <f t="shared" si="17"/>
        <v>225</v>
      </c>
    </row>
    <row r="1109" spans="24:25" x14ac:dyDescent="0.25">
      <c r="X1109" s="101">
        <v>1104</v>
      </c>
      <c r="Y1109" s="120">
        <f t="shared" si="17"/>
        <v>225</v>
      </c>
    </row>
    <row r="1110" spans="24:25" x14ac:dyDescent="0.25">
      <c r="X1110" s="101">
        <v>1105</v>
      </c>
      <c r="Y1110" s="120">
        <f t="shared" si="17"/>
        <v>225</v>
      </c>
    </row>
    <row r="1111" spans="24:25" x14ac:dyDescent="0.25">
      <c r="X1111" s="101">
        <v>1106</v>
      </c>
      <c r="Y1111" s="120">
        <f t="shared" si="17"/>
        <v>225</v>
      </c>
    </row>
    <row r="1112" spans="24:25" x14ac:dyDescent="0.25">
      <c r="X1112" s="101">
        <v>1107</v>
      </c>
      <c r="Y1112" s="120">
        <f t="shared" si="17"/>
        <v>225</v>
      </c>
    </row>
    <row r="1113" spans="24:25" x14ac:dyDescent="0.25">
      <c r="X1113" s="101">
        <v>1108</v>
      </c>
      <c r="Y1113" s="120">
        <f t="shared" si="17"/>
        <v>225</v>
      </c>
    </row>
    <row r="1114" spans="24:25" x14ac:dyDescent="0.25">
      <c r="X1114" s="101">
        <v>1109</v>
      </c>
      <c r="Y1114" s="120">
        <f t="shared" si="17"/>
        <v>225</v>
      </c>
    </row>
    <row r="1115" spans="24:25" x14ac:dyDescent="0.25">
      <c r="X1115" s="101">
        <v>1110</v>
      </c>
      <c r="Y1115" s="120">
        <f t="shared" si="17"/>
        <v>225</v>
      </c>
    </row>
    <row r="1116" spans="24:25" x14ac:dyDescent="0.25">
      <c r="X1116" s="101">
        <v>1111</v>
      </c>
      <c r="Y1116" s="120">
        <f t="shared" si="17"/>
        <v>225</v>
      </c>
    </row>
    <row r="1117" spans="24:25" x14ac:dyDescent="0.25">
      <c r="X1117" s="101">
        <v>1112</v>
      </c>
      <c r="Y1117" s="120">
        <f t="shared" si="17"/>
        <v>225</v>
      </c>
    </row>
    <row r="1118" spans="24:25" x14ac:dyDescent="0.25">
      <c r="X1118" s="101">
        <v>1113</v>
      </c>
      <c r="Y1118" s="120">
        <f t="shared" si="17"/>
        <v>225</v>
      </c>
    </row>
    <row r="1119" spans="24:25" x14ac:dyDescent="0.25">
      <c r="X1119" s="101">
        <v>1114</v>
      </c>
      <c r="Y1119" s="120">
        <f t="shared" si="17"/>
        <v>225</v>
      </c>
    </row>
    <row r="1120" spans="24:25" x14ac:dyDescent="0.25">
      <c r="X1120" s="101">
        <v>1115</v>
      </c>
      <c r="Y1120" s="120">
        <f t="shared" si="17"/>
        <v>225</v>
      </c>
    </row>
    <row r="1121" spans="24:25" x14ac:dyDescent="0.25">
      <c r="X1121" s="101">
        <v>1116</v>
      </c>
      <c r="Y1121" s="120">
        <f t="shared" si="17"/>
        <v>225</v>
      </c>
    </row>
    <row r="1122" spans="24:25" x14ac:dyDescent="0.25">
      <c r="X1122" s="101">
        <v>1117</v>
      </c>
      <c r="Y1122" s="120">
        <f t="shared" si="17"/>
        <v>225</v>
      </c>
    </row>
    <row r="1123" spans="24:25" x14ac:dyDescent="0.25">
      <c r="X1123" s="101">
        <v>1118</v>
      </c>
      <c r="Y1123" s="120">
        <f t="shared" si="17"/>
        <v>225</v>
      </c>
    </row>
    <row r="1124" spans="24:25" x14ac:dyDescent="0.25">
      <c r="X1124" s="101">
        <v>1119</v>
      </c>
      <c r="Y1124" s="120">
        <f t="shared" si="17"/>
        <v>225</v>
      </c>
    </row>
    <row r="1125" spans="24:25" x14ac:dyDescent="0.25">
      <c r="X1125" s="101">
        <v>1120</v>
      </c>
      <c r="Y1125" s="120">
        <f t="shared" si="17"/>
        <v>230</v>
      </c>
    </row>
    <row r="1126" spans="24:25" x14ac:dyDescent="0.25">
      <c r="X1126" s="101">
        <v>1121</v>
      </c>
      <c r="Y1126" s="120">
        <f t="shared" si="17"/>
        <v>230</v>
      </c>
    </row>
    <row r="1127" spans="24:25" x14ac:dyDescent="0.25">
      <c r="X1127" s="101">
        <v>1122</v>
      </c>
      <c r="Y1127" s="120">
        <f t="shared" si="17"/>
        <v>230</v>
      </c>
    </row>
    <row r="1128" spans="24:25" x14ac:dyDescent="0.25">
      <c r="X1128" s="101">
        <v>1123</v>
      </c>
      <c r="Y1128" s="120">
        <f t="shared" si="17"/>
        <v>230</v>
      </c>
    </row>
    <row r="1129" spans="24:25" x14ac:dyDescent="0.25">
      <c r="X1129" s="101">
        <v>1124</v>
      </c>
      <c r="Y1129" s="120">
        <f t="shared" si="17"/>
        <v>230</v>
      </c>
    </row>
    <row r="1130" spans="24:25" x14ac:dyDescent="0.25">
      <c r="X1130" s="101">
        <v>1125</v>
      </c>
      <c r="Y1130" s="120">
        <f t="shared" si="17"/>
        <v>230</v>
      </c>
    </row>
    <row r="1131" spans="24:25" x14ac:dyDescent="0.25">
      <c r="X1131" s="101">
        <v>1126</v>
      </c>
      <c r="Y1131" s="120">
        <f t="shared" si="17"/>
        <v>230</v>
      </c>
    </row>
    <row r="1132" spans="24:25" x14ac:dyDescent="0.25">
      <c r="X1132" s="101">
        <v>1127</v>
      </c>
      <c r="Y1132" s="120">
        <f t="shared" si="17"/>
        <v>230</v>
      </c>
    </row>
    <row r="1133" spans="24:25" x14ac:dyDescent="0.25">
      <c r="X1133" s="101">
        <v>1128</v>
      </c>
      <c r="Y1133" s="120">
        <f t="shared" si="17"/>
        <v>230</v>
      </c>
    </row>
    <row r="1134" spans="24:25" x14ac:dyDescent="0.25">
      <c r="X1134" s="101">
        <v>1129</v>
      </c>
      <c r="Y1134" s="120">
        <f t="shared" si="17"/>
        <v>230</v>
      </c>
    </row>
    <row r="1135" spans="24:25" x14ac:dyDescent="0.25">
      <c r="X1135" s="101">
        <v>1130</v>
      </c>
      <c r="Y1135" s="120">
        <f t="shared" si="17"/>
        <v>230</v>
      </c>
    </row>
    <row r="1136" spans="24:25" x14ac:dyDescent="0.25">
      <c r="X1136" s="101">
        <v>1131</v>
      </c>
      <c r="Y1136" s="120">
        <f t="shared" si="17"/>
        <v>230</v>
      </c>
    </row>
    <row r="1137" spans="24:25" x14ac:dyDescent="0.25">
      <c r="X1137" s="101">
        <v>1132</v>
      </c>
      <c r="Y1137" s="120">
        <f t="shared" si="17"/>
        <v>230</v>
      </c>
    </row>
    <row r="1138" spans="24:25" x14ac:dyDescent="0.25">
      <c r="X1138" s="101">
        <v>1133</v>
      </c>
      <c r="Y1138" s="120">
        <f t="shared" si="17"/>
        <v>230</v>
      </c>
    </row>
    <row r="1139" spans="24:25" x14ac:dyDescent="0.25">
      <c r="X1139" s="101">
        <v>1134</v>
      </c>
      <c r="Y1139" s="120">
        <f t="shared" si="17"/>
        <v>230</v>
      </c>
    </row>
    <row r="1140" spans="24:25" x14ac:dyDescent="0.25">
      <c r="X1140" s="101">
        <v>1135</v>
      </c>
      <c r="Y1140" s="120">
        <f t="shared" si="17"/>
        <v>230</v>
      </c>
    </row>
    <row r="1141" spans="24:25" x14ac:dyDescent="0.25">
      <c r="X1141" s="101">
        <v>1136</v>
      </c>
      <c r="Y1141" s="120">
        <f t="shared" si="17"/>
        <v>230</v>
      </c>
    </row>
    <row r="1142" spans="24:25" x14ac:dyDescent="0.25">
      <c r="X1142" s="101">
        <v>1137</v>
      </c>
      <c r="Y1142" s="120">
        <f t="shared" si="17"/>
        <v>230</v>
      </c>
    </row>
    <row r="1143" spans="24:25" x14ac:dyDescent="0.25">
      <c r="X1143" s="101">
        <v>1138</v>
      </c>
      <c r="Y1143" s="120">
        <f t="shared" si="17"/>
        <v>230</v>
      </c>
    </row>
    <row r="1144" spans="24:25" x14ac:dyDescent="0.25">
      <c r="X1144" s="101">
        <v>1139</v>
      </c>
      <c r="Y1144" s="120">
        <f t="shared" si="17"/>
        <v>230</v>
      </c>
    </row>
    <row r="1145" spans="24:25" x14ac:dyDescent="0.25">
      <c r="X1145" s="101">
        <v>1140</v>
      </c>
      <c r="Y1145" s="120">
        <f t="shared" si="17"/>
        <v>235</v>
      </c>
    </row>
    <row r="1146" spans="24:25" x14ac:dyDescent="0.25">
      <c r="X1146" s="101">
        <v>1141</v>
      </c>
      <c r="Y1146" s="120">
        <f t="shared" si="17"/>
        <v>235</v>
      </c>
    </row>
    <row r="1147" spans="24:25" x14ac:dyDescent="0.25">
      <c r="X1147" s="101">
        <v>1142</v>
      </c>
      <c r="Y1147" s="120">
        <f t="shared" si="17"/>
        <v>235</v>
      </c>
    </row>
    <row r="1148" spans="24:25" x14ac:dyDescent="0.25">
      <c r="X1148" s="101">
        <v>1143</v>
      </c>
      <c r="Y1148" s="120">
        <f t="shared" si="17"/>
        <v>235</v>
      </c>
    </row>
    <row r="1149" spans="24:25" x14ac:dyDescent="0.25">
      <c r="X1149" s="101">
        <v>1144</v>
      </c>
      <c r="Y1149" s="120">
        <f t="shared" si="17"/>
        <v>235</v>
      </c>
    </row>
    <row r="1150" spans="24:25" x14ac:dyDescent="0.25">
      <c r="X1150" s="101">
        <v>1145</v>
      </c>
      <c r="Y1150" s="120">
        <f t="shared" si="17"/>
        <v>235</v>
      </c>
    </row>
    <row r="1151" spans="24:25" x14ac:dyDescent="0.25">
      <c r="X1151" s="101">
        <v>1146</v>
      </c>
      <c r="Y1151" s="120">
        <f t="shared" si="17"/>
        <v>235</v>
      </c>
    </row>
    <row r="1152" spans="24:25" x14ac:dyDescent="0.25">
      <c r="X1152" s="101">
        <v>1147</v>
      </c>
      <c r="Y1152" s="120">
        <f t="shared" si="17"/>
        <v>235</v>
      </c>
    </row>
    <row r="1153" spans="24:25" x14ac:dyDescent="0.25">
      <c r="X1153" s="101">
        <v>1148</v>
      </c>
      <c r="Y1153" s="120">
        <f t="shared" si="17"/>
        <v>235</v>
      </c>
    </row>
    <row r="1154" spans="24:25" x14ac:dyDescent="0.25">
      <c r="X1154" s="101">
        <v>1149</v>
      </c>
      <c r="Y1154" s="120">
        <f t="shared" si="17"/>
        <v>235</v>
      </c>
    </row>
    <row r="1155" spans="24:25" x14ac:dyDescent="0.25">
      <c r="X1155" s="101">
        <v>1150</v>
      </c>
      <c r="Y1155" s="120">
        <f t="shared" si="17"/>
        <v>235</v>
      </c>
    </row>
    <row r="1156" spans="24:25" x14ac:dyDescent="0.25">
      <c r="X1156" s="101">
        <v>1151</v>
      </c>
      <c r="Y1156" s="120">
        <f t="shared" si="17"/>
        <v>235</v>
      </c>
    </row>
    <row r="1157" spans="24:25" x14ac:dyDescent="0.25">
      <c r="X1157" s="101">
        <v>1152</v>
      </c>
      <c r="Y1157" s="120">
        <f t="shared" si="17"/>
        <v>235</v>
      </c>
    </row>
    <row r="1158" spans="24:25" x14ac:dyDescent="0.25">
      <c r="X1158" s="101">
        <v>1153</v>
      </c>
      <c r="Y1158" s="120">
        <f t="shared" ref="Y1158:Y1221" si="18">INDEX(inhale_driver_table,INT(100*(X1158/ticks_per_inhale))+1)</f>
        <v>235</v>
      </c>
    </row>
    <row r="1159" spans="24:25" x14ac:dyDescent="0.25">
      <c r="X1159" s="101">
        <v>1154</v>
      </c>
      <c r="Y1159" s="120">
        <f t="shared" si="18"/>
        <v>235</v>
      </c>
    </row>
    <row r="1160" spans="24:25" x14ac:dyDescent="0.25">
      <c r="X1160" s="101">
        <v>1155</v>
      </c>
      <c r="Y1160" s="120">
        <f t="shared" si="18"/>
        <v>235</v>
      </c>
    </row>
    <row r="1161" spans="24:25" x14ac:dyDescent="0.25">
      <c r="X1161" s="101">
        <v>1156</v>
      </c>
      <c r="Y1161" s="120">
        <f t="shared" si="18"/>
        <v>235</v>
      </c>
    </row>
    <row r="1162" spans="24:25" x14ac:dyDescent="0.25">
      <c r="X1162" s="101">
        <v>1157</v>
      </c>
      <c r="Y1162" s="120">
        <f t="shared" si="18"/>
        <v>235</v>
      </c>
    </row>
    <row r="1163" spans="24:25" x14ac:dyDescent="0.25">
      <c r="X1163" s="101">
        <v>1158</v>
      </c>
      <c r="Y1163" s="120">
        <f t="shared" si="18"/>
        <v>235</v>
      </c>
    </row>
    <row r="1164" spans="24:25" x14ac:dyDescent="0.25">
      <c r="X1164" s="101">
        <v>1159</v>
      </c>
      <c r="Y1164" s="120">
        <f t="shared" si="18"/>
        <v>235</v>
      </c>
    </row>
    <row r="1165" spans="24:25" x14ac:dyDescent="0.25">
      <c r="X1165" s="101">
        <v>1160</v>
      </c>
      <c r="Y1165" s="120">
        <f t="shared" si="18"/>
        <v>240</v>
      </c>
    </row>
    <row r="1166" spans="24:25" x14ac:dyDescent="0.25">
      <c r="X1166" s="101">
        <v>1161</v>
      </c>
      <c r="Y1166" s="120">
        <f t="shared" si="18"/>
        <v>240</v>
      </c>
    </row>
    <row r="1167" spans="24:25" x14ac:dyDescent="0.25">
      <c r="X1167" s="101">
        <v>1162</v>
      </c>
      <c r="Y1167" s="120">
        <f t="shared" si="18"/>
        <v>240</v>
      </c>
    </row>
    <row r="1168" spans="24:25" x14ac:dyDescent="0.25">
      <c r="X1168" s="101">
        <v>1163</v>
      </c>
      <c r="Y1168" s="120">
        <f t="shared" si="18"/>
        <v>240</v>
      </c>
    </row>
    <row r="1169" spans="24:25" x14ac:dyDescent="0.25">
      <c r="X1169" s="101">
        <v>1164</v>
      </c>
      <c r="Y1169" s="120">
        <f t="shared" si="18"/>
        <v>240</v>
      </c>
    </row>
    <row r="1170" spans="24:25" x14ac:dyDescent="0.25">
      <c r="X1170" s="101">
        <v>1165</v>
      </c>
      <c r="Y1170" s="120">
        <f t="shared" si="18"/>
        <v>240</v>
      </c>
    </row>
    <row r="1171" spans="24:25" x14ac:dyDescent="0.25">
      <c r="X1171" s="101">
        <v>1166</v>
      </c>
      <c r="Y1171" s="120">
        <f t="shared" si="18"/>
        <v>240</v>
      </c>
    </row>
    <row r="1172" spans="24:25" x14ac:dyDescent="0.25">
      <c r="X1172" s="101">
        <v>1167</v>
      </c>
      <c r="Y1172" s="120">
        <f t="shared" si="18"/>
        <v>240</v>
      </c>
    </row>
    <row r="1173" spans="24:25" x14ac:dyDescent="0.25">
      <c r="X1173" s="101">
        <v>1168</v>
      </c>
      <c r="Y1173" s="120">
        <f t="shared" si="18"/>
        <v>240</v>
      </c>
    </row>
    <row r="1174" spans="24:25" x14ac:dyDescent="0.25">
      <c r="X1174" s="101">
        <v>1169</v>
      </c>
      <c r="Y1174" s="120">
        <f t="shared" si="18"/>
        <v>240</v>
      </c>
    </row>
    <row r="1175" spans="24:25" x14ac:dyDescent="0.25">
      <c r="X1175" s="101">
        <v>1170</v>
      </c>
      <c r="Y1175" s="120">
        <f t="shared" si="18"/>
        <v>240</v>
      </c>
    </row>
    <row r="1176" spans="24:25" x14ac:dyDescent="0.25">
      <c r="X1176" s="101">
        <v>1171</v>
      </c>
      <c r="Y1176" s="120">
        <f t="shared" si="18"/>
        <v>240</v>
      </c>
    </row>
    <row r="1177" spans="24:25" x14ac:dyDescent="0.25">
      <c r="X1177" s="101">
        <v>1172</v>
      </c>
      <c r="Y1177" s="120">
        <f t="shared" si="18"/>
        <v>240</v>
      </c>
    </row>
    <row r="1178" spans="24:25" x14ac:dyDescent="0.25">
      <c r="X1178" s="101">
        <v>1173</v>
      </c>
      <c r="Y1178" s="120">
        <f t="shared" si="18"/>
        <v>240</v>
      </c>
    </row>
    <row r="1179" spans="24:25" x14ac:dyDescent="0.25">
      <c r="X1179" s="101">
        <v>1174</v>
      </c>
      <c r="Y1179" s="120">
        <f t="shared" si="18"/>
        <v>240</v>
      </c>
    </row>
    <row r="1180" spans="24:25" x14ac:dyDescent="0.25">
      <c r="X1180" s="101">
        <v>1175</v>
      </c>
      <c r="Y1180" s="120">
        <f t="shared" si="18"/>
        <v>240</v>
      </c>
    </row>
    <row r="1181" spans="24:25" x14ac:dyDescent="0.25">
      <c r="X1181" s="101">
        <v>1176</v>
      </c>
      <c r="Y1181" s="120">
        <f t="shared" si="18"/>
        <v>240</v>
      </c>
    </row>
    <row r="1182" spans="24:25" x14ac:dyDescent="0.25">
      <c r="X1182" s="101">
        <v>1177</v>
      </c>
      <c r="Y1182" s="120">
        <f t="shared" si="18"/>
        <v>240</v>
      </c>
    </row>
    <row r="1183" spans="24:25" x14ac:dyDescent="0.25">
      <c r="X1183" s="101">
        <v>1178</v>
      </c>
      <c r="Y1183" s="120">
        <f t="shared" si="18"/>
        <v>240</v>
      </c>
    </row>
    <row r="1184" spans="24:25" x14ac:dyDescent="0.25">
      <c r="X1184" s="101">
        <v>1179</v>
      </c>
      <c r="Y1184" s="120">
        <f t="shared" si="18"/>
        <v>240</v>
      </c>
    </row>
    <row r="1185" spans="24:25" x14ac:dyDescent="0.25">
      <c r="X1185" s="101">
        <v>1180</v>
      </c>
      <c r="Y1185" s="120">
        <f t="shared" si="18"/>
        <v>245</v>
      </c>
    </row>
    <row r="1186" spans="24:25" x14ac:dyDescent="0.25">
      <c r="X1186" s="101">
        <v>1181</v>
      </c>
      <c r="Y1186" s="120">
        <f t="shared" si="18"/>
        <v>245</v>
      </c>
    </row>
    <row r="1187" spans="24:25" x14ac:dyDescent="0.25">
      <c r="X1187" s="101">
        <v>1182</v>
      </c>
      <c r="Y1187" s="120">
        <f t="shared" si="18"/>
        <v>245</v>
      </c>
    </row>
    <row r="1188" spans="24:25" x14ac:dyDescent="0.25">
      <c r="X1188" s="101">
        <v>1183</v>
      </c>
      <c r="Y1188" s="120">
        <f t="shared" si="18"/>
        <v>245</v>
      </c>
    </row>
    <row r="1189" spans="24:25" x14ac:dyDescent="0.25">
      <c r="X1189" s="101">
        <v>1184</v>
      </c>
      <c r="Y1189" s="120">
        <f t="shared" si="18"/>
        <v>245</v>
      </c>
    </row>
    <row r="1190" spans="24:25" x14ac:dyDescent="0.25">
      <c r="X1190" s="101">
        <v>1185</v>
      </c>
      <c r="Y1190" s="120">
        <f t="shared" si="18"/>
        <v>245</v>
      </c>
    </row>
    <row r="1191" spans="24:25" x14ac:dyDescent="0.25">
      <c r="X1191" s="101">
        <v>1186</v>
      </c>
      <c r="Y1191" s="120">
        <f t="shared" si="18"/>
        <v>245</v>
      </c>
    </row>
    <row r="1192" spans="24:25" x14ac:dyDescent="0.25">
      <c r="X1192" s="101">
        <v>1187</v>
      </c>
      <c r="Y1192" s="120">
        <f t="shared" si="18"/>
        <v>245</v>
      </c>
    </row>
    <row r="1193" spans="24:25" x14ac:dyDescent="0.25">
      <c r="X1193" s="101">
        <v>1188</v>
      </c>
      <c r="Y1193" s="120">
        <f t="shared" si="18"/>
        <v>245</v>
      </c>
    </row>
    <row r="1194" spans="24:25" x14ac:dyDescent="0.25">
      <c r="X1194" s="101">
        <v>1189</v>
      </c>
      <c r="Y1194" s="120">
        <f t="shared" si="18"/>
        <v>245</v>
      </c>
    </row>
    <row r="1195" spans="24:25" x14ac:dyDescent="0.25">
      <c r="X1195" s="101">
        <v>1190</v>
      </c>
      <c r="Y1195" s="120">
        <f t="shared" si="18"/>
        <v>245</v>
      </c>
    </row>
    <row r="1196" spans="24:25" x14ac:dyDescent="0.25">
      <c r="X1196" s="101">
        <v>1191</v>
      </c>
      <c r="Y1196" s="120">
        <f t="shared" si="18"/>
        <v>245</v>
      </c>
    </row>
    <row r="1197" spans="24:25" x14ac:dyDescent="0.25">
      <c r="X1197" s="101">
        <v>1192</v>
      </c>
      <c r="Y1197" s="120">
        <f t="shared" si="18"/>
        <v>245</v>
      </c>
    </row>
    <row r="1198" spans="24:25" x14ac:dyDescent="0.25">
      <c r="X1198" s="101">
        <v>1193</v>
      </c>
      <c r="Y1198" s="120">
        <f t="shared" si="18"/>
        <v>245</v>
      </c>
    </row>
    <row r="1199" spans="24:25" x14ac:dyDescent="0.25">
      <c r="X1199" s="101">
        <v>1194</v>
      </c>
      <c r="Y1199" s="120">
        <f t="shared" si="18"/>
        <v>245</v>
      </c>
    </row>
    <row r="1200" spans="24:25" x14ac:dyDescent="0.25">
      <c r="X1200" s="101">
        <v>1195</v>
      </c>
      <c r="Y1200" s="120">
        <f t="shared" si="18"/>
        <v>245</v>
      </c>
    </row>
    <row r="1201" spans="24:25" x14ac:dyDescent="0.25">
      <c r="X1201" s="101">
        <v>1196</v>
      </c>
      <c r="Y1201" s="120">
        <f t="shared" si="18"/>
        <v>245</v>
      </c>
    </row>
    <row r="1202" spans="24:25" x14ac:dyDescent="0.25">
      <c r="X1202" s="101">
        <v>1197</v>
      </c>
      <c r="Y1202" s="120">
        <f t="shared" si="18"/>
        <v>245</v>
      </c>
    </row>
    <row r="1203" spans="24:25" x14ac:dyDescent="0.25">
      <c r="X1203" s="101">
        <v>1198</v>
      </c>
      <c r="Y1203" s="120">
        <f t="shared" si="18"/>
        <v>245</v>
      </c>
    </row>
    <row r="1204" spans="24:25" x14ac:dyDescent="0.25">
      <c r="X1204" s="101">
        <v>1199</v>
      </c>
      <c r="Y1204" s="120">
        <f t="shared" si="18"/>
        <v>245</v>
      </c>
    </row>
    <row r="1205" spans="24:25" x14ac:dyDescent="0.25">
      <c r="X1205" s="101">
        <v>1200</v>
      </c>
      <c r="Y1205" s="120">
        <f t="shared" si="18"/>
        <v>250</v>
      </c>
    </row>
    <row r="1206" spans="24:25" x14ac:dyDescent="0.25">
      <c r="X1206" s="101">
        <v>1201</v>
      </c>
      <c r="Y1206" s="120">
        <f t="shared" si="18"/>
        <v>250</v>
      </c>
    </row>
    <row r="1207" spans="24:25" x14ac:dyDescent="0.25">
      <c r="X1207" s="101">
        <v>1202</v>
      </c>
      <c r="Y1207" s="120">
        <f t="shared" si="18"/>
        <v>250</v>
      </c>
    </row>
    <row r="1208" spans="24:25" x14ac:dyDescent="0.25">
      <c r="X1208" s="101">
        <v>1203</v>
      </c>
      <c r="Y1208" s="120">
        <f t="shared" si="18"/>
        <v>250</v>
      </c>
    </row>
    <row r="1209" spans="24:25" x14ac:dyDescent="0.25">
      <c r="X1209" s="101">
        <v>1204</v>
      </c>
      <c r="Y1209" s="120">
        <f t="shared" si="18"/>
        <v>250</v>
      </c>
    </row>
    <row r="1210" spans="24:25" x14ac:dyDescent="0.25">
      <c r="X1210" s="101">
        <v>1205</v>
      </c>
      <c r="Y1210" s="120">
        <f t="shared" si="18"/>
        <v>250</v>
      </c>
    </row>
    <row r="1211" spans="24:25" x14ac:dyDescent="0.25">
      <c r="X1211" s="101">
        <v>1206</v>
      </c>
      <c r="Y1211" s="120">
        <f t="shared" si="18"/>
        <v>250</v>
      </c>
    </row>
    <row r="1212" spans="24:25" x14ac:dyDescent="0.25">
      <c r="X1212" s="101">
        <v>1207</v>
      </c>
      <c r="Y1212" s="120">
        <f t="shared" si="18"/>
        <v>250</v>
      </c>
    </row>
    <row r="1213" spans="24:25" x14ac:dyDescent="0.25">
      <c r="X1213" s="101">
        <v>1208</v>
      </c>
      <c r="Y1213" s="120">
        <f t="shared" si="18"/>
        <v>250</v>
      </c>
    </row>
    <row r="1214" spans="24:25" x14ac:dyDescent="0.25">
      <c r="X1214" s="101">
        <v>1209</v>
      </c>
      <c r="Y1214" s="120">
        <f t="shared" si="18"/>
        <v>250</v>
      </c>
    </row>
    <row r="1215" spans="24:25" x14ac:dyDescent="0.25">
      <c r="X1215" s="101">
        <v>1210</v>
      </c>
      <c r="Y1215" s="120">
        <f t="shared" si="18"/>
        <v>250</v>
      </c>
    </row>
    <row r="1216" spans="24:25" x14ac:dyDescent="0.25">
      <c r="X1216" s="101">
        <v>1211</v>
      </c>
      <c r="Y1216" s="120">
        <f t="shared" si="18"/>
        <v>250</v>
      </c>
    </row>
    <row r="1217" spans="24:25" x14ac:dyDescent="0.25">
      <c r="X1217" s="101">
        <v>1212</v>
      </c>
      <c r="Y1217" s="120">
        <f t="shared" si="18"/>
        <v>250</v>
      </c>
    </row>
    <row r="1218" spans="24:25" x14ac:dyDescent="0.25">
      <c r="X1218" s="101">
        <v>1213</v>
      </c>
      <c r="Y1218" s="120">
        <f t="shared" si="18"/>
        <v>250</v>
      </c>
    </row>
    <row r="1219" spans="24:25" x14ac:dyDescent="0.25">
      <c r="X1219" s="101">
        <v>1214</v>
      </c>
      <c r="Y1219" s="120">
        <f t="shared" si="18"/>
        <v>250</v>
      </c>
    </row>
    <row r="1220" spans="24:25" x14ac:dyDescent="0.25">
      <c r="X1220" s="101">
        <v>1215</v>
      </c>
      <c r="Y1220" s="120">
        <f t="shared" si="18"/>
        <v>250</v>
      </c>
    </row>
    <row r="1221" spans="24:25" x14ac:dyDescent="0.25">
      <c r="X1221" s="101">
        <v>1216</v>
      </c>
      <c r="Y1221" s="120">
        <f t="shared" si="18"/>
        <v>250</v>
      </c>
    </row>
    <row r="1222" spans="24:25" x14ac:dyDescent="0.25">
      <c r="X1222" s="101">
        <v>1217</v>
      </c>
      <c r="Y1222" s="120">
        <f t="shared" ref="Y1222:Y1285" si="19">INDEX(inhale_driver_table,INT(100*(X1222/ticks_per_inhale))+1)</f>
        <v>250</v>
      </c>
    </row>
    <row r="1223" spans="24:25" x14ac:dyDescent="0.25">
      <c r="X1223" s="101">
        <v>1218</v>
      </c>
      <c r="Y1223" s="120">
        <f t="shared" si="19"/>
        <v>250</v>
      </c>
    </row>
    <row r="1224" spans="24:25" x14ac:dyDescent="0.25">
      <c r="X1224" s="101">
        <v>1219</v>
      </c>
      <c r="Y1224" s="120">
        <f t="shared" si="19"/>
        <v>250</v>
      </c>
    </row>
    <row r="1225" spans="24:25" x14ac:dyDescent="0.25">
      <c r="X1225" s="101">
        <v>1220</v>
      </c>
      <c r="Y1225" s="120">
        <f t="shared" si="19"/>
        <v>255</v>
      </c>
    </row>
    <row r="1226" spans="24:25" x14ac:dyDescent="0.25">
      <c r="X1226" s="101">
        <v>1221</v>
      </c>
      <c r="Y1226" s="120">
        <f t="shared" si="19"/>
        <v>255</v>
      </c>
    </row>
    <row r="1227" spans="24:25" x14ac:dyDescent="0.25">
      <c r="X1227" s="101">
        <v>1222</v>
      </c>
      <c r="Y1227" s="120">
        <f t="shared" si="19"/>
        <v>255</v>
      </c>
    </row>
    <row r="1228" spans="24:25" x14ac:dyDescent="0.25">
      <c r="X1228" s="101">
        <v>1223</v>
      </c>
      <c r="Y1228" s="120">
        <f t="shared" si="19"/>
        <v>255</v>
      </c>
    </row>
    <row r="1229" spans="24:25" x14ac:dyDescent="0.25">
      <c r="X1229" s="101">
        <v>1224</v>
      </c>
      <c r="Y1229" s="120">
        <f t="shared" si="19"/>
        <v>255</v>
      </c>
    </row>
    <row r="1230" spans="24:25" x14ac:dyDescent="0.25">
      <c r="X1230" s="101">
        <v>1225</v>
      </c>
      <c r="Y1230" s="120">
        <f t="shared" si="19"/>
        <v>255</v>
      </c>
    </row>
    <row r="1231" spans="24:25" x14ac:dyDescent="0.25">
      <c r="X1231" s="101">
        <v>1226</v>
      </c>
      <c r="Y1231" s="120">
        <f t="shared" si="19"/>
        <v>255</v>
      </c>
    </row>
    <row r="1232" spans="24:25" x14ac:dyDescent="0.25">
      <c r="X1232" s="101">
        <v>1227</v>
      </c>
      <c r="Y1232" s="120">
        <f t="shared" si="19"/>
        <v>255</v>
      </c>
    </row>
    <row r="1233" spans="24:25" x14ac:dyDescent="0.25">
      <c r="X1233" s="101">
        <v>1228</v>
      </c>
      <c r="Y1233" s="120">
        <f t="shared" si="19"/>
        <v>255</v>
      </c>
    </row>
    <row r="1234" spans="24:25" x14ac:dyDescent="0.25">
      <c r="X1234" s="101">
        <v>1229</v>
      </c>
      <c r="Y1234" s="120">
        <f t="shared" si="19"/>
        <v>255</v>
      </c>
    </row>
    <row r="1235" spans="24:25" x14ac:dyDescent="0.25">
      <c r="X1235" s="101">
        <v>1230</v>
      </c>
      <c r="Y1235" s="120">
        <f t="shared" si="19"/>
        <v>255</v>
      </c>
    </row>
    <row r="1236" spans="24:25" x14ac:dyDescent="0.25">
      <c r="X1236" s="101">
        <v>1231</v>
      </c>
      <c r="Y1236" s="120">
        <f t="shared" si="19"/>
        <v>255</v>
      </c>
    </row>
    <row r="1237" spans="24:25" x14ac:dyDescent="0.25">
      <c r="X1237" s="101">
        <v>1232</v>
      </c>
      <c r="Y1237" s="120">
        <f t="shared" si="19"/>
        <v>255</v>
      </c>
    </row>
    <row r="1238" spans="24:25" x14ac:dyDescent="0.25">
      <c r="X1238" s="101">
        <v>1233</v>
      </c>
      <c r="Y1238" s="120">
        <f t="shared" si="19"/>
        <v>255</v>
      </c>
    </row>
    <row r="1239" spans="24:25" x14ac:dyDescent="0.25">
      <c r="X1239" s="101">
        <v>1234</v>
      </c>
      <c r="Y1239" s="120">
        <f t="shared" si="19"/>
        <v>255</v>
      </c>
    </row>
    <row r="1240" spans="24:25" x14ac:dyDescent="0.25">
      <c r="X1240" s="101">
        <v>1235</v>
      </c>
      <c r="Y1240" s="120">
        <f t="shared" si="19"/>
        <v>255</v>
      </c>
    </row>
    <row r="1241" spans="24:25" x14ac:dyDescent="0.25">
      <c r="X1241" s="101">
        <v>1236</v>
      </c>
      <c r="Y1241" s="120">
        <f t="shared" si="19"/>
        <v>255</v>
      </c>
    </row>
    <row r="1242" spans="24:25" x14ac:dyDescent="0.25">
      <c r="X1242" s="101">
        <v>1237</v>
      </c>
      <c r="Y1242" s="120">
        <f t="shared" si="19"/>
        <v>255</v>
      </c>
    </row>
    <row r="1243" spans="24:25" x14ac:dyDescent="0.25">
      <c r="X1243" s="101">
        <v>1238</v>
      </c>
      <c r="Y1243" s="120">
        <f t="shared" si="19"/>
        <v>255</v>
      </c>
    </row>
    <row r="1244" spans="24:25" x14ac:dyDescent="0.25">
      <c r="X1244" s="101">
        <v>1239</v>
      </c>
      <c r="Y1244" s="120">
        <f t="shared" si="19"/>
        <v>255</v>
      </c>
    </row>
    <row r="1245" spans="24:25" x14ac:dyDescent="0.25">
      <c r="X1245" s="101">
        <v>1240</v>
      </c>
      <c r="Y1245" s="120">
        <f t="shared" si="19"/>
        <v>260</v>
      </c>
    </row>
    <row r="1246" spans="24:25" x14ac:dyDescent="0.25">
      <c r="X1246" s="101">
        <v>1241</v>
      </c>
      <c r="Y1246" s="120">
        <f t="shared" si="19"/>
        <v>260</v>
      </c>
    </row>
    <row r="1247" spans="24:25" x14ac:dyDescent="0.25">
      <c r="X1247" s="101">
        <v>1242</v>
      </c>
      <c r="Y1247" s="120">
        <f t="shared" si="19"/>
        <v>260</v>
      </c>
    </row>
    <row r="1248" spans="24:25" x14ac:dyDescent="0.25">
      <c r="X1248" s="101">
        <v>1243</v>
      </c>
      <c r="Y1248" s="120">
        <f t="shared" si="19"/>
        <v>260</v>
      </c>
    </row>
    <row r="1249" spans="24:25" x14ac:dyDescent="0.25">
      <c r="X1249" s="101">
        <v>1244</v>
      </c>
      <c r="Y1249" s="120">
        <f t="shared" si="19"/>
        <v>260</v>
      </c>
    </row>
    <row r="1250" spans="24:25" x14ac:dyDescent="0.25">
      <c r="X1250" s="101">
        <v>1245</v>
      </c>
      <c r="Y1250" s="120">
        <f t="shared" si="19"/>
        <v>260</v>
      </c>
    </row>
    <row r="1251" spans="24:25" x14ac:dyDescent="0.25">
      <c r="X1251" s="101">
        <v>1246</v>
      </c>
      <c r="Y1251" s="120">
        <f t="shared" si="19"/>
        <v>260</v>
      </c>
    </row>
    <row r="1252" spans="24:25" x14ac:dyDescent="0.25">
      <c r="X1252" s="101">
        <v>1247</v>
      </c>
      <c r="Y1252" s="120">
        <f t="shared" si="19"/>
        <v>260</v>
      </c>
    </row>
    <row r="1253" spans="24:25" x14ac:dyDescent="0.25">
      <c r="X1253" s="101">
        <v>1248</v>
      </c>
      <c r="Y1253" s="120">
        <f t="shared" si="19"/>
        <v>260</v>
      </c>
    </row>
    <row r="1254" spans="24:25" x14ac:dyDescent="0.25">
      <c r="X1254" s="101">
        <v>1249</v>
      </c>
      <c r="Y1254" s="120">
        <f t="shared" si="19"/>
        <v>260</v>
      </c>
    </row>
    <row r="1255" spans="24:25" x14ac:dyDescent="0.25">
      <c r="X1255" s="101">
        <v>1250</v>
      </c>
      <c r="Y1255" s="120">
        <f t="shared" si="19"/>
        <v>260</v>
      </c>
    </row>
    <row r="1256" spans="24:25" x14ac:dyDescent="0.25">
      <c r="X1256" s="101">
        <v>1251</v>
      </c>
      <c r="Y1256" s="120">
        <f t="shared" si="19"/>
        <v>260</v>
      </c>
    </row>
    <row r="1257" spans="24:25" x14ac:dyDescent="0.25">
      <c r="X1257" s="101">
        <v>1252</v>
      </c>
      <c r="Y1257" s="120">
        <f t="shared" si="19"/>
        <v>260</v>
      </c>
    </row>
    <row r="1258" spans="24:25" x14ac:dyDescent="0.25">
      <c r="X1258" s="101">
        <v>1253</v>
      </c>
      <c r="Y1258" s="120">
        <f t="shared" si="19"/>
        <v>260</v>
      </c>
    </row>
    <row r="1259" spans="24:25" x14ac:dyDescent="0.25">
      <c r="X1259" s="101">
        <v>1254</v>
      </c>
      <c r="Y1259" s="120">
        <f t="shared" si="19"/>
        <v>260</v>
      </c>
    </row>
    <row r="1260" spans="24:25" x14ac:dyDescent="0.25">
      <c r="X1260" s="101">
        <v>1255</v>
      </c>
      <c r="Y1260" s="120">
        <f t="shared" si="19"/>
        <v>260</v>
      </c>
    </row>
    <row r="1261" spans="24:25" x14ac:dyDescent="0.25">
      <c r="X1261" s="101">
        <v>1256</v>
      </c>
      <c r="Y1261" s="120">
        <f t="shared" si="19"/>
        <v>260</v>
      </c>
    </row>
    <row r="1262" spans="24:25" x14ac:dyDescent="0.25">
      <c r="X1262" s="101">
        <v>1257</v>
      </c>
      <c r="Y1262" s="120">
        <f t="shared" si="19"/>
        <v>260</v>
      </c>
    </row>
    <row r="1263" spans="24:25" x14ac:dyDescent="0.25">
      <c r="X1263" s="101">
        <v>1258</v>
      </c>
      <c r="Y1263" s="120">
        <f t="shared" si="19"/>
        <v>260</v>
      </c>
    </row>
    <row r="1264" spans="24:25" x14ac:dyDescent="0.25">
      <c r="X1264" s="101">
        <v>1259</v>
      </c>
      <c r="Y1264" s="120">
        <f t="shared" si="19"/>
        <v>260</v>
      </c>
    </row>
    <row r="1265" spans="24:25" x14ac:dyDescent="0.25">
      <c r="X1265" s="101">
        <v>1260</v>
      </c>
      <c r="Y1265" s="120">
        <f t="shared" si="19"/>
        <v>265</v>
      </c>
    </row>
    <row r="1266" spans="24:25" x14ac:dyDescent="0.25">
      <c r="X1266" s="101">
        <v>1261</v>
      </c>
      <c r="Y1266" s="120">
        <f t="shared" si="19"/>
        <v>265</v>
      </c>
    </row>
    <row r="1267" spans="24:25" x14ac:dyDescent="0.25">
      <c r="X1267" s="101">
        <v>1262</v>
      </c>
      <c r="Y1267" s="120">
        <f t="shared" si="19"/>
        <v>265</v>
      </c>
    </row>
    <row r="1268" spans="24:25" x14ac:dyDescent="0.25">
      <c r="X1268" s="101">
        <v>1263</v>
      </c>
      <c r="Y1268" s="120">
        <f t="shared" si="19"/>
        <v>265</v>
      </c>
    </row>
    <row r="1269" spans="24:25" x14ac:dyDescent="0.25">
      <c r="X1269" s="101">
        <v>1264</v>
      </c>
      <c r="Y1269" s="120">
        <f t="shared" si="19"/>
        <v>265</v>
      </c>
    </row>
    <row r="1270" spans="24:25" x14ac:dyDescent="0.25">
      <c r="X1270" s="101">
        <v>1265</v>
      </c>
      <c r="Y1270" s="120">
        <f t="shared" si="19"/>
        <v>265</v>
      </c>
    </row>
    <row r="1271" spans="24:25" x14ac:dyDescent="0.25">
      <c r="X1271" s="101">
        <v>1266</v>
      </c>
      <c r="Y1271" s="120">
        <f t="shared" si="19"/>
        <v>265</v>
      </c>
    </row>
    <row r="1272" spans="24:25" x14ac:dyDescent="0.25">
      <c r="X1272" s="101">
        <v>1267</v>
      </c>
      <c r="Y1272" s="120">
        <f t="shared" si="19"/>
        <v>265</v>
      </c>
    </row>
    <row r="1273" spans="24:25" x14ac:dyDescent="0.25">
      <c r="X1273" s="101">
        <v>1268</v>
      </c>
      <c r="Y1273" s="120">
        <f t="shared" si="19"/>
        <v>265</v>
      </c>
    </row>
    <row r="1274" spans="24:25" x14ac:dyDescent="0.25">
      <c r="X1274" s="101">
        <v>1269</v>
      </c>
      <c r="Y1274" s="120">
        <f t="shared" si="19"/>
        <v>265</v>
      </c>
    </row>
    <row r="1275" spans="24:25" x14ac:dyDescent="0.25">
      <c r="X1275" s="101">
        <v>1270</v>
      </c>
      <c r="Y1275" s="120">
        <f t="shared" si="19"/>
        <v>265</v>
      </c>
    </row>
    <row r="1276" spans="24:25" x14ac:dyDescent="0.25">
      <c r="X1276" s="101">
        <v>1271</v>
      </c>
      <c r="Y1276" s="120">
        <f t="shared" si="19"/>
        <v>265</v>
      </c>
    </row>
    <row r="1277" spans="24:25" x14ac:dyDescent="0.25">
      <c r="X1277" s="101">
        <v>1272</v>
      </c>
      <c r="Y1277" s="120">
        <f t="shared" si="19"/>
        <v>265</v>
      </c>
    </row>
    <row r="1278" spans="24:25" x14ac:dyDescent="0.25">
      <c r="X1278" s="101">
        <v>1273</v>
      </c>
      <c r="Y1278" s="120">
        <f t="shared" si="19"/>
        <v>265</v>
      </c>
    </row>
    <row r="1279" spans="24:25" x14ac:dyDescent="0.25">
      <c r="X1279" s="101">
        <v>1274</v>
      </c>
      <c r="Y1279" s="120">
        <f t="shared" si="19"/>
        <v>265</v>
      </c>
    </row>
    <row r="1280" spans="24:25" x14ac:dyDescent="0.25">
      <c r="X1280" s="101">
        <v>1275</v>
      </c>
      <c r="Y1280" s="120">
        <f t="shared" si="19"/>
        <v>265</v>
      </c>
    </row>
    <row r="1281" spans="24:25" x14ac:dyDescent="0.25">
      <c r="X1281" s="101">
        <v>1276</v>
      </c>
      <c r="Y1281" s="120">
        <f t="shared" si="19"/>
        <v>265</v>
      </c>
    </row>
    <row r="1282" spans="24:25" x14ac:dyDescent="0.25">
      <c r="X1282" s="101">
        <v>1277</v>
      </c>
      <c r="Y1282" s="120">
        <f t="shared" si="19"/>
        <v>265</v>
      </c>
    </row>
    <row r="1283" spans="24:25" x14ac:dyDescent="0.25">
      <c r="X1283" s="101">
        <v>1278</v>
      </c>
      <c r="Y1283" s="120">
        <f t="shared" si="19"/>
        <v>265</v>
      </c>
    </row>
    <row r="1284" spans="24:25" x14ac:dyDescent="0.25">
      <c r="X1284" s="101">
        <v>1279</v>
      </c>
      <c r="Y1284" s="120">
        <f t="shared" si="19"/>
        <v>265</v>
      </c>
    </row>
    <row r="1285" spans="24:25" x14ac:dyDescent="0.25">
      <c r="X1285" s="101">
        <v>1280</v>
      </c>
      <c r="Y1285" s="120">
        <f t="shared" si="19"/>
        <v>270</v>
      </c>
    </row>
    <row r="1286" spans="24:25" x14ac:dyDescent="0.25">
      <c r="X1286" s="101">
        <v>1281</v>
      </c>
      <c r="Y1286" s="120">
        <f t="shared" ref="Y1286:Y1349" si="20">INDEX(inhale_driver_table,INT(100*(X1286/ticks_per_inhale))+1)</f>
        <v>270</v>
      </c>
    </row>
    <row r="1287" spans="24:25" x14ac:dyDescent="0.25">
      <c r="X1287" s="101">
        <v>1282</v>
      </c>
      <c r="Y1287" s="120">
        <f t="shared" si="20"/>
        <v>270</v>
      </c>
    </row>
    <row r="1288" spans="24:25" x14ac:dyDescent="0.25">
      <c r="X1288" s="101">
        <v>1283</v>
      </c>
      <c r="Y1288" s="120">
        <f t="shared" si="20"/>
        <v>270</v>
      </c>
    </row>
    <row r="1289" spans="24:25" x14ac:dyDescent="0.25">
      <c r="X1289" s="101">
        <v>1284</v>
      </c>
      <c r="Y1289" s="120">
        <f t="shared" si="20"/>
        <v>270</v>
      </c>
    </row>
    <row r="1290" spans="24:25" x14ac:dyDescent="0.25">
      <c r="X1290" s="101">
        <v>1285</v>
      </c>
      <c r="Y1290" s="120">
        <f t="shared" si="20"/>
        <v>270</v>
      </c>
    </row>
    <row r="1291" spans="24:25" x14ac:dyDescent="0.25">
      <c r="X1291" s="101">
        <v>1286</v>
      </c>
      <c r="Y1291" s="120">
        <f t="shared" si="20"/>
        <v>270</v>
      </c>
    </row>
    <row r="1292" spans="24:25" x14ac:dyDescent="0.25">
      <c r="X1292" s="101">
        <v>1287</v>
      </c>
      <c r="Y1292" s="120">
        <f t="shared" si="20"/>
        <v>270</v>
      </c>
    </row>
    <row r="1293" spans="24:25" x14ac:dyDescent="0.25">
      <c r="X1293" s="101">
        <v>1288</v>
      </c>
      <c r="Y1293" s="120">
        <f t="shared" si="20"/>
        <v>270</v>
      </c>
    </row>
    <row r="1294" spans="24:25" x14ac:dyDescent="0.25">
      <c r="X1294" s="101">
        <v>1289</v>
      </c>
      <c r="Y1294" s="120">
        <f t="shared" si="20"/>
        <v>270</v>
      </c>
    </row>
    <row r="1295" spans="24:25" x14ac:dyDescent="0.25">
      <c r="X1295" s="101">
        <v>1290</v>
      </c>
      <c r="Y1295" s="120">
        <f t="shared" si="20"/>
        <v>270</v>
      </c>
    </row>
    <row r="1296" spans="24:25" x14ac:dyDescent="0.25">
      <c r="X1296" s="101">
        <v>1291</v>
      </c>
      <c r="Y1296" s="120">
        <f t="shared" si="20"/>
        <v>270</v>
      </c>
    </row>
    <row r="1297" spans="24:25" x14ac:dyDescent="0.25">
      <c r="X1297" s="101">
        <v>1292</v>
      </c>
      <c r="Y1297" s="120">
        <f t="shared" si="20"/>
        <v>270</v>
      </c>
    </row>
    <row r="1298" spans="24:25" x14ac:dyDescent="0.25">
      <c r="X1298" s="101">
        <v>1293</v>
      </c>
      <c r="Y1298" s="120">
        <f t="shared" si="20"/>
        <v>270</v>
      </c>
    </row>
    <row r="1299" spans="24:25" x14ac:dyDescent="0.25">
      <c r="X1299" s="101">
        <v>1294</v>
      </c>
      <c r="Y1299" s="120">
        <f t="shared" si="20"/>
        <v>270</v>
      </c>
    </row>
    <row r="1300" spans="24:25" x14ac:dyDescent="0.25">
      <c r="X1300" s="101">
        <v>1295</v>
      </c>
      <c r="Y1300" s="120">
        <f t="shared" si="20"/>
        <v>270</v>
      </c>
    </row>
    <row r="1301" spans="24:25" x14ac:dyDescent="0.25">
      <c r="X1301" s="101">
        <v>1296</v>
      </c>
      <c r="Y1301" s="120">
        <f t="shared" si="20"/>
        <v>270</v>
      </c>
    </row>
    <row r="1302" spans="24:25" x14ac:dyDescent="0.25">
      <c r="X1302" s="101">
        <v>1297</v>
      </c>
      <c r="Y1302" s="120">
        <f t="shared" si="20"/>
        <v>270</v>
      </c>
    </row>
    <row r="1303" spans="24:25" x14ac:dyDescent="0.25">
      <c r="X1303" s="101">
        <v>1298</v>
      </c>
      <c r="Y1303" s="120">
        <f t="shared" si="20"/>
        <v>270</v>
      </c>
    </row>
    <row r="1304" spans="24:25" x14ac:dyDescent="0.25">
      <c r="X1304" s="101">
        <v>1299</v>
      </c>
      <c r="Y1304" s="120">
        <f t="shared" si="20"/>
        <v>270</v>
      </c>
    </row>
    <row r="1305" spans="24:25" x14ac:dyDescent="0.25">
      <c r="X1305" s="101">
        <v>1300</v>
      </c>
      <c r="Y1305" s="120">
        <f t="shared" si="20"/>
        <v>275</v>
      </c>
    </row>
    <row r="1306" spans="24:25" x14ac:dyDescent="0.25">
      <c r="X1306" s="101">
        <v>1301</v>
      </c>
      <c r="Y1306" s="120">
        <f t="shared" si="20"/>
        <v>275</v>
      </c>
    </row>
    <row r="1307" spans="24:25" x14ac:dyDescent="0.25">
      <c r="X1307" s="101">
        <v>1302</v>
      </c>
      <c r="Y1307" s="120">
        <f t="shared" si="20"/>
        <v>275</v>
      </c>
    </row>
    <row r="1308" spans="24:25" x14ac:dyDescent="0.25">
      <c r="X1308" s="101">
        <v>1303</v>
      </c>
      <c r="Y1308" s="120">
        <f t="shared" si="20"/>
        <v>275</v>
      </c>
    </row>
    <row r="1309" spans="24:25" x14ac:dyDescent="0.25">
      <c r="X1309" s="101">
        <v>1304</v>
      </c>
      <c r="Y1309" s="120">
        <f t="shared" si="20"/>
        <v>275</v>
      </c>
    </row>
    <row r="1310" spans="24:25" x14ac:dyDescent="0.25">
      <c r="X1310" s="101">
        <v>1305</v>
      </c>
      <c r="Y1310" s="120">
        <f t="shared" si="20"/>
        <v>275</v>
      </c>
    </row>
    <row r="1311" spans="24:25" x14ac:dyDescent="0.25">
      <c r="X1311" s="101">
        <v>1306</v>
      </c>
      <c r="Y1311" s="120">
        <f t="shared" si="20"/>
        <v>275</v>
      </c>
    </row>
    <row r="1312" spans="24:25" x14ac:dyDescent="0.25">
      <c r="X1312" s="101">
        <v>1307</v>
      </c>
      <c r="Y1312" s="120">
        <f t="shared" si="20"/>
        <v>275</v>
      </c>
    </row>
    <row r="1313" spans="24:25" x14ac:dyDescent="0.25">
      <c r="X1313" s="101">
        <v>1308</v>
      </c>
      <c r="Y1313" s="120">
        <f t="shared" si="20"/>
        <v>275</v>
      </c>
    </row>
    <row r="1314" spans="24:25" x14ac:dyDescent="0.25">
      <c r="X1314" s="101">
        <v>1309</v>
      </c>
      <c r="Y1314" s="120">
        <f t="shared" si="20"/>
        <v>275</v>
      </c>
    </row>
    <row r="1315" spans="24:25" x14ac:dyDescent="0.25">
      <c r="X1315" s="101">
        <v>1310</v>
      </c>
      <c r="Y1315" s="120">
        <f t="shared" si="20"/>
        <v>275</v>
      </c>
    </row>
    <row r="1316" spans="24:25" x14ac:dyDescent="0.25">
      <c r="X1316" s="101">
        <v>1311</v>
      </c>
      <c r="Y1316" s="120">
        <f t="shared" si="20"/>
        <v>275</v>
      </c>
    </row>
    <row r="1317" spans="24:25" x14ac:dyDescent="0.25">
      <c r="X1317" s="101">
        <v>1312</v>
      </c>
      <c r="Y1317" s="120">
        <f t="shared" si="20"/>
        <v>275</v>
      </c>
    </row>
    <row r="1318" spans="24:25" x14ac:dyDescent="0.25">
      <c r="X1318" s="101">
        <v>1313</v>
      </c>
      <c r="Y1318" s="120">
        <f t="shared" si="20"/>
        <v>275</v>
      </c>
    </row>
    <row r="1319" spans="24:25" x14ac:dyDescent="0.25">
      <c r="X1319" s="101">
        <v>1314</v>
      </c>
      <c r="Y1319" s="120">
        <f t="shared" si="20"/>
        <v>275</v>
      </c>
    </row>
    <row r="1320" spans="24:25" x14ac:dyDescent="0.25">
      <c r="X1320" s="101">
        <v>1315</v>
      </c>
      <c r="Y1320" s="120">
        <f t="shared" si="20"/>
        <v>275</v>
      </c>
    </row>
    <row r="1321" spans="24:25" x14ac:dyDescent="0.25">
      <c r="X1321" s="101">
        <v>1316</v>
      </c>
      <c r="Y1321" s="120">
        <f t="shared" si="20"/>
        <v>275</v>
      </c>
    </row>
    <row r="1322" spans="24:25" x14ac:dyDescent="0.25">
      <c r="X1322" s="101">
        <v>1317</v>
      </c>
      <c r="Y1322" s="120">
        <f t="shared" si="20"/>
        <v>275</v>
      </c>
    </row>
    <row r="1323" spans="24:25" x14ac:dyDescent="0.25">
      <c r="X1323" s="101">
        <v>1318</v>
      </c>
      <c r="Y1323" s="120">
        <f t="shared" si="20"/>
        <v>275</v>
      </c>
    </row>
    <row r="1324" spans="24:25" x14ac:dyDescent="0.25">
      <c r="X1324" s="101">
        <v>1319</v>
      </c>
      <c r="Y1324" s="120">
        <f t="shared" si="20"/>
        <v>275</v>
      </c>
    </row>
    <row r="1325" spans="24:25" x14ac:dyDescent="0.25">
      <c r="X1325" s="101">
        <v>1320</v>
      </c>
      <c r="Y1325" s="120">
        <f t="shared" si="20"/>
        <v>280</v>
      </c>
    </row>
    <row r="1326" spans="24:25" x14ac:dyDescent="0.25">
      <c r="X1326" s="101">
        <v>1321</v>
      </c>
      <c r="Y1326" s="120">
        <f t="shared" si="20"/>
        <v>280</v>
      </c>
    </row>
    <row r="1327" spans="24:25" x14ac:dyDescent="0.25">
      <c r="X1327" s="101">
        <v>1322</v>
      </c>
      <c r="Y1327" s="120">
        <f t="shared" si="20"/>
        <v>280</v>
      </c>
    </row>
    <row r="1328" spans="24:25" x14ac:dyDescent="0.25">
      <c r="X1328" s="101">
        <v>1323</v>
      </c>
      <c r="Y1328" s="120">
        <f t="shared" si="20"/>
        <v>280</v>
      </c>
    </row>
    <row r="1329" spans="24:25" x14ac:dyDescent="0.25">
      <c r="X1329" s="101">
        <v>1324</v>
      </c>
      <c r="Y1329" s="120">
        <f t="shared" si="20"/>
        <v>280</v>
      </c>
    </row>
    <row r="1330" spans="24:25" x14ac:dyDescent="0.25">
      <c r="X1330" s="101">
        <v>1325</v>
      </c>
      <c r="Y1330" s="120">
        <f t="shared" si="20"/>
        <v>280</v>
      </c>
    </row>
    <row r="1331" spans="24:25" x14ac:dyDescent="0.25">
      <c r="X1331" s="101">
        <v>1326</v>
      </c>
      <c r="Y1331" s="120">
        <f t="shared" si="20"/>
        <v>280</v>
      </c>
    </row>
    <row r="1332" spans="24:25" x14ac:dyDescent="0.25">
      <c r="X1332" s="101">
        <v>1327</v>
      </c>
      <c r="Y1332" s="120">
        <f t="shared" si="20"/>
        <v>280</v>
      </c>
    </row>
    <row r="1333" spans="24:25" x14ac:dyDescent="0.25">
      <c r="X1333" s="101">
        <v>1328</v>
      </c>
      <c r="Y1333" s="120">
        <f t="shared" si="20"/>
        <v>280</v>
      </c>
    </row>
    <row r="1334" spans="24:25" x14ac:dyDescent="0.25">
      <c r="X1334" s="101">
        <v>1329</v>
      </c>
      <c r="Y1334" s="120">
        <f t="shared" si="20"/>
        <v>280</v>
      </c>
    </row>
    <row r="1335" spans="24:25" x14ac:dyDescent="0.25">
      <c r="X1335" s="101">
        <v>1330</v>
      </c>
      <c r="Y1335" s="120">
        <f t="shared" si="20"/>
        <v>280</v>
      </c>
    </row>
    <row r="1336" spans="24:25" x14ac:dyDescent="0.25">
      <c r="X1336" s="101">
        <v>1331</v>
      </c>
      <c r="Y1336" s="120">
        <f t="shared" si="20"/>
        <v>280</v>
      </c>
    </row>
    <row r="1337" spans="24:25" x14ac:dyDescent="0.25">
      <c r="X1337" s="101">
        <v>1332</v>
      </c>
      <c r="Y1337" s="120">
        <f t="shared" si="20"/>
        <v>280</v>
      </c>
    </row>
    <row r="1338" spans="24:25" x14ac:dyDescent="0.25">
      <c r="X1338" s="101">
        <v>1333</v>
      </c>
      <c r="Y1338" s="120">
        <f t="shared" si="20"/>
        <v>280</v>
      </c>
    </row>
    <row r="1339" spans="24:25" x14ac:dyDescent="0.25">
      <c r="X1339" s="101">
        <v>1334</v>
      </c>
      <c r="Y1339" s="120">
        <f t="shared" si="20"/>
        <v>280</v>
      </c>
    </row>
    <row r="1340" spans="24:25" x14ac:dyDescent="0.25">
      <c r="X1340" s="101">
        <v>1335</v>
      </c>
      <c r="Y1340" s="120">
        <f t="shared" si="20"/>
        <v>280</v>
      </c>
    </row>
    <row r="1341" spans="24:25" x14ac:dyDescent="0.25">
      <c r="X1341" s="101">
        <v>1336</v>
      </c>
      <c r="Y1341" s="120">
        <f t="shared" si="20"/>
        <v>280</v>
      </c>
    </row>
    <row r="1342" spans="24:25" x14ac:dyDescent="0.25">
      <c r="X1342" s="101">
        <v>1337</v>
      </c>
      <c r="Y1342" s="120">
        <f t="shared" si="20"/>
        <v>280</v>
      </c>
    </row>
    <row r="1343" spans="24:25" x14ac:dyDescent="0.25">
      <c r="X1343" s="101">
        <v>1338</v>
      </c>
      <c r="Y1343" s="120">
        <f t="shared" si="20"/>
        <v>280</v>
      </c>
    </row>
    <row r="1344" spans="24:25" x14ac:dyDescent="0.25">
      <c r="X1344" s="101">
        <v>1339</v>
      </c>
      <c r="Y1344" s="120">
        <f t="shared" si="20"/>
        <v>280</v>
      </c>
    </row>
    <row r="1345" spans="24:25" x14ac:dyDescent="0.25">
      <c r="X1345" s="101">
        <v>1340</v>
      </c>
      <c r="Y1345" s="120">
        <f t="shared" si="20"/>
        <v>285</v>
      </c>
    </row>
    <row r="1346" spans="24:25" x14ac:dyDescent="0.25">
      <c r="X1346" s="101">
        <v>1341</v>
      </c>
      <c r="Y1346" s="120">
        <f t="shared" si="20"/>
        <v>285</v>
      </c>
    </row>
    <row r="1347" spans="24:25" x14ac:dyDescent="0.25">
      <c r="X1347" s="101">
        <v>1342</v>
      </c>
      <c r="Y1347" s="120">
        <f t="shared" si="20"/>
        <v>285</v>
      </c>
    </row>
    <row r="1348" spans="24:25" x14ac:dyDescent="0.25">
      <c r="X1348" s="101">
        <v>1343</v>
      </c>
      <c r="Y1348" s="120">
        <f t="shared" si="20"/>
        <v>285</v>
      </c>
    </row>
    <row r="1349" spans="24:25" x14ac:dyDescent="0.25">
      <c r="X1349" s="101">
        <v>1344</v>
      </c>
      <c r="Y1349" s="120">
        <f t="shared" si="20"/>
        <v>285</v>
      </c>
    </row>
    <row r="1350" spans="24:25" x14ac:dyDescent="0.25">
      <c r="X1350" s="101">
        <v>1345</v>
      </c>
      <c r="Y1350" s="120">
        <f t="shared" ref="Y1350:Y1413" si="21">INDEX(inhale_driver_table,INT(100*(X1350/ticks_per_inhale))+1)</f>
        <v>285</v>
      </c>
    </row>
    <row r="1351" spans="24:25" x14ac:dyDescent="0.25">
      <c r="X1351" s="101">
        <v>1346</v>
      </c>
      <c r="Y1351" s="120">
        <f t="shared" si="21"/>
        <v>285</v>
      </c>
    </row>
    <row r="1352" spans="24:25" x14ac:dyDescent="0.25">
      <c r="X1352" s="101">
        <v>1347</v>
      </c>
      <c r="Y1352" s="120">
        <f t="shared" si="21"/>
        <v>285</v>
      </c>
    </row>
    <row r="1353" spans="24:25" x14ac:dyDescent="0.25">
      <c r="X1353" s="101">
        <v>1348</v>
      </c>
      <c r="Y1353" s="120">
        <f t="shared" si="21"/>
        <v>285</v>
      </c>
    </row>
    <row r="1354" spans="24:25" x14ac:dyDescent="0.25">
      <c r="X1354" s="101">
        <v>1349</v>
      </c>
      <c r="Y1354" s="120">
        <f t="shared" si="21"/>
        <v>285</v>
      </c>
    </row>
    <row r="1355" spans="24:25" x14ac:dyDescent="0.25">
      <c r="X1355" s="101">
        <v>1350</v>
      </c>
      <c r="Y1355" s="120">
        <f t="shared" si="21"/>
        <v>285</v>
      </c>
    </row>
    <row r="1356" spans="24:25" x14ac:dyDescent="0.25">
      <c r="X1356" s="101">
        <v>1351</v>
      </c>
      <c r="Y1356" s="120">
        <f t="shared" si="21"/>
        <v>285</v>
      </c>
    </row>
    <row r="1357" spans="24:25" x14ac:dyDescent="0.25">
      <c r="X1357" s="101">
        <v>1352</v>
      </c>
      <c r="Y1357" s="120">
        <f t="shared" si="21"/>
        <v>285</v>
      </c>
    </row>
    <row r="1358" spans="24:25" x14ac:dyDescent="0.25">
      <c r="X1358" s="101">
        <v>1353</v>
      </c>
      <c r="Y1358" s="120">
        <f t="shared" si="21"/>
        <v>285</v>
      </c>
    </row>
    <row r="1359" spans="24:25" x14ac:dyDescent="0.25">
      <c r="X1359" s="101">
        <v>1354</v>
      </c>
      <c r="Y1359" s="120">
        <f t="shared" si="21"/>
        <v>285</v>
      </c>
    </row>
    <row r="1360" spans="24:25" x14ac:dyDescent="0.25">
      <c r="X1360" s="101">
        <v>1355</v>
      </c>
      <c r="Y1360" s="120">
        <f t="shared" si="21"/>
        <v>285</v>
      </c>
    </row>
    <row r="1361" spans="24:25" x14ac:dyDescent="0.25">
      <c r="X1361" s="101">
        <v>1356</v>
      </c>
      <c r="Y1361" s="120">
        <f t="shared" si="21"/>
        <v>285</v>
      </c>
    </row>
    <row r="1362" spans="24:25" x14ac:dyDescent="0.25">
      <c r="X1362" s="101">
        <v>1357</v>
      </c>
      <c r="Y1362" s="120">
        <f t="shared" si="21"/>
        <v>285</v>
      </c>
    </row>
    <row r="1363" spans="24:25" x14ac:dyDescent="0.25">
      <c r="X1363" s="101">
        <v>1358</v>
      </c>
      <c r="Y1363" s="120">
        <f t="shared" si="21"/>
        <v>285</v>
      </c>
    </row>
    <row r="1364" spans="24:25" x14ac:dyDescent="0.25">
      <c r="X1364" s="101">
        <v>1359</v>
      </c>
      <c r="Y1364" s="120">
        <f t="shared" si="21"/>
        <v>285</v>
      </c>
    </row>
    <row r="1365" spans="24:25" x14ac:dyDescent="0.25">
      <c r="X1365" s="101">
        <v>1360</v>
      </c>
      <c r="Y1365" s="120">
        <f t="shared" si="21"/>
        <v>290</v>
      </c>
    </row>
    <row r="1366" spans="24:25" x14ac:dyDescent="0.25">
      <c r="X1366" s="101">
        <v>1361</v>
      </c>
      <c r="Y1366" s="120">
        <f t="shared" si="21"/>
        <v>290</v>
      </c>
    </row>
    <row r="1367" spans="24:25" x14ac:dyDescent="0.25">
      <c r="X1367" s="101">
        <v>1362</v>
      </c>
      <c r="Y1367" s="120">
        <f t="shared" si="21"/>
        <v>290</v>
      </c>
    </row>
    <row r="1368" spans="24:25" x14ac:dyDescent="0.25">
      <c r="X1368" s="101">
        <v>1363</v>
      </c>
      <c r="Y1368" s="120">
        <f t="shared" si="21"/>
        <v>290</v>
      </c>
    </row>
    <row r="1369" spans="24:25" x14ac:dyDescent="0.25">
      <c r="X1369" s="101">
        <v>1364</v>
      </c>
      <c r="Y1369" s="120">
        <f t="shared" si="21"/>
        <v>290</v>
      </c>
    </row>
    <row r="1370" spans="24:25" x14ac:dyDescent="0.25">
      <c r="X1370" s="101">
        <v>1365</v>
      </c>
      <c r="Y1370" s="120">
        <f t="shared" si="21"/>
        <v>290</v>
      </c>
    </row>
    <row r="1371" spans="24:25" x14ac:dyDescent="0.25">
      <c r="X1371" s="101">
        <v>1366</v>
      </c>
      <c r="Y1371" s="120">
        <f t="shared" si="21"/>
        <v>290</v>
      </c>
    </row>
    <row r="1372" spans="24:25" x14ac:dyDescent="0.25">
      <c r="X1372" s="101">
        <v>1367</v>
      </c>
      <c r="Y1372" s="120">
        <f t="shared" si="21"/>
        <v>290</v>
      </c>
    </row>
    <row r="1373" spans="24:25" x14ac:dyDescent="0.25">
      <c r="X1373" s="101">
        <v>1368</v>
      </c>
      <c r="Y1373" s="120">
        <f t="shared" si="21"/>
        <v>290</v>
      </c>
    </row>
    <row r="1374" spans="24:25" x14ac:dyDescent="0.25">
      <c r="X1374" s="101">
        <v>1369</v>
      </c>
      <c r="Y1374" s="120">
        <f t="shared" si="21"/>
        <v>290</v>
      </c>
    </row>
    <row r="1375" spans="24:25" x14ac:dyDescent="0.25">
      <c r="X1375" s="101">
        <v>1370</v>
      </c>
      <c r="Y1375" s="120">
        <f t="shared" si="21"/>
        <v>290</v>
      </c>
    </row>
    <row r="1376" spans="24:25" x14ac:dyDescent="0.25">
      <c r="X1376" s="101">
        <v>1371</v>
      </c>
      <c r="Y1376" s="120">
        <f t="shared" si="21"/>
        <v>290</v>
      </c>
    </row>
    <row r="1377" spans="24:25" x14ac:dyDescent="0.25">
      <c r="X1377" s="101">
        <v>1372</v>
      </c>
      <c r="Y1377" s="120">
        <f t="shared" si="21"/>
        <v>290</v>
      </c>
    </row>
    <row r="1378" spans="24:25" x14ac:dyDescent="0.25">
      <c r="X1378" s="101">
        <v>1373</v>
      </c>
      <c r="Y1378" s="120">
        <f t="shared" si="21"/>
        <v>290</v>
      </c>
    </row>
    <row r="1379" spans="24:25" x14ac:dyDescent="0.25">
      <c r="X1379" s="101">
        <v>1374</v>
      </c>
      <c r="Y1379" s="120">
        <f t="shared" si="21"/>
        <v>290</v>
      </c>
    </row>
    <row r="1380" spans="24:25" x14ac:dyDescent="0.25">
      <c r="X1380" s="101">
        <v>1375</v>
      </c>
      <c r="Y1380" s="120">
        <f t="shared" si="21"/>
        <v>290</v>
      </c>
    </row>
    <row r="1381" spans="24:25" x14ac:dyDescent="0.25">
      <c r="X1381" s="101">
        <v>1376</v>
      </c>
      <c r="Y1381" s="120">
        <f t="shared" si="21"/>
        <v>290</v>
      </c>
    </row>
    <row r="1382" spans="24:25" x14ac:dyDescent="0.25">
      <c r="X1382" s="101">
        <v>1377</v>
      </c>
      <c r="Y1382" s="120">
        <f t="shared" si="21"/>
        <v>290</v>
      </c>
    </row>
    <row r="1383" spans="24:25" x14ac:dyDescent="0.25">
      <c r="X1383" s="101">
        <v>1378</v>
      </c>
      <c r="Y1383" s="120">
        <f t="shared" si="21"/>
        <v>290</v>
      </c>
    </row>
    <row r="1384" spans="24:25" x14ac:dyDescent="0.25">
      <c r="X1384" s="101">
        <v>1379</v>
      </c>
      <c r="Y1384" s="120">
        <f t="shared" si="21"/>
        <v>290</v>
      </c>
    </row>
    <row r="1385" spans="24:25" x14ac:dyDescent="0.25">
      <c r="X1385" s="101">
        <v>1380</v>
      </c>
      <c r="Y1385" s="120">
        <f t="shared" si="21"/>
        <v>295</v>
      </c>
    </row>
    <row r="1386" spans="24:25" x14ac:dyDescent="0.25">
      <c r="X1386" s="101">
        <v>1381</v>
      </c>
      <c r="Y1386" s="120">
        <f t="shared" si="21"/>
        <v>295</v>
      </c>
    </row>
    <row r="1387" spans="24:25" x14ac:dyDescent="0.25">
      <c r="X1387" s="101">
        <v>1382</v>
      </c>
      <c r="Y1387" s="120">
        <f t="shared" si="21"/>
        <v>295</v>
      </c>
    </row>
    <row r="1388" spans="24:25" x14ac:dyDescent="0.25">
      <c r="X1388" s="101">
        <v>1383</v>
      </c>
      <c r="Y1388" s="120">
        <f t="shared" si="21"/>
        <v>295</v>
      </c>
    </row>
    <row r="1389" spans="24:25" x14ac:dyDescent="0.25">
      <c r="X1389" s="101">
        <v>1384</v>
      </c>
      <c r="Y1389" s="120">
        <f t="shared" si="21"/>
        <v>295</v>
      </c>
    </row>
    <row r="1390" spans="24:25" x14ac:dyDescent="0.25">
      <c r="X1390" s="101">
        <v>1385</v>
      </c>
      <c r="Y1390" s="120">
        <f t="shared" si="21"/>
        <v>295</v>
      </c>
    </row>
    <row r="1391" spans="24:25" x14ac:dyDescent="0.25">
      <c r="X1391" s="101">
        <v>1386</v>
      </c>
      <c r="Y1391" s="120">
        <f t="shared" si="21"/>
        <v>295</v>
      </c>
    </row>
    <row r="1392" spans="24:25" x14ac:dyDescent="0.25">
      <c r="X1392" s="101">
        <v>1387</v>
      </c>
      <c r="Y1392" s="120">
        <f t="shared" si="21"/>
        <v>295</v>
      </c>
    </row>
    <row r="1393" spans="24:25" x14ac:dyDescent="0.25">
      <c r="X1393" s="101">
        <v>1388</v>
      </c>
      <c r="Y1393" s="120">
        <f t="shared" si="21"/>
        <v>295</v>
      </c>
    </row>
    <row r="1394" spans="24:25" x14ac:dyDescent="0.25">
      <c r="X1394" s="101">
        <v>1389</v>
      </c>
      <c r="Y1394" s="120">
        <f t="shared" si="21"/>
        <v>295</v>
      </c>
    </row>
    <row r="1395" spans="24:25" x14ac:dyDescent="0.25">
      <c r="X1395" s="101">
        <v>1390</v>
      </c>
      <c r="Y1395" s="120">
        <f t="shared" si="21"/>
        <v>295</v>
      </c>
    </row>
    <row r="1396" spans="24:25" x14ac:dyDescent="0.25">
      <c r="X1396" s="101">
        <v>1391</v>
      </c>
      <c r="Y1396" s="120">
        <f t="shared" si="21"/>
        <v>295</v>
      </c>
    </row>
    <row r="1397" spans="24:25" x14ac:dyDescent="0.25">
      <c r="X1397" s="101">
        <v>1392</v>
      </c>
      <c r="Y1397" s="120">
        <f t="shared" si="21"/>
        <v>295</v>
      </c>
    </row>
    <row r="1398" spans="24:25" x14ac:dyDescent="0.25">
      <c r="X1398" s="101">
        <v>1393</v>
      </c>
      <c r="Y1398" s="120">
        <f t="shared" si="21"/>
        <v>295</v>
      </c>
    </row>
    <row r="1399" spans="24:25" x14ac:dyDescent="0.25">
      <c r="X1399" s="101">
        <v>1394</v>
      </c>
      <c r="Y1399" s="120">
        <f t="shared" si="21"/>
        <v>295</v>
      </c>
    </row>
    <row r="1400" spans="24:25" x14ac:dyDescent="0.25">
      <c r="X1400" s="101">
        <v>1395</v>
      </c>
      <c r="Y1400" s="120">
        <f t="shared" si="21"/>
        <v>295</v>
      </c>
    </row>
    <row r="1401" spans="24:25" x14ac:dyDescent="0.25">
      <c r="X1401" s="101">
        <v>1396</v>
      </c>
      <c r="Y1401" s="120">
        <f t="shared" si="21"/>
        <v>295</v>
      </c>
    </row>
    <row r="1402" spans="24:25" x14ac:dyDescent="0.25">
      <c r="X1402" s="101">
        <v>1397</v>
      </c>
      <c r="Y1402" s="120">
        <f t="shared" si="21"/>
        <v>295</v>
      </c>
    </row>
    <row r="1403" spans="24:25" x14ac:dyDescent="0.25">
      <c r="X1403" s="101">
        <v>1398</v>
      </c>
      <c r="Y1403" s="120">
        <f t="shared" si="21"/>
        <v>295</v>
      </c>
    </row>
    <row r="1404" spans="24:25" x14ac:dyDescent="0.25">
      <c r="X1404" s="101">
        <v>1399</v>
      </c>
      <c r="Y1404" s="120">
        <f t="shared" si="21"/>
        <v>295</v>
      </c>
    </row>
    <row r="1405" spans="24:25" x14ac:dyDescent="0.25">
      <c r="X1405" s="101">
        <v>1400</v>
      </c>
      <c r="Y1405" s="120">
        <f t="shared" si="21"/>
        <v>300</v>
      </c>
    </row>
    <row r="1406" spans="24:25" x14ac:dyDescent="0.25">
      <c r="X1406" s="101">
        <v>1401</v>
      </c>
      <c r="Y1406" s="120">
        <f t="shared" si="21"/>
        <v>300</v>
      </c>
    </row>
    <row r="1407" spans="24:25" x14ac:dyDescent="0.25">
      <c r="X1407" s="101">
        <v>1402</v>
      </c>
      <c r="Y1407" s="120">
        <f t="shared" si="21"/>
        <v>300</v>
      </c>
    </row>
    <row r="1408" spans="24:25" x14ac:dyDescent="0.25">
      <c r="X1408" s="101">
        <v>1403</v>
      </c>
      <c r="Y1408" s="120">
        <f t="shared" si="21"/>
        <v>300</v>
      </c>
    </row>
    <row r="1409" spans="24:25" x14ac:dyDescent="0.25">
      <c r="X1409" s="101">
        <v>1404</v>
      </c>
      <c r="Y1409" s="120">
        <f t="shared" si="21"/>
        <v>300</v>
      </c>
    </row>
    <row r="1410" spans="24:25" x14ac:dyDescent="0.25">
      <c r="X1410" s="101">
        <v>1405</v>
      </c>
      <c r="Y1410" s="120">
        <f t="shared" si="21"/>
        <v>300</v>
      </c>
    </row>
    <row r="1411" spans="24:25" x14ac:dyDescent="0.25">
      <c r="X1411" s="101">
        <v>1406</v>
      </c>
      <c r="Y1411" s="120">
        <f t="shared" si="21"/>
        <v>300</v>
      </c>
    </row>
    <row r="1412" spans="24:25" x14ac:dyDescent="0.25">
      <c r="X1412" s="101">
        <v>1407</v>
      </c>
      <c r="Y1412" s="120">
        <f t="shared" si="21"/>
        <v>300</v>
      </c>
    </row>
    <row r="1413" spans="24:25" x14ac:dyDescent="0.25">
      <c r="X1413" s="101">
        <v>1408</v>
      </c>
      <c r="Y1413" s="120">
        <f t="shared" si="21"/>
        <v>300</v>
      </c>
    </row>
    <row r="1414" spans="24:25" x14ac:dyDescent="0.25">
      <c r="X1414" s="101">
        <v>1409</v>
      </c>
      <c r="Y1414" s="120">
        <f t="shared" ref="Y1414:Y1477" si="22">INDEX(inhale_driver_table,INT(100*(X1414/ticks_per_inhale))+1)</f>
        <v>300</v>
      </c>
    </row>
    <row r="1415" spans="24:25" x14ac:dyDescent="0.25">
      <c r="X1415" s="101">
        <v>1410</v>
      </c>
      <c r="Y1415" s="120">
        <f t="shared" si="22"/>
        <v>300</v>
      </c>
    </row>
    <row r="1416" spans="24:25" x14ac:dyDescent="0.25">
      <c r="X1416" s="101">
        <v>1411</v>
      </c>
      <c r="Y1416" s="120">
        <f t="shared" si="22"/>
        <v>300</v>
      </c>
    </row>
    <row r="1417" spans="24:25" x14ac:dyDescent="0.25">
      <c r="X1417" s="101">
        <v>1412</v>
      </c>
      <c r="Y1417" s="120">
        <f t="shared" si="22"/>
        <v>300</v>
      </c>
    </row>
    <row r="1418" spans="24:25" x14ac:dyDescent="0.25">
      <c r="X1418" s="101">
        <v>1413</v>
      </c>
      <c r="Y1418" s="120">
        <f t="shared" si="22"/>
        <v>300</v>
      </c>
    </row>
    <row r="1419" spans="24:25" x14ac:dyDescent="0.25">
      <c r="X1419" s="101">
        <v>1414</v>
      </c>
      <c r="Y1419" s="120">
        <f t="shared" si="22"/>
        <v>300</v>
      </c>
    </row>
    <row r="1420" spans="24:25" x14ac:dyDescent="0.25">
      <c r="X1420" s="101">
        <v>1415</v>
      </c>
      <c r="Y1420" s="120">
        <f t="shared" si="22"/>
        <v>300</v>
      </c>
    </row>
    <row r="1421" spans="24:25" x14ac:dyDescent="0.25">
      <c r="X1421" s="101">
        <v>1416</v>
      </c>
      <c r="Y1421" s="120">
        <f t="shared" si="22"/>
        <v>300</v>
      </c>
    </row>
    <row r="1422" spans="24:25" x14ac:dyDescent="0.25">
      <c r="X1422" s="101">
        <v>1417</v>
      </c>
      <c r="Y1422" s="120">
        <f t="shared" si="22"/>
        <v>300</v>
      </c>
    </row>
    <row r="1423" spans="24:25" x14ac:dyDescent="0.25">
      <c r="X1423" s="101">
        <v>1418</v>
      </c>
      <c r="Y1423" s="120">
        <f t="shared" si="22"/>
        <v>300</v>
      </c>
    </row>
    <row r="1424" spans="24:25" x14ac:dyDescent="0.25">
      <c r="X1424" s="101">
        <v>1419</v>
      </c>
      <c r="Y1424" s="120">
        <f t="shared" si="22"/>
        <v>300</v>
      </c>
    </row>
    <row r="1425" spans="24:25" x14ac:dyDescent="0.25">
      <c r="X1425" s="101">
        <v>1420</v>
      </c>
      <c r="Y1425" s="120">
        <f t="shared" si="22"/>
        <v>305</v>
      </c>
    </row>
    <row r="1426" spans="24:25" x14ac:dyDescent="0.25">
      <c r="X1426" s="101">
        <v>1421</v>
      </c>
      <c r="Y1426" s="120">
        <f t="shared" si="22"/>
        <v>305</v>
      </c>
    </row>
    <row r="1427" spans="24:25" x14ac:dyDescent="0.25">
      <c r="X1427" s="101">
        <v>1422</v>
      </c>
      <c r="Y1427" s="120">
        <f t="shared" si="22"/>
        <v>305</v>
      </c>
    </row>
    <row r="1428" spans="24:25" x14ac:dyDescent="0.25">
      <c r="X1428" s="101">
        <v>1423</v>
      </c>
      <c r="Y1428" s="120">
        <f t="shared" si="22"/>
        <v>305</v>
      </c>
    </row>
    <row r="1429" spans="24:25" x14ac:dyDescent="0.25">
      <c r="X1429" s="101">
        <v>1424</v>
      </c>
      <c r="Y1429" s="120">
        <f t="shared" si="22"/>
        <v>305</v>
      </c>
    </row>
    <row r="1430" spans="24:25" x14ac:dyDescent="0.25">
      <c r="X1430" s="101">
        <v>1425</v>
      </c>
      <c r="Y1430" s="120">
        <f t="shared" si="22"/>
        <v>305</v>
      </c>
    </row>
    <row r="1431" spans="24:25" x14ac:dyDescent="0.25">
      <c r="X1431" s="101">
        <v>1426</v>
      </c>
      <c r="Y1431" s="120">
        <f t="shared" si="22"/>
        <v>305</v>
      </c>
    </row>
    <row r="1432" spans="24:25" x14ac:dyDescent="0.25">
      <c r="X1432" s="101">
        <v>1427</v>
      </c>
      <c r="Y1432" s="120">
        <f t="shared" si="22"/>
        <v>305</v>
      </c>
    </row>
    <row r="1433" spans="24:25" x14ac:dyDescent="0.25">
      <c r="X1433" s="101">
        <v>1428</v>
      </c>
      <c r="Y1433" s="120">
        <f t="shared" si="22"/>
        <v>305</v>
      </c>
    </row>
    <row r="1434" spans="24:25" x14ac:dyDescent="0.25">
      <c r="X1434" s="101">
        <v>1429</v>
      </c>
      <c r="Y1434" s="120">
        <f t="shared" si="22"/>
        <v>305</v>
      </c>
    </row>
    <row r="1435" spans="24:25" x14ac:dyDescent="0.25">
      <c r="X1435" s="101">
        <v>1430</v>
      </c>
      <c r="Y1435" s="120">
        <f t="shared" si="22"/>
        <v>305</v>
      </c>
    </row>
    <row r="1436" spans="24:25" x14ac:dyDescent="0.25">
      <c r="X1436" s="101">
        <v>1431</v>
      </c>
      <c r="Y1436" s="120">
        <f t="shared" si="22"/>
        <v>305</v>
      </c>
    </row>
    <row r="1437" spans="24:25" x14ac:dyDescent="0.25">
      <c r="X1437" s="101">
        <v>1432</v>
      </c>
      <c r="Y1437" s="120">
        <f t="shared" si="22"/>
        <v>305</v>
      </c>
    </row>
    <row r="1438" spans="24:25" x14ac:dyDescent="0.25">
      <c r="X1438" s="101">
        <v>1433</v>
      </c>
      <c r="Y1438" s="120">
        <f t="shared" si="22"/>
        <v>305</v>
      </c>
    </row>
    <row r="1439" spans="24:25" x14ac:dyDescent="0.25">
      <c r="X1439" s="101">
        <v>1434</v>
      </c>
      <c r="Y1439" s="120">
        <f t="shared" si="22"/>
        <v>305</v>
      </c>
    </row>
    <row r="1440" spans="24:25" x14ac:dyDescent="0.25">
      <c r="X1440" s="101">
        <v>1435</v>
      </c>
      <c r="Y1440" s="120">
        <f t="shared" si="22"/>
        <v>305</v>
      </c>
    </row>
    <row r="1441" spans="24:25" x14ac:dyDescent="0.25">
      <c r="X1441" s="101">
        <v>1436</v>
      </c>
      <c r="Y1441" s="120">
        <f t="shared" si="22"/>
        <v>305</v>
      </c>
    </row>
    <row r="1442" spans="24:25" x14ac:dyDescent="0.25">
      <c r="X1442" s="101">
        <v>1437</v>
      </c>
      <c r="Y1442" s="120">
        <f t="shared" si="22"/>
        <v>305</v>
      </c>
    </row>
    <row r="1443" spans="24:25" x14ac:dyDescent="0.25">
      <c r="X1443" s="101">
        <v>1438</v>
      </c>
      <c r="Y1443" s="120">
        <f t="shared" si="22"/>
        <v>305</v>
      </c>
    </row>
    <row r="1444" spans="24:25" x14ac:dyDescent="0.25">
      <c r="X1444" s="101">
        <v>1439</v>
      </c>
      <c r="Y1444" s="120">
        <f t="shared" si="22"/>
        <v>305</v>
      </c>
    </row>
    <row r="1445" spans="24:25" x14ac:dyDescent="0.25">
      <c r="X1445" s="101">
        <v>1440</v>
      </c>
      <c r="Y1445" s="120">
        <f t="shared" si="22"/>
        <v>310</v>
      </c>
    </row>
    <row r="1446" spans="24:25" x14ac:dyDescent="0.25">
      <c r="X1446" s="101">
        <v>1441</v>
      </c>
      <c r="Y1446" s="120">
        <f t="shared" si="22"/>
        <v>310</v>
      </c>
    </row>
    <row r="1447" spans="24:25" x14ac:dyDescent="0.25">
      <c r="X1447" s="101">
        <v>1442</v>
      </c>
      <c r="Y1447" s="120">
        <f t="shared" si="22"/>
        <v>310</v>
      </c>
    </row>
    <row r="1448" spans="24:25" x14ac:dyDescent="0.25">
      <c r="X1448" s="101">
        <v>1443</v>
      </c>
      <c r="Y1448" s="120">
        <f t="shared" si="22"/>
        <v>310</v>
      </c>
    </row>
    <row r="1449" spans="24:25" x14ac:dyDescent="0.25">
      <c r="X1449" s="101">
        <v>1444</v>
      </c>
      <c r="Y1449" s="120">
        <f t="shared" si="22"/>
        <v>310</v>
      </c>
    </row>
    <row r="1450" spans="24:25" x14ac:dyDescent="0.25">
      <c r="X1450" s="101">
        <v>1445</v>
      </c>
      <c r="Y1450" s="120">
        <f t="shared" si="22"/>
        <v>310</v>
      </c>
    </row>
    <row r="1451" spans="24:25" x14ac:dyDescent="0.25">
      <c r="X1451" s="101">
        <v>1446</v>
      </c>
      <c r="Y1451" s="120">
        <f t="shared" si="22"/>
        <v>310</v>
      </c>
    </row>
    <row r="1452" spans="24:25" x14ac:dyDescent="0.25">
      <c r="X1452" s="101">
        <v>1447</v>
      </c>
      <c r="Y1452" s="120">
        <f t="shared" si="22"/>
        <v>310</v>
      </c>
    </row>
    <row r="1453" spans="24:25" x14ac:dyDescent="0.25">
      <c r="X1453" s="101">
        <v>1448</v>
      </c>
      <c r="Y1453" s="120">
        <f t="shared" si="22"/>
        <v>310</v>
      </c>
    </row>
    <row r="1454" spans="24:25" x14ac:dyDescent="0.25">
      <c r="X1454" s="101">
        <v>1449</v>
      </c>
      <c r="Y1454" s="120">
        <f t="shared" si="22"/>
        <v>310</v>
      </c>
    </row>
    <row r="1455" spans="24:25" x14ac:dyDescent="0.25">
      <c r="X1455" s="101">
        <v>1450</v>
      </c>
      <c r="Y1455" s="120">
        <f t="shared" si="22"/>
        <v>310</v>
      </c>
    </row>
    <row r="1456" spans="24:25" x14ac:dyDescent="0.25">
      <c r="X1456" s="101">
        <v>1451</v>
      </c>
      <c r="Y1456" s="120">
        <f t="shared" si="22"/>
        <v>310</v>
      </c>
    </row>
    <row r="1457" spans="24:25" x14ac:dyDescent="0.25">
      <c r="X1457" s="101">
        <v>1452</v>
      </c>
      <c r="Y1457" s="120">
        <f t="shared" si="22"/>
        <v>310</v>
      </c>
    </row>
    <row r="1458" spans="24:25" x14ac:dyDescent="0.25">
      <c r="X1458" s="101">
        <v>1453</v>
      </c>
      <c r="Y1458" s="120">
        <f t="shared" si="22"/>
        <v>310</v>
      </c>
    </row>
    <row r="1459" spans="24:25" x14ac:dyDescent="0.25">
      <c r="X1459" s="101">
        <v>1454</v>
      </c>
      <c r="Y1459" s="120">
        <f t="shared" si="22"/>
        <v>310</v>
      </c>
    </row>
    <row r="1460" spans="24:25" x14ac:dyDescent="0.25">
      <c r="X1460" s="101">
        <v>1455</v>
      </c>
      <c r="Y1460" s="120">
        <f t="shared" si="22"/>
        <v>310</v>
      </c>
    </row>
    <row r="1461" spans="24:25" x14ac:dyDescent="0.25">
      <c r="X1461" s="101">
        <v>1456</v>
      </c>
      <c r="Y1461" s="120">
        <f t="shared" si="22"/>
        <v>310</v>
      </c>
    </row>
    <row r="1462" spans="24:25" x14ac:dyDescent="0.25">
      <c r="X1462" s="101">
        <v>1457</v>
      </c>
      <c r="Y1462" s="120">
        <f t="shared" si="22"/>
        <v>310</v>
      </c>
    </row>
    <row r="1463" spans="24:25" x14ac:dyDescent="0.25">
      <c r="X1463" s="101">
        <v>1458</v>
      </c>
      <c r="Y1463" s="120">
        <f t="shared" si="22"/>
        <v>310</v>
      </c>
    </row>
    <row r="1464" spans="24:25" x14ac:dyDescent="0.25">
      <c r="X1464" s="101">
        <v>1459</v>
      </c>
      <c r="Y1464" s="120">
        <f t="shared" si="22"/>
        <v>310</v>
      </c>
    </row>
    <row r="1465" spans="24:25" x14ac:dyDescent="0.25">
      <c r="X1465" s="101">
        <v>1460</v>
      </c>
      <c r="Y1465" s="120">
        <f t="shared" si="22"/>
        <v>315</v>
      </c>
    </row>
    <row r="1466" spans="24:25" x14ac:dyDescent="0.25">
      <c r="X1466" s="101">
        <v>1461</v>
      </c>
      <c r="Y1466" s="120">
        <f t="shared" si="22"/>
        <v>315</v>
      </c>
    </row>
    <row r="1467" spans="24:25" x14ac:dyDescent="0.25">
      <c r="X1467" s="101">
        <v>1462</v>
      </c>
      <c r="Y1467" s="120">
        <f t="shared" si="22"/>
        <v>315</v>
      </c>
    </row>
    <row r="1468" spans="24:25" x14ac:dyDescent="0.25">
      <c r="X1468" s="101">
        <v>1463</v>
      </c>
      <c r="Y1468" s="120">
        <f t="shared" si="22"/>
        <v>315</v>
      </c>
    </row>
    <row r="1469" spans="24:25" x14ac:dyDescent="0.25">
      <c r="X1469" s="101">
        <v>1464</v>
      </c>
      <c r="Y1469" s="120">
        <f t="shared" si="22"/>
        <v>315</v>
      </c>
    </row>
    <row r="1470" spans="24:25" x14ac:dyDescent="0.25">
      <c r="X1470" s="101">
        <v>1465</v>
      </c>
      <c r="Y1470" s="120">
        <f t="shared" si="22"/>
        <v>315</v>
      </c>
    </row>
    <row r="1471" spans="24:25" x14ac:dyDescent="0.25">
      <c r="X1471" s="101">
        <v>1466</v>
      </c>
      <c r="Y1471" s="120">
        <f t="shared" si="22"/>
        <v>315</v>
      </c>
    </row>
    <row r="1472" spans="24:25" x14ac:dyDescent="0.25">
      <c r="X1472" s="101">
        <v>1467</v>
      </c>
      <c r="Y1472" s="120">
        <f t="shared" si="22"/>
        <v>315</v>
      </c>
    </row>
    <row r="1473" spans="24:25" x14ac:dyDescent="0.25">
      <c r="X1473" s="101">
        <v>1468</v>
      </c>
      <c r="Y1473" s="120">
        <f t="shared" si="22"/>
        <v>315</v>
      </c>
    </row>
    <row r="1474" spans="24:25" x14ac:dyDescent="0.25">
      <c r="X1474" s="101">
        <v>1469</v>
      </c>
      <c r="Y1474" s="120">
        <f t="shared" si="22"/>
        <v>315</v>
      </c>
    </row>
    <row r="1475" spans="24:25" x14ac:dyDescent="0.25">
      <c r="X1475" s="101">
        <v>1470</v>
      </c>
      <c r="Y1475" s="120">
        <f t="shared" si="22"/>
        <v>315</v>
      </c>
    </row>
    <row r="1476" spans="24:25" x14ac:dyDescent="0.25">
      <c r="X1476" s="101">
        <v>1471</v>
      </c>
      <c r="Y1476" s="120">
        <f t="shared" si="22"/>
        <v>315</v>
      </c>
    </row>
    <row r="1477" spans="24:25" x14ac:dyDescent="0.25">
      <c r="X1477" s="101">
        <v>1472</v>
      </c>
      <c r="Y1477" s="120">
        <f t="shared" si="22"/>
        <v>315</v>
      </c>
    </row>
    <row r="1478" spans="24:25" x14ac:dyDescent="0.25">
      <c r="X1478" s="101">
        <v>1473</v>
      </c>
      <c r="Y1478" s="120">
        <f t="shared" ref="Y1478:Y1541" si="23">INDEX(inhale_driver_table,INT(100*(X1478/ticks_per_inhale))+1)</f>
        <v>315</v>
      </c>
    </row>
    <row r="1479" spans="24:25" x14ac:dyDescent="0.25">
      <c r="X1479" s="101">
        <v>1474</v>
      </c>
      <c r="Y1479" s="120">
        <f t="shared" si="23"/>
        <v>315</v>
      </c>
    </row>
    <row r="1480" spans="24:25" x14ac:dyDescent="0.25">
      <c r="X1480" s="101">
        <v>1475</v>
      </c>
      <c r="Y1480" s="120">
        <f t="shared" si="23"/>
        <v>315</v>
      </c>
    </row>
    <row r="1481" spans="24:25" x14ac:dyDescent="0.25">
      <c r="X1481" s="101">
        <v>1476</v>
      </c>
      <c r="Y1481" s="120">
        <f t="shared" si="23"/>
        <v>315</v>
      </c>
    </row>
    <row r="1482" spans="24:25" x14ac:dyDescent="0.25">
      <c r="X1482" s="101">
        <v>1477</v>
      </c>
      <c r="Y1482" s="120">
        <f t="shared" si="23"/>
        <v>315</v>
      </c>
    </row>
    <row r="1483" spans="24:25" x14ac:dyDescent="0.25">
      <c r="X1483" s="101">
        <v>1478</v>
      </c>
      <c r="Y1483" s="120">
        <f t="shared" si="23"/>
        <v>315</v>
      </c>
    </row>
    <row r="1484" spans="24:25" x14ac:dyDescent="0.25">
      <c r="X1484" s="101">
        <v>1479</v>
      </c>
      <c r="Y1484" s="120">
        <f t="shared" si="23"/>
        <v>315</v>
      </c>
    </row>
    <row r="1485" spans="24:25" x14ac:dyDescent="0.25">
      <c r="X1485" s="101">
        <v>1480</v>
      </c>
      <c r="Y1485" s="120">
        <f t="shared" si="23"/>
        <v>320</v>
      </c>
    </row>
    <row r="1486" spans="24:25" x14ac:dyDescent="0.25">
      <c r="X1486" s="101">
        <v>1481</v>
      </c>
      <c r="Y1486" s="120">
        <f t="shared" si="23"/>
        <v>320</v>
      </c>
    </row>
    <row r="1487" spans="24:25" x14ac:dyDescent="0.25">
      <c r="X1487" s="101">
        <v>1482</v>
      </c>
      <c r="Y1487" s="120">
        <f t="shared" si="23"/>
        <v>320</v>
      </c>
    </row>
    <row r="1488" spans="24:25" x14ac:dyDescent="0.25">
      <c r="X1488" s="101">
        <v>1483</v>
      </c>
      <c r="Y1488" s="120">
        <f t="shared" si="23"/>
        <v>320</v>
      </c>
    </row>
    <row r="1489" spans="24:25" x14ac:dyDescent="0.25">
      <c r="X1489" s="101">
        <v>1484</v>
      </c>
      <c r="Y1489" s="120">
        <f t="shared" si="23"/>
        <v>320</v>
      </c>
    </row>
    <row r="1490" spans="24:25" x14ac:dyDescent="0.25">
      <c r="X1490" s="101">
        <v>1485</v>
      </c>
      <c r="Y1490" s="120">
        <f t="shared" si="23"/>
        <v>320</v>
      </c>
    </row>
    <row r="1491" spans="24:25" x14ac:dyDescent="0.25">
      <c r="X1491" s="101">
        <v>1486</v>
      </c>
      <c r="Y1491" s="120">
        <f t="shared" si="23"/>
        <v>320</v>
      </c>
    </row>
    <row r="1492" spans="24:25" x14ac:dyDescent="0.25">
      <c r="X1492" s="101">
        <v>1487</v>
      </c>
      <c r="Y1492" s="120">
        <f t="shared" si="23"/>
        <v>320</v>
      </c>
    </row>
    <row r="1493" spans="24:25" x14ac:dyDescent="0.25">
      <c r="X1493" s="101">
        <v>1488</v>
      </c>
      <c r="Y1493" s="120">
        <f t="shared" si="23"/>
        <v>320</v>
      </c>
    </row>
    <row r="1494" spans="24:25" x14ac:dyDescent="0.25">
      <c r="X1494" s="101">
        <v>1489</v>
      </c>
      <c r="Y1494" s="120">
        <f t="shared" si="23"/>
        <v>320</v>
      </c>
    </row>
    <row r="1495" spans="24:25" x14ac:dyDescent="0.25">
      <c r="X1495" s="101">
        <v>1490</v>
      </c>
      <c r="Y1495" s="120">
        <f t="shared" si="23"/>
        <v>320</v>
      </c>
    </row>
    <row r="1496" spans="24:25" x14ac:dyDescent="0.25">
      <c r="X1496" s="101">
        <v>1491</v>
      </c>
      <c r="Y1496" s="120">
        <f t="shared" si="23"/>
        <v>320</v>
      </c>
    </row>
    <row r="1497" spans="24:25" x14ac:dyDescent="0.25">
      <c r="X1497" s="101">
        <v>1492</v>
      </c>
      <c r="Y1497" s="120">
        <f t="shared" si="23"/>
        <v>320</v>
      </c>
    </row>
    <row r="1498" spans="24:25" x14ac:dyDescent="0.25">
      <c r="X1498" s="101">
        <v>1493</v>
      </c>
      <c r="Y1498" s="120">
        <f t="shared" si="23"/>
        <v>320</v>
      </c>
    </row>
    <row r="1499" spans="24:25" x14ac:dyDescent="0.25">
      <c r="X1499" s="101">
        <v>1494</v>
      </c>
      <c r="Y1499" s="120">
        <f t="shared" si="23"/>
        <v>320</v>
      </c>
    </row>
    <row r="1500" spans="24:25" x14ac:dyDescent="0.25">
      <c r="X1500" s="101">
        <v>1495</v>
      </c>
      <c r="Y1500" s="120">
        <f t="shared" si="23"/>
        <v>320</v>
      </c>
    </row>
    <row r="1501" spans="24:25" x14ac:dyDescent="0.25">
      <c r="X1501" s="101">
        <v>1496</v>
      </c>
      <c r="Y1501" s="120">
        <f t="shared" si="23"/>
        <v>320</v>
      </c>
    </row>
    <row r="1502" spans="24:25" x14ac:dyDescent="0.25">
      <c r="X1502" s="101">
        <v>1497</v>
      </c>
      <c r="Y1502" s="120">
        <f t="shared" si="23"/>
        <v>320</v>
      </c>
    </row>
    <row r="1503" spans="24:25" x14ac:dyDescent="0.25">
      <c r="X1503" s="101">
        <v>1498</v>
      </c>
      <c r="Y1503" s="120">
        <f t="shared" si="23"/>
        <v>320</v>
      </c>
    </row>
    <row r="1504" spans="24:25" x14ac:dyDescent="0.25">
      <c r="X1504" s="101">
        <v>1499</v>
      </c>
      <c r="Y1504" s="120">
        <f t="shared" si="23"/>
        <v>320</v>
      </c>
    </row>
    <row r="1505" spans="24:25" x14ac:dyDescent="0.25">
      <c r="X1505" s="101">
        <v>1500</v>
      </c>
      <c r="Y1505" s="120">
        <f t="shared" si="23"/>
        <v>325</v>
      </c>
    </row>
    <row r="1506" spans="24:25" x14ac:dyDescent="0.25">
      <c r="X1506" s="101">
        <v>1501</v>
      </c>
      <c r="Y1506" s="120">
        <f t="shared" si="23"/>
        <v>325</v>
      </c>
    </row>
    <row r="1507" spans="24:25" x14ac:dyDescent="0.25">
      <c r="X1507" s="101">
        <v>1502</v>
      </c>
      <c r="Y1507" s="120">
        <f t="shared" si="23"/>
        <v>325</v>
      </c>
    </row>
    <row r="1508" spans="24:25" x14ac:dyDescent="0.25">
      <c r="X1508" s="101">
        <v>1503</v>
      </c>
      <c r="Y1508" s="120">
        <f t="shared" si="23"/>
        <v>325</v>
      </c>
    </row>
    <row r="1509" spans="24:25" x14ac:dyDescent="0.25">
      <c r="X1509" s="101">
        <v>1504</v>
      </c>
      <c r="Y1509" s="120">
        <f t="shared" si="23"/>
        <v>325</v>
      </c>
    </row>
    <row r="1510" spans="24:25" x14ac:dyDescent="0.25">
      <c r="X1510" s="101">
        <v>1505</v>
      </c>
      <c r="Y1510" s="120">
        <f t="shared" si="23"/>
        <v>325</v>
      </c>
    </row>
    <row r="1511" spans="24:25" x14ac:dyDescent="0.25">
      <c r="X1511" s="101">
        <v>1506</v>
      </c>
      <c r="Y1511" s="120">
        <f t="shared" si="23"/>
        <v>325</v>
      </c>
    </row>
    <row r="1512" spans="24:25" x14ac:dyDescent="0.25">
      <c r="X1512" s="101">
        <v>1507</v>
      </c>
      <c r="Y1512" s="120">
        <f t="shared" si="23"/>
        <v>325</v>
      </c>
    </row>
    <row r="1513" spans="24:25" x14ac:dyDescent="0.25">
      <c r="X1513" s="101">
        <v>1508</v>
      </c>
      <c r="Y1513" s="120">
        <f t="shared" si="23"/>
        <v>325</v>
      </c>
    </row>
    <row r="1514" spans="24:25" x14ac:dyDescent="0.25">
      <c r="X1514" s="101">
        <v>1509</v>
      </c>
      <c r="Y1514" s="120">
        <f t="shared" si="23"/>
        <v>325</v>
      </c>
    </row>
    <row r="1515" spans="24:25" x14ac:dyDescent="0.25">
      <c r="X1515" s="101">
        <v>1510</v>
      </c>
      <c r="Y1515" s="120">
        <f t="shared" si="23"/>
        <v>325</v>
      </c>
    </row>
    <row r="1516" spans="24:25" x14ac:dyDescent="0.25">
      <c r="X1516" s="101">
        <v>1511</v>
      </c>
      <c r="Y1516" s="120">
        <f t="shared" si="23"/>
        <v>325</v>
      </c>
    </row>
    <row r="1517" spans="24:25" x14ac:dyDescent="0.25">
      <c r="X1517" s="101">
        <v>1512</v>
      </c>
      <c r="Y1517" s="120">
        <f t="shared" si="23"/>
        <v>325</v>
      </c>
    </row>
    <row r="1518" spans="24:25" x14ac:dyDescent="0.25">
      <c r="X1518" s="101">
        <v>1513</v>
      </c>
      <c r="Y1518" s="120">
        <f t="shared" si="23"/>
        <v>325</v>
      </c>
    </row>
    <row r="1519" spans="24:25" x14ac:dyDescent="0.25">
      <c r="X1519" s="101">
        <v>1514</v>
      </c>
      <c r="Y1519" s="120">
        <f t="shared" si="23"/>
        <v>325</v>
      </c>
    </row>
    <row r="1520" spans="24:25" x14ac:dyDescent="0.25">
      <c r="X1520" s="101">
        <v>1515</v>
      </c>
      <c r="Y1520" s="120">
        <f t="shared" si="23"/>
        <v>325</v>
      </c>
    </row>
    <row r="1521" spans="24:25" x14ac:dyDescent="0.25">
      <c r="X1521" s="101">
        <v>1516</v>
      </c>
      <c r="Y1521" s="120">
        <f t="shared" si="23"/>
        <v>325</v>
      </c>
    </row>
    <row r="1522" spans="24:25" x14ac:dyDescent="0.25">
      <c r="X1522" s="101">
        <v>1517</v>
      </c>
      <c r="Y1522" s="120">
        <f t="shared" si="23"/>
        <v>325</v>
      </c>
    </row>
    <row r="1523" spans="24:25" x14ac:dyDescent="0.25">
      <c r="X1523" s="101">
        <v>1518</v>
      </c>
      <c r="Y1523" s="120">
        <f t="shared" si="23"/>
        <v>325</v>
      </c>
    </row>
    <row r="1524" spans="24:25" x14ac:dyDescent="0.25">
      <c r="X1524" s="101">
        <v>1519</v>
      </c>
      <c r="Y1524" s="120">
        <f t="shared" si="23"/>
        <v>325</v>
      </c>
    </row>
    <row r="1525" spans="24:25" x14ac:dyDescent="0.25">
      <c r="X1525" s="101">
        <v>1520</v>
      </c>
      <c r="Y1525" s="120">
        <f t="shared" si="23"/>
        <v>330</v>
      </c>
    </row>
    <row r="1526" spans="24:25" x14ac:dyDescent="0.25">
      <c r="X1526" s="101">
        <v>1521</v>
      </c>
      <c r="Y1526" s="120">
        <f t="shared" si="23"/>
        <v>330</v>
      </c>
    </row>
    <row r="1527" spans="24:25" x14ac:dyDescent="0.25">
      <c r="X1527" s="101">
        <v>1522</v>
      </c>
      <c r="Y1527" s="120">
        <f t="shared" si="23"/>
        <v>330</v>
      </c>
    </row>
    <row r="1528" spans="24:25" x14ac:dyDescent="0.25">
      <c r="X1528" s="101">
        <v>1523</v>
      </c>
      <c r="Y1528" s="120">
        <f t="shared" si="23"/>
        <v>330</v>
      </c>
    </row>
    <row r="1529" spans="24:25" x14ac:dyDescent="0.25">
      <c r="X1529" s="101">
        <v>1524</v>
      </c>
      <c r="Y1529" s="120">
        <f t="shared" si="23"/>
        <v>330</v>
      </c>
    </row>
    <row r="1530" spans="24:25" x14ac:dyDescent="0.25">
      <c r="X1530" s="101">
        <v>1525</v>
      </c>
      <c r="Y1530" s="120">
        <f t="shared" si="23"/>
        <v>330</v>
      </c>
    </row>
    <row r="1531" spans="24:25" x14ac:dyDescent="0.25">
      <c r="X1531" s="101">
        <v>1526</v>
      </c>
      <c r="Y1531" s="120">
        <f t="shared" si="23"/>
        <v>330</v>
      </c>
    </row>
    <row r="1532" spans="24:25" x14ac:dyDescent="0.25">
      <c r="X1532" s="101">
        <v>1527</v>
      </c>
      <c r="Y1532" s="120">
        <f t="shared" si="23"/>
        <v>330</v>
      </c>
    </row>
    <row r="1533" spans="24:25" x14ac:dyDescent="0.25">
      <c r="X1533" s="101">
        <v>1528</v>
      </c>
      <c r="Y1533" s="120">
        <f t="shared" si="23"/>
        <v>330</v>
      </c>
    </row>
    <row r="1534" spans="24:25" x14ac:dyDescent="0.25">
      <c r="X1534" s="101">
        <v>1529</v>
      </c>
      <c r="Y1534" s="120">
        <f t="shared" si="23"/>
        <v>330</v>
      </c>
    </row>
    <row r="1535" spans="24:25" x14ac:dyDescent="0.25">
      <c r="X1535" s="101">
        <v>1530</v>
      </c>
      <c r="Y1535" s="120">
        <f t="shared" si="23"/>
        <v>330</v>
      </c>
    </row>
    <row r="1536" spans="24:25" x14ac:dyDescent="0.25">
      <c r="X1536" s="101">
        <v>1531</v>
      </c>
      <c r="Y1536" s="120">
        <f t="shared" si="23"/>
        <v>330</v>
      </c>
    </row>
    <row r="1537" spans="24:25" x14ac:dyDescent="0.25">
      <c r="X1537" s="101">
        <v>1532</v>
      </c>
      <c r="Y1537" s="120">
        <f t="shared" si="23"/>
        <v>330</v>
      </c>
    </row>
    <row r="1538" spans="24:25" x14ac:dyDescent="0.25">
      <c r="X1538" s="101">
        <v>1533</v>
      </c>
      <c r="Y1538" s="120">
        <f t="shared" si="23"/>
        <v>330</v>
      </c>
    </row>
    <row r="1539" spans="24:25" x14ac:dyDescent="0.25">
      <c r="X1539" s="101">
        <v>1534</v>
      </c>
      <c r="Y1539" s="120">
        <f t="shared" si="23"/>
        <v>330</v>
      </c>
    </row>
    <row r="1540" spans="24:25" x14ac:dyDescent="0.25">
      <c r="X1540" s="101">
        <v>1535</v>
      </c>
      <c r="Y1540" s="120">
        <f t="shared" si="23"/>
        <v>330</v>
      </c>
    </row>
    <row r="1541" spans="24:25" x14ac:dyDescent="0.25">
      <c r="X1541" s="101">
        <v>1536</v>
      </c>
      <c r="Y1541" s="120">
        <f t="shared" si="23"/>
        <v>330</v>
      </c>
    </row>
    <row r="1542" spans="24:25" x14ac:dyDescent="0.25">
      <c r="X1542" s="101">
        <v>1537</v>
      </c>
      <c r="Y1542" s="120">
        <f t="shared" ref="Y1542:Y1605" si="24">INDEX(inhale_driver_table,INT(100*(X1542/ticks_per_inhale))+1)</f>
        <v>330</v>
      </c>
    </row>
    <row r="1543" spans="24:25" x14ac:dyDescent="0.25">
      <c r="X1543" s="101">
        <v>1538</v>
      </c>
      <c r="Y1543" s="120">
        <f t="shared" si="24"/>
        <v>330</v>
      </c>
    </row>
    <row r="1544" spans="24:25" x14ac:dyDescent="0.25">
      <c r="X1544" s="101">
        <v>1539</v>
      </c>
      <c r="Y1544" s="120">
        <f t="shared" si="24"/>
        <v>330</v>
      </c>
    </row>
    <row r="1545" spans="24:25" x14ac:dyDescent="0.25">
      <c r="X1545" s="101">
        <v>1540</v>
      </c>
      <c r="Y1545" s="120">
        <f t="shared" si="24"/>
        <v>335</v>
      </c>
    </row>
    <row r="1546" spans="24:25" x14ac:dyDescent="0.25">
      <c r="X1546" s="101">
        <v>1541</v>
      </c>
      <c r="Y1546" s="120">
        <f t="shared" si="24"/>
        <v>335</v>
      </c>
    </row>
    <row r="1547" spans="24:25" x14ac:dyDescent="0.25">
      <c r="X1547" s="101">
        <v>1542</v>
      </c>
      <c r="Y1547" s="120">
        <f t="shared" si="24"/>
        <v>335</v>
      </c>
    </row>
    <row r="1548" spans="24:25" x14ac:dyDescent="0.25">
      <c r="X1548" s="101">
        <v>1543</v>
      </c>
      <c r="Y1548" s="120">
        <f t="shared" si="24"/>
        <v>335</v>
      </c>
    </row>
    <row r="1549" spans="24:25" x14ac:dyDescent="0.25">
      <c r="X1549" s="101">
        <v>1544</v>
      </c>
      <c r="Y1549" s="120">
        <f t="shared" si="24"/>
        <v>335</v>
      </c>
    </row>
    <row r="1550" spans="24:25" x14ac:dyDescent="0.25">
      <c r="X1550" s="101">
        <v>1545</v>
      </c>
      <c r="Y1550" s="120">
        <f t="shared" si="24"/>
        <v>335</v>
      </c>
    </row>
    <row r="1551" spans="24:25" x14ac:dyDescent="0.25">
      <c r="X1551" s="101">
        <v>1546</v>
      </c>
      <c r="Y1551" s="120">
        <f t="shared" si="24"/>
        <v>335</v>
      </c>
    </row>
    <row r="1552" spans="24:25" x14ac:dyDescent="0.25">
      <c r="X1552" s="101">
        <v>1547</v>
      </c>
      <c r="Y1552" s="120">
        <f t="shared" si="24"/>
        <v>335</v>
      </c>
    </row>
    <row r="1553" spans="24:25" x14ac:dyDescent="0.25">
      <c r="X1553" s="101">
        <v>1548</v>
      </c>
      <c r="Y1553" s="120">
        <f t="shared" si="24"/>
        <v>335</v>
      </c>
    </row>
    <row r="1554" spans="24:25" x14ac:dyDescent="0.25">
      <c r="X1554" s="101">
        <v>1549</v>
      </c>
      <c r="Y1554" s="120">
        <f t="shared" si="24"/>
        <v>335</v>
      </c>
    </row>
    <row r="1555" spans="24:25" x14ac:dyDescent="0.25">
      <c r="X1555" s="101">
        <v>1550</v>
      </c>
      <c r="Y1555" s="120">
        <f t="shared" si="24"/>
        <v>335</v>
      </c>
    </row>
    <row r="1556" spans="24:25" x14ac:dyDescent="0.25">
      <c r="X1556" s="101">
        <v>1551</v>
      </c>
      <c r="Y1556" s="120">
        <f t="shared" si="24"/>
        <v>335</v>
      </c>
    </row>
    <row r="1557" spans="24:25" x14ac:dyDescent="0.25">
      <c r="X1557" s="101">
        <v>1552</v>
      </c>
      <c r="Y1557" s="120">
        <f t="shared" si="24"/>
        <v>335</v>
      </c>
    </row>
    <row r="1558" spans="24:25" x14ac:dyDescent="0.25">
      <c r="X1558" s="101">
        <v>1553</v>
      </c>
      <c r="Y1558" s="120">
        <f t="shared" si="24"/>
        <v>335</v>
      </c>
    </row>
    <row r="1559" spans="24:25" x14ac:dyDescent="0.25">
      <c r="X1559" s="101">
        <v>1554</v>
      </c>
      <c r="Y1559" s="120">
        <f t="shared" si="24"/>
        <v>335</v>
      </c>
    </row>
    <row r="1560" spans="24:25" x14ac:dyDescent="0.25">
      <c r="X1560" s="101">
        <v>1555</v>
      </c>
      <c r="Y1560" s="120">
        <f t="shared" si="24"/>
        <v>335</v>
      </c>
    </row>
    <row r="1561" spans="24:25" x14ac:dyDescent="0.25">
      <c r="X1561" s="101">
        <v>1556</v>
      </c>
      <c r="Y1561" s="120">
        <f t="shared" si="24"/>
        <v>335</v>
      </c>
    </row>
    <row r="1562" spans="24:25" x14ac:dyDescent="0.25">
      <c r="X1562" s="101">
        <v>1557</v>
      </c>
      <c r="Y1562" s="120">
        <f t="shared" si="24"/>
        <v>335</v>
      </c>
    </row>
    <row r="1563" spans="24:25" x14ac:dyDescent="0.25">
      <c r="X1563" s="101">
        <v>1558</v>
      </c>
      <c r="Y1563" s="120">
        <f t="shared" si="24"/>
        <v>335</v>
      </c>
    </row>
    <row r="1564" spans="24:25" x14ac:dyDescent="0.25">
      <c r="X1564" s="101">
        <v>1559</v>
      </c>
      <c r="Y1564" s="120">
        <f t="shared" si="24"/>
        <v>335</v>
      </c>
    </row>
    <row r="1565" spans="24:25" x14ac:dyDescent="0.25">
      <c r="X1565" s="101">
        <v>1560</v>
      </c>
      <c r="Y1565" s="120">
        <f t="shared" si="24"/>
        <v>340</v>
      </c>
    </row>
    <row r="1566" spans="24:25" x14ac:dyDescent="0.25">
      <c r="X1566" s="101">
        <v>1561</v>
      </c>
      <c r="Y1566" s="120">
        <f t="shared" si="24"/>
        <v>340</v>
      </c>
    </row>
    <row r="1567" spans="24:25" x14ac:dyDescent="0.25">
      <c r="X1567" s="101">
        <v>1562</v>
      </c>
      <c r="Y1567" s="120">
        <f t="shared" si="24"/>
        <v>340</v>
      </c>
    </row>
    <row r="1568" spans="24:25" x14ac:dyDescent="0.25">
      <c r="X1568" s="101">
        <v>1563</v>
      </c>
      <c r="Y1568" s="120">
        <f t="shared" si="24"/>
        <v>340</v>
      </c>
    </row>
    <row r="1569" spans="24:25" x14ac:dyDescent="0.25">
      <c r="X1569" s="101">
        <v>1564</v>
      </c>
      <c r="Y1569" s="120">
        <f t="shared" si="24"/>
        <v>340</v>
      </c>
    </row>
    <row r="1570" spans="24:25" x14ac:dyDescent="0.25">
      <c r="X1570" s="101">
        <v>1565</v>
      </c>
      <c r="Y1570" s="120">
        <f t="shared" si="24"/>
        <v>340</v>
      </c>
    </row>
    <row r="1571" spans="24:25" x14ac:dyDescent="0.25">
      <c r="X1571" s="101">
        <v>1566</v>
      </c>
      <c r="Y1571" s="120">
        <f t="shared" si="24"/>
        <v>340</v>
      </c>
    </row>
    <row r="1572" spans="24:25" x14ac:dyDescent="0.25">
      <c r="X1572" s="101">
        <v>1567</v>
      </c>
      <c r="Y1572" s="120">
        <f t="shared" si="24"/>
        <v>340</v>
      </c>
    </row>
    <row r="1573" spans="24:25" x14ac:dyDescent="0.25">
      <c r="X1573" s="101">
        <v>1568</v>
      </c>
      <c r="Y1573" s="120">
        <f t="shared" si="24"/>
        <v>340</v>
      </c>
    </row>
    <row r="1574" spans="24:25" x14ac:dyDescent="0.25">
      <c r="X1574" s="101">
        <v>1569</v>
      </c>
      <c r="Y1574" s="120">
        <f t="shared" si="24"/>
        <v>340</v>
      </c>
    </row>
    <row r="1575" spans="24:25" x14ac:dyDescent="0.25">
      <c r="X1575" s="101">
        <v>1570</v>
      </c>
      <c r="Y1575" s="120">
        <f t="shared" si="24"/>
        <v>340</v>
      </c>
    </row>
    <row r="1576" spans="24:25" x14ac:dyDescent="0.25">
      <c r="X1576" s="101">
        <v>1571</v>
      </c>
      <c r="Y1576" s="120">
        <f t="shared" si="24"/>
        <v>340</v>
      </c>
    </row>
    <row r="1577" spans="24:25" x14ac:dyDescent="0.25">
      <c r="X1577" s="101">
        <v>1572</v>
      </c>
      <c r="Y1577" s="120">
        <f t="shared" si="24"/>
        <v>340</v>
      </c>
    </row>
    <row r="1578" spans="24:25" x14ac:dyDescent="0.25">
      <c r="X1578" s="101">
        <v>1573</v>
      </c>
      <c r="Y1578" s="120">
        <f t="shared" si="24"/>
        <v>340</v>
      </c>
    </row>
    <row r="1579" spans="24:25" x14ac:dyDescent="0.25">
      <c r="X1579" s="101">
        <v>1574</v>
      </c>
      <c r="Y1579" s="120">
        <f t="shared" si="24"/>
        <v>340</v>
      </c>
    </row>
    <row r="1580" spans="24:25" x14ac:dyDescent="0.25">
      <c r="X1580" s="101">
        <v>1575</v>
      </c>
      <c r="Y1580" s="120">
        <f t="shared" si="24"/>
        <v>340</v>
      </c>
    </row>
    <row r="1581" spans="24:25" x14ac:dyDescent="0.25">
      <c r="X1581" s="101">
        <v>1576</v>
      </c>
      <c r="Y1581" s="120">
        <f t="shared" si="24"/>
        <v>340</v>
      </c>
    </row>
    <row r="1582" spans="24:25" x14ac:dyDescent="0.25">
      <c r="X1582" s="101">
        <v>1577</v>
      </c>
      <c r="Y1582" s="120">
        <f t="shared" si="24"/>
        <v>340</v>
      </c>
    </row>
    <row r="1583" spans="24:25" x14ac:dyDescent="0.25">
      <c r="X1583" s="101">
        <v>1578</v>
      </c>
      <c r="Y1583" s="120">
        <f t="shared" si="24"/>
        <v>340</v>
      </c>
    </row>
    <row r="1584" spans="24:25" x14ac:dyDescent="0.25">
      <c r="X1584" s="101">
        <v>1579</v>
      </c>
      <c r="Y1584" s="120">
        <f t="shared" si="24"/>
        <v>340</v>
      </c>
    </row>
    <row r="1585" spans="24:25" x14ac:dyDescent="0.25">
      <c r="X1585" s="101">
        <v>1580</v>
      </c>
      <c r="Y1585" s="120">
        <f t="shared" si="24"/>
        <v>345</v>
      </c>
    </row>
    <row r="1586" spans="24:25" x14ac:dyDescent="0.25">
      <c r="X1586" s="101">
        <v>1581</v>
      </c>
      <c r="Y1586" s="120">
        <f t="shared" si="24"/>
        <v>345</v>
      </c>
    </row>
    <row r="1587" spans="24:25" x14ac:dyDescent="0.25">
      <c r="X1587" s="101">
        <v>1582</v>
      </c>
      <c r="Y1587" s="120">
        <f t="shared" si="24"/>
        <v>345</v>
      </c>
    </row>
    <row r="1588" spans="24:25" x14ac:dyDescent="0.25">
      <c r="X1588" s="101">
        <v>1583</v>
      </c>
      <c r="Y1588" s="120">
        <f t="shared" si="24"/>
        <v>345</v>
      </c>
    </row>
    <row r="1589" spans="24:25" x14ac:dyDescent="0.25">
      <c r="X1589" s="101">
        <v>1584</v>
      </c>
      <c r="Y1589" s="120">
        <f t="shared" si="24"/>
        <v>345</v>
      </c>
    </row>
    <row r="1590" spans="24:25" x14ac:dyDescent="0.25">
      <c r="X1590" s="101">
        <v>1585</v>
      </c>
      <c r="Y1590" s="120">
        <f t="shared" si="24"/>
        <v>345</v>
      </c>
    </row>
    <row r="1591" spans="24:25" x14ac:dyDescent="0.25">
      <c r="X1591" s="101">
        <v>1586</v>
      </c>
      <c r="Y1591" s="120">
        <f t="shared" si="24"/>
        <v>345</v>
      </c>
    </row>
    <row r="1592" spans="24:25" x14ac:dyDescent="0.25">
      <c r="X1592" s="101">
        <v>1587</v>
      </c>
      <c r="Y1592" s="120">
        <f t="shared" si="24"/>
        <v>345</v>
      </c>
    </row>
    <row r="1593" spans="24:25" x14ac:dyDescent="0.25">
      <c r="X1593" s="101">
        <v>1588</v>
      </c>
      <c r="Y1593" s="120">
        <f t="shared" si="24"/>
        <v>345</v>
      </c>
    </row>
    <row r="1594" spans="24:25" x14ac:dyDescent="0.25">
      <c r="X1594" s="101">
        <v>1589</v>
      </c>
      <c r="Y1594" s="120">
        <f t="shared" si="24"/>
        <v>345</v>
      </c>
    </row>
    <row r="1595" spans="24:25" x14ac:dyDescent="0.25">
      <c r="X1595" s="101">
        <v>1590</v>
      </c>
      <c r="Y1595" s="120">
        <f t="shared" si="24"/>
        <v>345</v>
      </c>
    </row>
    <row r="1596" spans="24:25" x14ac:dyDescent="0.25">
      <c r="X1596" s="101">
        <v>1591</v>
      </c>
      <c r="Y1596" s="120">
        <f t="shared" si="24"/>
        <v>345</v>
      </c>
    </row>
    <row r="1597" spans="24:25" x14ac:dyDescent="0.25">
      <c r="X1597" s="101">
        <v>1592</v>
      </c>
      <c r="Y1597" s="120">
        <f t="shared" si="24"/>
        <v>345</v>
      </c>
    </row>
    <row r="1598" spans="24:25" x14ac:dyDescent="0.25">
      <c r="X1598" s="101">
        <v>1593</v>
      </c>
      <c r="Y1598" s="120">
        <f t="shared" si="24"/>
        <v>345</v>
      </c>
    </row>
    <row r="1599" spans="24:25" x14ac:dyDescent="0.25">
      <c r="X1599" s="101">
        <v>1594</v>
      </c>
      <c r="Y1599" s="120">
        <f t="shared" si="24"/>
        <v>345</v>
      </c>
    </row>
    <row r="1600" spans="24:25" x14ac:dyDescent="0.25">
      <c r="X1600" s="101">
        <v>1595</v>
      </c>
      <c r="Y1600" s="120">
        <f t="shared" si="24"/>
        <v>345</v>
      </c>
    </row>
    <row r="1601" spans="24:25" x14ac:dyDescent="0.25">
      <c r="X1601" s="101">
        <v>1596</v>
      </c>
      <c r="Y1601" s="120">
        <f t="shared" si="24"/>
        <v>345</v>
      </c>
    </row>
    <row r="1602" spans="24:25" x14ac:dyDescent="0.25">
      <c r="X1602" s="101">
        <v>1597</v>
      </c>
      <c r="Y1602" s="120">
        <f t="shared" si="24"/>
        <v>345</v>
      </c>
    </row>
    <row r="1603" spans="24:25" x14ac:dyDescent="0.25">
      <c r="X1603" s="101">
        <v>1598</v>
      </c>
      <c r="Y1603" s="120">
        <f t="shared" si="24"/>
        <v>345</v>
      </c>
    </row>
    <row r="1604" spans="24:25" x14ac:dyDescent="0.25">
      <c r="X1604" s="101">
        <v>1599</v>
      </c>
      <c r="Y1604" s="120">
        <f t="shared" si="24"/>
        <v>345</v>
      </c>
    </row>
    <row r="1605" spans="24:25" x14ac:dyDescent="0.25">
      <c r="X1605" s="101">
        <v>1600</v>
      </c>
      <c r="Y1605" s="120">
        <f t="shared" si="24"/>
        <v>350</v>
      </c>
    </row>
    <row r="1606" spans="24:25" x14ac:dyDescent="0.25">
      <c r="X1606" s="101">
        <v>1601</v>
      </c>
      <c r="Y1606" s="120">
        <f t="shared" ref="Y1606:Y1669" si="25">INDEX(inhale_driver_table,INT(100*(X1606/ticks_per_inhale))+1)</f>
        <v>350</v>
      </c>
    </row>
    <row r="1607" spans="24:25" x14ac:dyDescent="0.25">
      <c r="X1607" s="101">
        <v>1602</v>
      </c>
      <c r="Y1607" s="120">
        <f t="shared" si="25"/>
        <v>350</v>
      </c>
    </row>
    <row r="1608" spans="24:25" x14ac:dyDescent="0.25">
      <c r="X1608" s="101">
        <v>1603</v>
      </c>
      <c r="Y1608" s="120">
        <f t="shared" si="25"/>
        <v>350</v>
      </c>
    </row>
    <row r="1609" spans="24:25" x14ac:dyDescent="0.25">
      <c r="X1609" s="101">
        <v>1604</v>
      </c>
      <c r="Y1609" s="120">
        <f t="shared" si="25"/>
        <v>350</v>
      </c>
    </row>
    <row r="1610" spans="24:25" x14ac:dyDescent="0.25">
      <c r="X1610" s="101">
        <v>1605</v>
      </c>
      <c r="Y1610" s="120">
        <f t="shared" si="25"/>
        <v>350</v>
      </c>
    </row>
    <row r="1611" spans="24:25" x14ac:dyDescent="0.25">
      <c r="X1611" s="101">
        <v>1606</v>
      </c>
      <c r="Y1611" s="120">
        <f t="shared" si="25"/>
        <v>350</v>
      </c>
    </row>
    <row r="1612" spans="24:25" x14ac:dyDescent="0.25">
      <c r="X1612" s="101">
        <v>1607</v>
      </c>
      <c r="Y1612" s="120">
        <f t="shared" si="25"/>
        <v>350</v>
      </c>
    </row>
    <row r="1613" spans="24:25" x14ac:dyDescent="0.25">
      <c r="X1613" s="101">
        <v>1608</v>
      </c>
      <c r="Y1613" s="120">
        <f t="shared" si="25"/>
        <v>350</v>
      </c>
    </row>
    <row r="1614" spans="24:25" x14ac:dyDescent="0.25">
      <c r="X1614" s="101">
        <v>1609</v>
      </c>
      <c r="Y1614" s="120">
        <f t="shared" si="25"/>
        <v>350</v>
      </c>
    </row>
    <row r="1615" spans="24:25" x14ac:dyDescent="0.25">
      <c r="X1615" s="101">
        <v>1610</v>
      </c>
      <c r="Y1615" s="120">
        <f t="shared" si="25"/>
        <v>350</v>
      </c>
    </row>
    <row r="1616" spans="24:25" x14ac:dyDescent="0.25">
      <c r="X1616" s="101">
        <v>1611</v>
      </c>
      <c r="Y1616" s="120">
        <f t="shared" si="25"/>
        <v>350</v>
      </c>
    </row>
    <row r="1617" spans="24:25" x14ac:dyDescent="0.25">
      <c r="X1617" s="101">
        <v>1612</v>
      </c>
      <c r="Y1617" s="120">
        <f t="shared" si="25"/>
        <v>350</v>
      </c>
    </row>
    <row r="1618" spans="24:25" x14ac:dyDescent="0.25">
      <c r="X1618" s="101">
        <v>1613</v>
      </c>
      <c r="Y1618" s="120">
        <f t="shared" si="25"/>
        <v>350</v>
      </c>
    </row>
    <row r="1619" spans="24:25" x14ac:dyDescent="0.25">
      <c r="X1619" s="101">
        <v>1614</v>
      </c>
      <c r="Y1619" s="120">
        <f t="shared" si="25"/>
        <v>350</v>
      </c>
    </row>
    <row r="1620" spans="24:25" x14ac:dyDescent="0.25">
      <c r="X1620" s="101">
        <v>1615</v>
      </c>
      <c r="Y1620" s="120">
        <f t="shared" si="25"/>
        <v>350</v>
      </c>
    </row>
    <row r="1621" spans="24:25" x14ac:dyDescent="0.25">
      <c r="X1621" s="101">
        <v>1616</v>
      </c>
      <c r="Y1621" s="120">
        <f t="shared" si="25"/>
        <v>350</v>
      </c>
    </row>
    <row r="1622" spans="24:25" x14ac:dyDescent="0.25">
      <c r="X1622" s="101">
        <v>1617</v>
      </c>
      <c r="Y1622" s="120">
        <f t="shared" si="25"/>
        <v>350</v>
      </c>
    </row>
    <row r="1623" spans="24:25" x14ac:dyDescent="0.25">
      <c r="X1623" s="101">
        <v>1618</v>
      </c>
      <c r="Y1623" s="120">
        <f t="shared" si="25"/>
        <v>350</v>
      </c>
    </row>
    <row r="1624" spans="24:25" x14ac:dyDescent="0.25">
      <c r="X1624" s="101">
        <v>1619</v>
      </c>
      <c r="Y1624" s="120">
        <f t="shared" si="25"/>
        <v>350</v>
      </c>
    </row>
    <row r="1625" spans="24:25" x14ac:dyDescent="0.25">
      <c r="X1625" s="101">
        <v>1620</v>
      </c>
      <c r="Y1625" s="120">
        <f t="shared" si="25"/>
        <v>347</v>
      </c>
    </row>
    <row r="1626" spans="24:25" x14ac:dyDescent="0.25">
      <c r="X1626" s="101">
        <v>1621</v>
      </c>
      <c r="Y1626" s="120">
        <f t="shared" si="25"/>
        <v>347</v>
      </c>
    </row>
    <row r="1627" spans="24:25" x14ac:dyDescent="0.25">
      <c r="X1627" s="101">
        <v>1622</v>
      </c>
      <c r="Y1627" s="120">
        <f t="shared" si="25"/>
        <v>347</v>
      </c>
    </row>
    <row r="1628" spans="24:25" x14ac:dyDescent="0.25">
      <c r="X1628" s="101">
        <v>1623</v>
      </c>
      <c r="Y1628" s="120">
        <f t="shared" si="25"/>
        <v>347</v>
      </c>
    </row>
    <row r="1629" spans="24:25" x14ac:dyDescent="0.25">
      <c r="X1629" s="101">
        <v>1624</v>
      </c>
      <c r="Y1629" s="120">
        <f t="shared" si="25"/>
        <v>347</v>
      </c>
    </row>
    <row r="1630" spans="24:25" x14ac:dyDescent="0.25">
      <c r="X1630" s="101">
        <v>1625</v>
      </c>
      <c r="Y1630" s="120">
        <f t="shared" si="25"/>
        <v>347</v>
      </c>
    </row>
    <row r="1631" spans="24:25" x14ac:dyDescent="0.25">
      <c r="X1631" s="101">
        <v>1626</v>
      </c>
      <c r="Y1631" s="120">
        <f t="shared" si="25"/>
        <v>347</v>
      </c>
    </row>
    <row r="1632" spans="24:25" x14ac:dyDescent="0.25">
      <c r="X1632" s="101">
        <v>1627</v>
      </c>
      <c r="Y1632" s="120">
        <f t="shared" si="25"/>
        <v>347</v>
      </c>
    </row>
    <row r="1633" spans="24:25" x14ac:dyDescent="0.25">
      <c r="X1633" s="101">
        <v>1628</v>
      </c>
      <c r="Y1633" s="120">
        <f t="shared" si="25"/>
        <v>347</v>
      </c>
    </row>
    <row r="1634" spans="24:25" x14ac:dyDescent="0.25">
      <c r="X1634" s="101">
        <v>1629</v>
      </c>
      <c r="Y1634" s="120">
        <f t="shared" si="25"/>
        <v>347</v>
      </c>
    </row>
    <row r="1635" spans="24:25" x14ac:dyDescent="0.25">
      <c r="X1635" s="101">
        <v>1630</v>
      </c>
      <c r="Y1635" s="120">
        <f t="shared" si="25"/>
        <v>347</v>
      </c>
    </row>
    <row r="1636" spans="24:25" x14ac:dyDescent="0.25">
      <c r="X1636" s="101">
        <v>1631</v>
      </c>
      <c r="Y1636" s="120">
        <f t="shared" si="25"/>
        <v>347</v>
      </c>
    </row>
    <row r="1637" spans="24:25" x14ac:dyDescent="0.25">
      <c r="X1637" s="101">
        <v>1632</v>
      </c>
      <c r="Y1637" s="120">
        <f t="shared" si="25"/>
        <v>347</v>
      </c>
    </row>
    <row r="1638" spans="24:25" x14ac:dyDescent="0.25">
      <c r="X1638" s="101">
        <v>1633</v>
      </c>
      <c r="Y1638" s="120">
        <f t="shared" si="25"/>
        <v>347</v>
      </c>
    </row>
    <row r="1639" spans="24:25" x14ac:dyDescent="0.25">
      <c r="X1639" s="101">
        <v>1634</v>
      </c>
      <c r="Y1639" s="120">
        <f t="shared" si="25"/>
        <v>347</v>
      </c>
    </row>
    <row r="1640" spans="24:25" x14ac:dyDescent="0.25">
      <c r="X1640" s="101">
        <v>1635</v>
      </c>
      <c r="Y1640" s="120">
        <f t="shared" si="25"/>
        <v>347</v>
      </c>
    </row>
    <row r="1641" spans="24:25" x14ac:dyDescent="0.25">
      <c r="X1641" s="101">
        <v>1636</v>
      </c>
      <c r="Y1641" s="120">
        <f t="shared" si="25"/>
        <v>347</v>
      </c>
    </row>
    <row r="1642" spans="24:25" x14ac:dyDescent="0.25">
      <c r="X1642" s="101">
        <v>1637</v>
      </c>
      <c r="Y1642" s="120">
        <f t="shared" si="25"/>
        <v>347</v>
      </c>
    </row>
    <row r="1643" spans="24:25" x14ac:dyDescent="0.25">
      <c r="X1643" s="101">
        <v>1638</v>
      </c>
      <c r="Y1643" s="120">
        <f t="shared" si="25"/>
        <v>347</v>
      </c>
    </row>
    <row r="1644" spans="24:25" x14ac:dyDescent="0.25">
      <c r="X1644" s="101">
        <v>1639</v>
      </c>
      <c r="Y1644" s="120">
        <f t="shared" si="25"/>
        <v>347</v>
      </c>
    </row>
    <row r="1645" spans="24:25" x14ac:dyDescent="0.25">
      <c r="X1645" s="101">
        <v>1640</v>
      </c>
      <c r="Y1645" s="120">
        <f t="shared" si="25"/>
        <v>345</v>
      </c>
    </row>
    <row r="1646" spans="24:25" x14ac:dyDescent="0.25">
      <c r="X1646" s="101">
        <v>1641</v>
      </c>
      <c r="Y1646" s="120">
        <f t="shared" si="25"/>
        <v>345</v>
      </c>
    </row>
    <row r="1647" spans="24:25" x14ac:dyDescent="0.25">
      <c r="X1647" s="101">
        <v>1642</v>
      </c>
      <c r="Y1647" s="120">
        <f t="shared" si="25"/>
        <v>345</v>
      </c>
    </row>
    <row r="1648" spans="24:25" x14ac:dyDescent="0.25">
      <c r="X1648" s="101">
        <v>1643</v>
      </c>
      <c r="Y1648" s="120">
        <f t="shared" si="25"/>
        <v>345</v>
      </c>
    </row>
    <row r="1649" spans="24:25" x14ac:dyDescent="0.25">
      <c r="X1649" s="101">
        <v>1644</v>
      </c>
      <c r="Y1649" s="120">
        <f t="shared" si="25"/>
        <v>345</v>
      </c>
    </row>
    <row r="1650" spans="24:25" x14ac:dyDescent="0.25">
      <c r="X1650" s="101">
        <v>1645</v>
      </c>
      <c r="Y1650" s="120">
        <f t="shared" si="25"/>
        <v>345</v>
      </c>
    </row>
    <row r="1651" spans="24:25" x14ac:dyDescent="0.25">
      <c r="X1651" s="101">
        <v>1646</v>
      </c>
      <c r="Y1651" s="120">
        <f t="shared" si="25"/>
        <v>345</v>
      </c>
    </row>
    <row r="1652" spans="24:25" x14ac:dyDescent="0.25">
      <c r="X1652" s="101">
        <v>1647</v>
      </c>
      <c r="Y1652" s="120">
        <f t="shared" si="25"/>
        <v>345</v>
      </c>
    </row>
    <row r="1653" spans="24:25" x14ac:dyDescent="0.25">
      <c r="X1653" s="101">
        <v>1648</v>
      </c>
      <c r="Y1653" s="120">
        <f t="shared" si="25"/>
        <v>345</v>
      </c>
    </row>
    <row r="1654" spans="24:25" x14ac:dyDescent="0.25">
      <c r="X1654" s="101">
        <v>1649</v>
      </c>
      <c r="Y1654" s="120">
        <f t="shared" si="25"/>
        <v>345</v>
      </c>
    </row>
    <row r="1655" spans="24:25" x14ac:dyDescent="0.25">
      <c r="X1655" s="101">
        <v>1650</v>
      </c>
      <c r="Y1655" s="120">
        <f t="shared" si="25"/>
        <v>345</v>
      </c>
    </row>
    <row r="1656" spans="24:25" x14ac:dyDescent="0.25">
      <c r="X1656" s="101">
        <v>1651</v>
      </c>
      <c r="Y1656" s="120">
        <f t="shared" si="25"/>
        <v>345</v>
      </c>
    </row>
    <row r="1657" spans="24:25" x14ac:dyDescent="0.25">
      <c r="X1657" s="101">
        <v>1652</v>
      </c>
      <c r="Y1657" s="120">
        <f t="shared" si="25"/>
        <v>345</v>
      </c>
    </row>
    <row r="1658" spans="24:25" x14ac:dyDescent="0.25">
      <c r="X1658" s="101">
        <v>1653</v>
      </c>
      <c r="Y1658" s="120">
        <f t="shared" si="25"/>
        <v>345</v>
      </c>
    </row>
    <row r="1659" spans="24:25" x14ac:dyDescent="0.25">
      <c r="X1659" s="101">
        <v>1654</v>
      </c>
      <c r="Y1659" s="120">
        <f t="shared" si="25"/>
        <v>345</v>
      </c>
    </row>
    <row r="1660" spans="24:25" x14ac:dyDescent="0.25">
      <c r="X1660" s="101">
        <v>1655</v>
      </c>
      <c r="Y1660" s="120">
        <f t="shared" si="25"/>
        <v>345</v>
      </c>
    </row>
    <row r="1661" spans="24:25" x14ac:dyDescent="0.25">
      <c r="X1661" s="101">
        <v>1656</v>
      </c>
      <c r="Y1661" s="120">
        <f t="shared" si="25"/>
        <v>345</v>
      </c>
    </row>
    <row r="1662" spans="24:25" x14ac:dyDescent="0.25">
      <c r="X1662" s="101">
        <v>1657</v>
      </c>
      <c r="Y1662" s="120">
        <f t="shared" si="25"/>
        <v>345</v>
      </c>
    </row>
    <row r="1663" spans="24:25" x14ac:dyDescent="0.25">
      <c r="X1663" s="101">
        <v>1658</v>
      </c>
      <c r="Y1663" s="120">
        <f t="shared" si="25"/>
        <v>345</v>
      </c>
    </row>
    <row r="1664" spans="24:25" x14ac:dyDescent="0.25">
      <c r="X1664" s="101">
        <v>1659</v>
      </c>
      <c r="Y1664" s="120">
        <f t="shared" si="25"/>
        <v>345</v>
      </c>
    </row>
    <row r="1665" spans="24:25" x14ac:dyDescent="0.25">
      <c r="X1665" s="101">
        <v>1660</v>
      </c>
      <c r="Y1665" s="120">
        <f t="shared" si="25"/>
        <v>342</v>
      </c>
    </row>
    <row r="1666" spans="24:25" x14ac:dyDescent="0.25">
      <c r="X1666" s="101">
        <v>1661</v>
      </c>
      <c r="Y1666" s="120">
        <f t="shared" si="25"/>
        <v>342</v>
      </c>
    </row>
    <row r="1667" spans="24:25" x14ac:dyDescent="0.25">
      <c r="X1667" s="101">
        <v>1662</v>
      </c>
      <c r="Y1667" s="120">
        <f t="shared" si="25"/>
        <v>342</v>
      </c>
    </row>
    <row r="1668" spans="24:25" x14ac:dyDescent="0.25">
      <c r="X1668" s="101">
        <v>1663</v>
      </c>
      <c r="Y1668" s="120">
        <f t="shared" si="25"/>
        <v>342</v>
      </c>
    </row>
    <row r="1669" spans="24:25" x14ac:dyDescent="0.25">
      <c r="X1669" s="101">
        <v>1664</v>
      </c>
      <c r="Y1669" s="120">
        <f t="shared" si="25"/>
        <v>342</v>
      </c>
    </row>
    <row r="1670" spans="24:25" x14ac:dyDescent="0.25">
      <c r="X1670" s="101">
        <v>1665</v>
      </c>
      <c r="Y1670" s="120">
        <f t="shared" ref="Y1670:Y1733" si="26">INDEX(inhale_driver_table,INT(100*(X1670/ticks_per_inhale))+1)</f>
        <v>342</v>
      </c>
    </row>
    <row r="1671" spans="24:25" x14ac:dyDescent="0.25">
      <c r="X1671" s="101">
        <v>1666</v>
      </c>
      <c r="Y1671" s="120">
        <f t="shared" si="26"/>
        <v>342</v>
      </c>
    </row>
    <row r="1672" spans="24:25" x14ac:dyDescent="0.25">
      <c r="X1672" s="101">
        <v>1667</v>
      </c>
      <c r="Y1672" s="120">
        <f t="shared" si="26"/>
        <v>342</v>
      </c>
    </row>
    <row r="1673" spans="24:25" x14ac:dyDescent="0.25">
      <c r="X1673" s="101">
        <v>1668</v>
      </c>
      <c r="Y1673" s="120">
        <f t="shared" si="26"/>
        <v>342</v>
      </c>
    </row>
    <row r="1674" spans="24:25" x14ac:dyDescent="0.25">
      <c r="X1674" s="101">
        <v>1669</v>
      </c>
      <c r="Y1674" s="120">
        <f t="shared" si="26"/>
        <v>342</v>
      </c>
    </row>
    <row r="1675" spans="24:25" x14ac:dyDescent="0.25">
      <c r="X1675" s="101">
        <v>1670</v>
      </c>
      <c r="Y1675" s="120">
        <f t="shared" si="26"/>
        <v>342</v>
      </c>
    </row>
    <row r="1676" spans="24:25" x14ac:dyDescent="0.25">
      <c r="X1676" s="101">
        <v>1671</v>
      </c>
      <c r="Y1676" s="120">
        <f t="shared" si="26"/>
        <v>342</v>
      </c>
    </row>
    <row r="1677" spans="24:25" x14ac:dyDescent="0.25">
      <c r="X1677" s="101">
        <v>1672</v>
      </c>
      <c r="Y1677" s="120">
        <f t="shared" si="26"/>
        <v>342</v>
      </c>
    </row>
    <row r="1678" spans="24:25" x14ac:dyDescent="0.25">
      <c r="X1678" s="101">
        <v>1673</v>
      </c>
      <c r="Y1678" s="120">
        <f t="shared" si="26"/>
        <v>342</v>
      </c>
    </row>
    <row r="1679" spans="24:25" x14ac:dyDescent="0.25">
      <c r="X1679" s="101">
        <v>1674</v>
      </c>
      <c r="Y1679" s="120">
        <f t="shared" si="26"/>
        <v>342</v>
      </c>
    </row>
    <row r="1680" spans="24:25" x14ac:dyDescent="0.25">
      <c r="X1680" s="101">
        <v>1675</v>
      </c>
      <c r="Y1680" s="120">
        <f t="shared" si="26"/>
        <v>342</v>
      </c>
    </row>
    <row r="1681" spans="24:25" x14ac:dyDescent="0.25">
      <c r="X1681" s="101">
        <v>1676</v>
      </c>
      <c r="Y1681" s="120">
        <f t="shared" si="26"/>
        <v>342</v>
      </c>
    </row>
    <row r="1682" spans="24:25" x14ac:dyDescent="0.25">
      <c r="X1682" s="101">
        <v>1677</v>
      </c>
      <c r="Y1682" s="120">
        <f t="shared" si="26"/>
        <v>342</v>
      </c>
    </row>
    <row r="1683" spans="24:25" x14ac:dyDescent="0.25">
      <c r="X1683" s="101">
        <v>1678</v>
      </c>
      <c r="Y1683" s="120">
        <f t="shared" si="26"/>
        <v>342</v>
      </c>
    </row>
    <row r="1684" spans="24:25" x14ac:dyDescent="0.25">
      <c r="X1684" s="101">
        <v>1679</v>
      </c>
      <c r="Y1684" s="120">
        <f t="shared" si="26"/>
        <v>342</v>
      </c>
    </row>
    <row r="1685" spans="24:25" x14ac:dyDescent="0.25">
      <c r="X1685" s="101">
        <v>1680</v>
      </c>
      <c r="Y1685" s="120">
        <f t="shared" si="26"/>
        <v>340</v>
      </c>
    </row>
    <row r="1686" spans="24:25" x14ac:dyDescent="0.25">
      <c r="X1686" s="101">
        <v>1681</v>
      </c>
      <c r="Y1686" s="120">
        <f t="shared" si="26"/>
        <v>340</v>
      </c>
    </row>
    <row r="1687" spans="24:25" x14ac:dyDescent="0.25">
      <c r="X1687" s="101">
        <v>1682</v>
      </c>
      <c r="Y1687" s="120">
        <f t="shared" si="26"/>
        <v>340</v>
      </c>
    </row>
    <row r="1688" spans="24:25" x14ac:dyDescent="0.25">
      <c r="X1688" s="101">
        <v>1683</v>
      </c>
      <c r="Y1688" s="120">
        <f t="shared" si="26"/>
        <v>340</v>
      </c>
    </row>
    <row r="1689" spans="24:25" x14ac:dyDescent="0.25">
      <c r="X1689" s="101">
        <v>1684</v>
      </c>
      <c r="Y1689" s="120">
        <f t="shared" si="26"/>
        <v>340</v>
      </c>
    </row>
    <row r="1690" spans="24:25" x14ac:dyDescent="0.25">
      <c r="X1690" s="101">
        <v>1685</v>
      </c>
      <c r="Y1690" s="120">
        <f t="shared" si="26"/>
        <v>340</v>
      </c>
    </row>
    <row r="1691" spans="24:25" x14ac:dyDescent="0.25">
      <c r="X1691" s="101">
        <v>1686</v>
      </c>
      <c r="Y1691" s="120">
        <f t="shared" si="26"/>
        <v>340</v>
      </c>
    </row>
    <row r="1692" spans="24:25" x14ac:dyDescent="0.25">
      <c r="X1692" s="101">
        <v>1687</v>
      </c>
      <c r="Y1692" s="120">
        <f t="shared" si="26"/>
        <v>340</v>
      </c>
    </row>
    <row r="1693" spans="24:25" x14ac:dyDescent="0.25">
      <c r="X1693" s="101">
        <v>1688</v>
      </c>
      <c r="Y1693" s="120">
        <f t="shared" si="26"/>
        <v>340</v>
      </c>
    </row>
    <row r="1694" spans="24:25" x14ac:dyDescent="0.25">
      <c r="X1694" s="101">
        <v>1689</v>
      </c>
      <c r="Y1694" s="120">
        <f t="shared" si="26"/>
        <v>340</v>
      </c>
    </row>
    <row r="1695" spans="24:25" x14ac:dyDescent="0.25">
      <c r="X1695" s="101">
        <v>1690</v>
      </c>
      <c r="Y1695" s="120">
        <f t="shared" si="26"/>
        <v>340</v>
      </c>
    </row>
    <row r="1696" spans="24:25" x14ac:dyDescent="0.25">
      <c r="X1696" s="101">
        <v>1691</v>
      </c>
      <c r="Y1696" s="120">
        <f t="shared" si="26"/>
        <v>340</v>
      </c>
    </row>
    <row r="1697" spans="24:25" x14ac:dyDescent="0.25">
      <c r="X1697" s="101">
        <v>1692</v>
      </c>
      <c r="Y1697" s="120">
        <f t="shared" si="26"/>
        <v>340</v>
      </c>
    </row>
    <row r="1698" spans="24:25" x14ac:dyDescent="0.25">
      <c r="X1698" s="101">
        <v>1693</v>
      </c>
      <c r="Y1698" s="120">
        <f t="shared" si="26"/>
        <v>340</v>
      </c>
    </row>
    <row r="1699" spans="24:25" x14ac:dyDescent="0.25">
      <c r="X1699" s="101">
        <v>1694</v>
      </c>
      <c r="Y1699" s="120">
        <f t="shared" si="26"/>
        <v>340</v>
      </c>
    </row>
    <row r="1700" spans="24:25" x14ac:dyDescent="0.25">
      <c r="X1700" s="101">
        <v>1695</v>
      </c>
      <c r="Y1700" s="120">
        <f t="shared" si="26"/>
        <v>340</v>
      </c>
    </row>
    <row r="1701" spans="24:25" x14ac:dyDescent="0.25">
      <c r="X1701" s="101">
        <v>1696</v>
      </c>
      <c r="Y1701" s="120">
        <f t="shared" si="26"/>
        <v>340</v>
      </c>
    </row>
    <row r="1702" spans="24:25" x14ac:dyDescent="0.25">
      <c r="X1702" s="101">
        <v>1697</v>
      </c>
      <c r="Y1702" s="120">
        <f t="shared" si="26"/>
        <v>340</v>
      </c>
    </row>
    <row r="1703" spans="24:25" x14ac:dyDescent="0.25">
      <c r="X1703" s="101">
        <v>1698</v>
      </c>
      <c r="Y1703" s="120">
        <f t="shared" si="26"/>
        <v>340</v>
      </c>
    </row>
    <row r="1704" spans="24:25" x14ac:dyDescent="0.25">
      <c r="X1704" s="101">
        <v>1699</v>
      </c>
      <c r="Y1704" s="120">
        <f t="shared" si="26"/>
        <v>340</v>
      </c>
    </row>
    <row r="1705" spans="24:25" x14ac:dyDescent="0.25">
      <c r="X1705" s="101">
        <v>1700</v>
      </c>
      <c r="Y1705" s="120">
        <f t="shared" si="26"/>
        <v>337</v>
      </c>
    </row>
    <row r="1706" spans="24:25" x14ac:dyDescent="0.25">
      <c r="X1706" s="101">
        <v>1701</v>
      </c>
      <c r="Y1706" s="120">
        <f t="shared" si="26"/>
        <v>337</v>
      </c>
    </row>
    <row r="1707" spans="24:25" x14ac:dyDescent="0.25">
      <c r="X1707" s="101">
        <v>1702</v>
      </c>
      <c r="Y1707" s="120">
        <f t="shared" si="26"/>
        <v>337</v>
      </c>
    </row>
    <row r="1708" spans="24:25" x14ac:dyDescent="0.25">
      <c r="X1708" s="101">
        <v>1703</v>
      </c>
      <c r="Y1708" s="120">
        <f t="shared" si="26"/>
        <v>337</v>
      </c>
    </row>
    <row r="1709" spans="24:25" x14ac:dyDescent="0.25">
      <c r="X1709" s="101">
        <v>1704</v>
      </c>
      <c r="Y1709" s="120">
        <f t="shared" si="26"/>
        <v>337</v>
      </c>
    </row>
    <row r="1710" spans="24:25" x14ac:dyDescent="0.25">
      <c r="X1710" s="101">
        <v>1705</v>
      </c>
      <c r="Y1710" s="120">
        <f t="shared" si="26"/>
        <v>337</v>
      </c>
    </row>
    <row r="1711" spans="24:25" x14ac:dyDescent="0.25">
      <c r="X1711" s="101">
        <v>1706</v>
      </c>
      <c r="Y1711" s="120">
        <f t="shared" si="26"/>
        <v>337</v>
      </c>
    </row>
    <row r="1712" spans="24:25" x14ac:dyDescent="0.25">
      <c r="X1712" s="101">
        <v>1707</v>
      </c>
      <c r="Y1712" s="120">
        <f t="shared" si="26"/>
        <v>337</v>
      </c>
    </row>
    <row r="1713" spans="24:25" x14ac:dyDescent="0.25">
      <c r="X1713" s="101">
        <v>1708</v>
      </c>
      <c r="Y1713" s="120">
        <f t="shared" si="26"/>
        <v>337</v>
      </c>
    </row>
    <row r="1714" spans="24:25" x14ac:dyDescent="0.25">
      <c r="X1714" s="101">
        <v>1709</v>
      </c>
      <c r="Y1714" s="120">
        <f t="shared" si="26"/>
        <v>337</v>
      </c>
    </row>
    <row r="1715" spans="24:25" x14ac:dyDescent="0.25">
      <c r="X1715" s="101">
        <v>1710</v>
      </c>
      <c r="Y1715" s="120">
        <f t="shared" si="26"/>
        <v>337</v>
      </c>
    </row>
    <row r="1716" spans="24:25" x14ac:dyDescent="0.25">
      <c r="X1716" s="101">
        <v>1711</v>
      </c>
      <c r="Y1716" s="120">
        <f t="shared" si="26"/>
        <v>337</v>
      </c>
    </row>
    <row r="1717" spans="24:25" x14ac:dyDescent="0.25">
      <c r="X1717" s="101">
        <v>1712</v>
      </c>
      <c r="Y1717" s="120">
        <f t="shared" si="26"/>
        <v>337</v>
      </c>
    </row>
    <row r="1718" spans="24:25" x14ac:dyDescent="0.25">
      <c r="X1718" s="101">
        <v>1713</v>
      </c>
      <c r="Y1718" s="120">
        <f t="shared" si="26"/>
        <v>337</v>
      </c>
    </row>
    <row r="1719" spans="24:25" x14ac:dyDescent="0.25">
      <c r="X1719" s="101">
        <v>1714</v>
      </c>
      <c r="Y1719" s="120">
        <f t="shared" si="26"/>
        <v>337</v>
      </c>
    </row>
    <row r="1720" spans="24:25" x14ac:dyDescent="0.25">
      <c r="X1720" s="101">
        <v>1715</v>
      </c>
      <c r="Y1720" s="120">
        <f t="shared" si="26"/>
        <v>337</v>
      </c>
    </row>
    <row r="1721" spans="24:25" x14ac:dyDescent="0.25">
      <c r="X1721" s="101">
        <v>1716</v>
      </c>
      <c r="Y1721" s="120">
        <f t="shared" si="26"/>
        <v>337</v>
      </c>
    </row>
    <row r="1722" spans="24:25" x14ac:dyDescent="0.25">
      <c r="X1722" s="101">
        <v>1717</v>
      </c>
      <c r="Y1722" s="120">
        <f t="shared" si="26"/>
        <v>337</v>
      </c>
    </row>
    <row r="1723" spans="24:25" x14ac:dyDescent="0.25">
      <c r="X1723" s="101">
        <v>1718</v>
      </c>
      <c r="Y1723" s="120">
        <f t="shared" si="26"/>
        <v>337</v>
      </c>
    </row>
    <row r="1724" spans="24:25" x14ac:dyDescent="0.25">
      <c r="X1724" s="101">
        <v>1719</v>
      </c>
      <c r="Y1724" s="120">
        <f t="shared" si="26"/>
        <v>337</v>
      </c>
    </row>
    <row r="1725" spans="24:25" x14ac:dyDescent="0.25">
      <c r="X1725" s="101">
        <v>1720</v>
      </c>
      <c r="Y1725" s="120">
        <f t="shared" si="26"/>
        <v>335</v>
      </c>
    </row>
    <row r="1726" spans="24:25" x14ac:dyDescent="0.25">
      <c r="X1726" s="101">
        <v>1721</v>
      </c>
      <c r="Y1726" s="120">
        <f t="shared" si="26"/>
        <v>335</v>
      </c>
    </row>
    <row r="1727" spans="24:25" x14ac:dyDescent="0.25">
      <c r="X1727" s="101">
        <v>1722</v>
      </c>
      <c r="Y1727" s="120">
        <f t="shared" si="26"/>
        <v>335</v>
      </c>
    </row>
    <row r="1728" spans="24:25" x14ac:dyDescent="0.25">
      <c r="X1728" s="101">
        <v>1723</v>
      </c>
      <c r="Y1728" s="120">
        <f t="shared" si="26"/>
        <v>335</v>
      </c>
    </row>
    <row r="1729" spans="24:25" x14ac:dyDescent="0.25">
      <c r="X1729" s="101">
        <v>1724</v>
      </c>
      <c r="Y1729" s="120">
        <f t="shared" si="26"/>
        <v>335</v>
      </c>
    </row>
    <row r="1730" spans="24:25" x14ac:dyDescent="0.25">
      <c r="X1730" s="101">
        <v>1725</v>
      </c>
      <c r="Y1730" s="120">
        <f t="shared" si="26"/>
        <v>335</v>
      </c>
    </row>
    <row r="1731" spans="24:25" x14ac:dyDescent="0.25">
      <c r="X1731" s="101">
        <v>1726</v>
      </c>
      <c r="Y1731" s="120">
        <f t="shared" si="26"/>
        <v>335</v>
      </c>
    </row>
    <row r="1732" spans="24:25" x14ac:dyDescent="0.25">
      <c r="X1732" s="101">
        <v>1727</v>
      </c>
      <c r="Y1732" s="120">
        <f t="shared" si="26"/>
        <v>335</v>
      </c>
    </row>
    <row r="1733" spans="24:25" x14ac:dyDescent="0.25">
      <c r="X1733" s="101">
        <v>1728</v>
      </c>
      <c r="Y1733" s="120">
        <f t="shared" si="26"/>
        <v>335</v>
      </c>
    </row>
    <row r="1734" spans="24:25" x14ac:dyDescent="0.25">
      <c r="X1734" s="101">
        <v>1729</v>
      </c>
      <c r="Y1734" s="120">
        <f t="shared" ref="Y1734:Y1797" si="27">INDEX(inhale_driver_table,INT(100*(X1734/ticks_per_inhale))+1)</f>
        <v>335</v>
      </c>
    </row>
    <row r="1735" spans="24:25" x14ac:dyDescent="0.25">
      <c r="X1735" s="101">
        <v>1730</v>
      </c>
      <c r="Y1735" s="120">
        <f t="shared" si="27"/>
        <v>335</v>
      </c>
    </row>
    <row r="1736" spans="24:25" x14ac:dyDescent="0.25">
      <c r="X1736" s="101">
        <v>1731</v>
      </c>
      <c r="Y1736" s="120">
        <f t="shared" si="27"/>
        <v>335</v>
      </c>
    </row>
    <row r="1737" spans="24:25" x14ac:dyDescent="0.25">
      <c r="X1737" s="101">
        <v>1732</v>
      </c>
      <c r="Y1737" s="120">
        <f t="shared" si="27"/>
        <v>335</v>
      </c>
    </row>
    <row r="1738" spans="24:25" x14ac:dyDescent="0.25">
      <c r="X1738" s="101">
        <v>1733</v>
      </c>
      <c r="Y1738" s="120">
        <f t="shared" si="27"/>
        <v>335</v>
      </c>
    </row>
    <row r="1739" spans="24:25" x14ac:dyDescent="0.25">
      <c r="X1739" s="101">
        <v>1734</v>
      </c>
      <c r="Y1739" s="120">
        <f t="shared" si="27"/>
        <v>335</v>
      </c>
    </row>
    <row r="1740" spans="24:25" x14ac:dyDescent="0.25">
      <c r="X1740" s="101">
        <v>1735</v>
      </c>
      <c r="Y1740" s="120">
        <f t="shared" si="27"/>
        <v>335</v>
      </c>
    </row>
    <row r="1741" spans="24:25" x14ac:dyDescent="0.25">
      <c r="X1741" s="101">
        <v>1736</v>
      </c>
      <c r="Y1741" s="120">
        <f t="shared" si="27"/>
        <v>335</v>
      </c>
    </row>
    <row r="1742" spans="24:25" x14ac:dyDescent="0.25">
      <c r="X1742" s="101">
        <v>1737</v>
      </c>
      <c r="Y1742" s="120">
        <f t="shared" si="27"/>
        <v>335</v>
      </c>
    </row>
    <row r="1743" spans="24:25" x14ac:dyDescent="0.25">
      <c r="X1743" s="101">
        <v>1738</v>
      </c>
      <c r="Y1743" s="120">
        <f t="shared" si="27"/>
        <v>335</v>
      </c>
    </row>
    <row r="1744" spans="24:25" x14ac:dyDescent="0.25">
      <c r="X1744" s="101">
        <v>1739</v>
      </c>
      <c r="Y1744" s="120">
        <f t="shared" si="27"/>
        <v>335</v>
      </c>
    </row>
    <row r="1745" spans="24:25" x14ac:dyDescent="0.25">
      <c r="X1745" s="101">
        <v>1740</v>
      </c>
      <c r="Y1745" s="120">
        <f t="shared" si="27"/>
        <v>332</v>
      </c>
    </row>
    <row r="1746" spans="24:25" x14ac:dyDescent="0.25">
      <c r="X1746" s="101">
        <v>1741</v>
      </c>
      <c r="Y1746" s="120">
        <f t="shared" si="27"/>
        <v>332</v>
      </c>
    </row>
    <row r="1747" spans="24:25" x14ac:dyDescent="0.25">
      <c r="X1747" s="101">
        <v>1742</v>
      </c>
      <c r="Y1747" s="120">
        <f t="shared" si="27"/>
        <v>332</v>
      </c>
    </row>
    <row r="1748" spans="24:25" x14ac:dyDescent="0.25">
      <c r="X1748" s="101">
        <v>1743</v>
      </c>
      <c r="Y1748" s="120">
        <f t="shared" si="27"/>
        <v>332</v>
      </c>
    </row>
    <row r="1749" spans="24:25" x14ac:dyDescent="0.25">
      <c r="X1749" s="101">
        <v>1744</v>
      </c>
      <c r="Y1749" s="120">
        <f t="shared" si="27"/>
        <v>332</v>
      </c>
    </row>
    <row r="1750" spans="24:25" x14ac:dyDescent="0.25">
      <c r="X1750" s="101">
        <v>1745</v>
      </c>
      <c r="Y1750" s="120">
        <f t="shared" si="27"/>
        <v>332</v>
      </c>
    </row>
    <row r="1751" spans="24:25" x14ac:dyDescent="0.25">
      <c r="X1751" s="101">
        <v>1746</v>
      </c>
      <c r="Y1751" s="120">
        <f t="shared" si="27"/>
        <v>332</v>
      </c>
    </row>
    <row r="1752" spans="24:25" x14ac:dyDescent="0.25">
      <c r="X1752" s="101">
        <v>1747</v>
      </c>
      <c r="Y1752" s="120">
        <f t="shared" si="27"/>
        <v>332</v>
      </c>
    </row>
    <row r="1753" spans="24:25" x14ac:dyDescent="0.25">
      <c r="X1753" s="101">
        <v>1748</v>
      </c>
      <c r="Y1753" s="120">
        <f t="shared" si="27"/>
        <v>332</v>
      </c>
    </row>
    <row r="1754" spans="24:25" x14ac:dyDescent="0.25">
      <c r="X1754" s="101">
        <v>1749</v>
      </c>
      <c r="Y1754" s="120">
        <f t="shared" si="27"/>
        <v>332</v>
      </c>
    </row>
    <row r="1755" spans="24:25" x14ac:dyDescent="0.25">
      <c r="X1755" s="101">
        <v>1750</v>
      </c>
      <c r="Y1755" s="120">
        <f t="shared" si="27"/>
        <v>332</v>
      </c>
    </row>
    <row r="1756" spans="24:25" x14ac:dyDescent="0.25">
      <c r="X1756" s="101">
        <v>1751</v>
      </c>
      <c r="Y1756" s="120">
        <f t="shared" si="27"/>
        <v>332</v>
      </c>
    </row>
    <row r="1757" spans="24:25" x14ac:dyDescent="0.25">
      <c r="X1757" s="101">
        <v>1752</v>
      </c>
      <c r="Y1757" s="120">
        <f t="shared" si="27"/>
        <v>332</v>
      </c>
    </row>
    <row r="1758" spans="24:25" x14ac:dyDescent="0.25">
      <c r="X1758" s="101">
        <v>1753</v>
      </c>
      <c r="Y1758" s="120">
        <f t="shared" si="27"/>
        <v>332</v>
      </c>
    </row>
    <row r="1759" spans="24:25" x14ac:dyDescent="0.25">
      <c r="X1759" s="101">
        <v>1754</v>
      </c>
      <c r="Y1759" s="120">
        <f t="shared" si="27"/>
        <v>332</v>
      </c>
    </row>
    <row r="1760" spans="24:25" x14ac:dyDescent="0.25">
      <c r="X1760" s="101">
        <v>1755</v>
      </c>
      <c r="Y1760" s="120">
        <f t="shared" si="27"/>
        <v>332</v>
      </c>
    </row>
    <row r="1761" spans="24:25" x14ac:dyDescent="0.25">
      <c r="X1761" s="101">
        <v>1756</v>
      </c>
      <c r="Y1761" s="120">
        <f t="shared" si="27"/>
        <v>332</v>
      </c>
    </row>
    <row r="1762" spans="24:25" x14ac:dyDescent="0.25">
      <c r="X1762" s="101">
        <v>1757</v>
      </c>
      <c r="Y1762" s="120">
        <f t="shared" si="27"/>
        <v>332</v>
      </c>
    </row>
    <row r="1763" spans="24:25" x14ac:dyDescent="0.25">
      <c r="X1763" s="101">
        <v>1758</v>
      </c>
      <c r="Y1763" s="120">
        <f t="shared" si="27"/>
        <v>332</v>
      </c>
    </row>
    <row r="1764" spans="24:25" x14ac:dyDescent="0.25">
      <c r="X1764" s="101">
        <v>1759</v>
      </c>
      <c r="Y1764" s="120">
        <f t="shared" si="27"/>
        <v>332</v>
      </c>
    </row>
    <row r="1765" spans="24:25" x14ac:dyDescent="0.25">
      <c r="X1765" s="101">
        <v>1760</v>
      </c>
      <c r="Y1765" s="120">
        <f t="shared" si="27"/>
        <v>330</v>
      </c>
    </row>
    <row r="1766" spans="24:25" x14ac:dyDescent="0.25">
      <c r="X1766" s="101">
        <v>1761</v>
      </c>
      <c r="Y1766" s="120">
        <f t="shared" si="27"/>
        <v>330</v>
      </c>
    </row>
    <row r="1767" spans="24:25" x14ac:dyDescent="0.25">
      <c r="X1767" s="101">
        <v>1762</v>
      </c>
      <c r="Y1767" s="120">
        <f t="shared" si="27"/>
        <v>330</v>
      </c>
    </row>
    <row r="1768" spans="24:25" x14ac:dyDescent="0.25">
      <c r="X1768" s="101">
        <v>1763</v>
      </c>
      <c r="Y1768" s="120">
        <f t="shared" si="27"/>
        <v>330</v>
      </c>
    </row>
    <row r="1769" spans="24:25" x14ac:dyDescent="0.25">
      <c r="X1769" s="101">
        <v>1764</v>
      </c>
      <c r="Y1769" s="120">
        <f t="shared" si="27"/>
        <v>330</v>
      </c>
    </row>
    <row r="1770" spans="24:25" x14ac:dyDescent="0.25">
      <c r="X1770" s="101">
        <v>1765</v>
      </c>
      <c r="Y1770" s="120">
        <f t="shared" si="27"/>
        <v>330</v>
      </c>
    </row>
    <row r="1771" spans="24:25" x14ac:dyDescent="0.25">
      <c r="X1771" s="101">
        <v>1766</v>
      </c>
      <c r="Y1771" s="120">
        <f t="shared" si="27"/>
        <v>330</v>
      </c>
    </row>
    <row r="1772" spans="24:25" x14ac:dyDescent="0.25">
      <c r="X1772" s="101">
        <v>1767</v>
      </c>
      <c r="Y1772" s="120">
        <f t="shared" si="27"/>
        <v>330</v>
      </c>
    </row>
    <row r="1773" spans="24:25" x14ac:dyDescent="0.25">
      <c r="X1773" s="101">
        <v>1768</v>
      </c>
      <c r="Y1773" s="120">
        <f t="shared" si="27"/>
        <v>330</v>
      </c>
    </row>
    <row r="1774" spans="24:25" x14ac:dyDescent="0.25">
      <c r="X1774" s="101">
        <v>1769</v>
      </c>
      <c r="Y1774" s="120">
        <f t="shared" si="27"/>
        <v>330</v>
      </c>
    </row>
    <row r="1775" spans="24:25" x14ac:dyDescent="0.25">
      <c r="X1775" s="101">
        <v>1770</v>
      </c>
      <c r="Y1775" s="120">
        <f t="shared" si="27"/>
        <v>330</v>
      </c>
    </row>
    <row r="1776" spans="24:25" x14ac:dyDescent="0.25">
      <c r="X1776" s="101">
        <v>1771</v>
      </c>
      <c r="Y1776" s="120">
        <f t="shared" si="27"/>
        <v>330</v>
      </c>
    </row>
    <row r="1777" spans="24:25" x14ac:dyDescent="0.25">
      <c r="X1777" s="101">
        <v>1772</v>
      </c>
      <c r="Y1777" s="120">
        <f t="shared" si="27"/>
        <v>330</v>
      </c>
    </row>
    <row r="1778" spans="24:25" x14ac:dyDescent="0.25">
      <c r="X1778" s="101">
        <v>1773</v>
      </c>
      <c r="Y1778" s="120">
        <f t="shared" si="27"/>
        <v>330</v>
      </c>
    </row>
    <row r="1779" spans="24:25" x14ac:dyDescent="0.25">
      <c r="X1779" s="101">
        <v>1774</v>
      </c>
      <c r="Y1779" s="120">
        <f t="shared" si="27"/>
        <v>330</v>
      </c>
    </row>
    <row r="1780" spans="24:25" x14ac:dyDescent="0.25">
      <c r="X1780" s="101">
        <v>1775</v>
      </c>
      <c r="Y1780" s="120">
        <f t="shared" si="27"/>
        <v>330</v>
      </c>
    </row>
    <row r="1781" spans="24:25" x14ac:dyDescent="0.25">
      <c r="X1781" s="101">
        <v>1776</v>
      </c>
      <c r="Y1781" s="120">
        <f t="shared" si="27"/>
        <v>330</v>
      </c>
    </row>
    <row r="1782" spans="24:25" x14ac:dyDescent="0.25">
      <c r="X1782" s="101">
        <v>1777</v>
      </c>
      <c r="Y1782" s="120">
        <f t="shared" si="27"/>
        <v>330</v>
      </c>
    </row>
    <row r="1783" spans="24:25" x14ac:dyDescent="0.25">
      <c r="X1783" s="101">
        <v>1778</v>
      </c>
      <c r="Y1783" s="120">
        <f t="shared" si="27"/>
        <v>330</v>
      </c>
    </row>
    <row r="1784" spans="24:25" x14ac:dyDescent="0.25">
      <c r="X1784" s="101">
        <v>1779</v>
      </c>
      <c r="Y1784" s="120">
        <f t="shared" si="27"/>
        <v>330</v>
      </c>
    </row>
    <row r="1785" spans="24:25" x14ac:dyDescent="0.25">
      <c r="X1785" s="101">
        <v>1780</v>
      </c>
      <c r="Y1785" s="120">
        <f t="shared" si="27"/>
        <v>327</v>
      </c>
    </row>
    <row r="1786" spans="24:25" x14ac:dyDescent="0.25">
      <c r="X1786" s="101">
        <v>1781</v>
      </c>
      <c r="Y1786" s="120">
        <f t="shared" si="27"/>
        <v>327</v>
      </c>
    </row>
    <row r="1787" spans="24:25" x14ac:dyDescent="0.25">
      <c r="X1787" s="101">
        <v>1782</v>
      </c>
      <c r="Y1787" s="120">
        <f t="shared" si="27"/>
        <v>327</v>
      </c>
    </row>
    <row r="1788" spans="24:25" x14ac:dyDescent="0.25">
      <c r="X1788" s="101">
        <v>1783</v>
      </c>
      <c r="Y1788" s="120">
        <f t="shared" si="27"/>
        <v>327</v>
      </c>
    </row>
    <row r="1789" spans="24:25" x14ac:dyDescent="0.25">
      <c r="X1789" s="101">
        <v>1784</v>
      </c>
      <c r="Y1789" s="120">
        <f t="shared" si="27"/>
        <v>327</v>
      </c>
    </row>
    <row r="1790" spans="24:25" x14ac:dyDescent="0.25">
      <c r="X1790" s="101">
        <v>1785</v>
      </c>
      <c r="Y1790" s="120">
        <f t="shared" si="27"/>
        <v>327</v>
      </c>
    </row>
    <row r="1791" spans="24:25" x14ac:dyDescent="0.25">
      <c r="X1791" s="101">
        <v>1786</v>
      </c>
      <c r="Y1791" s="120">
        <f t="shared" si="27"/>
        <v>327</v>
      </c>
    </row>
    <row r="1792" spans="24:25" x14ac:dyDescent="0.25">
      <c r="X1792" s="101">
        <v>1787</v>
      </c>
      <c r="Y1792" s="120">
        <f t="shared" si="27"/>
        <v>327</v>
      </c>
    </row>
    <row r="1793" spans="24:25" x14ac:dyDescent="0.25">
      <c r="X1793" s="101">
        <v>1788</v>
      </c>
      <c r="Y1793" s="120">
        <f t="shared" si="27"/>
        <v>327</v>
      </c>
    </row>
    <row r="1794" spans="24:25" x14ac:dyDescent="0.25">
      <c r="X1794" s="101">
        <v>1789</v>
      </c>
      <c r="Y1794" s="120">
        <f t="shared" si="27"/>
        <v>327</v>
      </c>
    </row>
    <row r="1795" spans="24:25" x14ac:dyDescent="0.25">
      <c r="X1795" s="101">
        <v>1790</v>
      </c>
      <c r="Y1795" s="120">
        <f t="shared" si="27"/>
        <v>327</v>
      </c>
    </row>
    <row r="1796" spans="24:25" x14ac:dyDescent="0.25">
      <c r="X1796" s="101">
        <v>1791</v>
      </c>
      <c r="Y1796" s="120">
        <f t="shared" si="27"/>
        <v>327</v>
      </c>
    </row>
    <row r="1797" spans="24:25" x14ac:dyDescent="0.25">
      <c r="X1797" s="101">
        <v>1792</v>
      </c>
      <c r="Y1797" s="120">
        <f t="shared" si="27"/>
        <v>327</v>
      </c>
    </row>
    <row r="1798" spans="24:25" x14ac:dyDescent="0.25">
      <c r="X1798" s="101">
        <v>1793</v>
      </c>
      <c r="Y1798" s="120">
        <f t="shared" ref="Y1798:Y1861" si="28">INDEX(inhale_driver_table,INT(100*(X1798/ticks_per_inhale))+1)</f>
        <v>327</v>
      </c>
    </row>
    <row r="1799" spans="24:25" x14ac:dyDescent="0.25">
      <c r="X1799" s="101">
        <v>1794</v>
      </c>
      <c r="Y1799" s="120">
        <f t="shared" si="28"/>
        <v>327</v>
      </c>
    </row>
    <row r="1800" spans="24:25" x14ac:dyDescent="0.25">
      <c r="X1800" s="101">
        <v>1795</v>
      </c>
      <c r="Y1800" s="120">
        <f t="shared" si="28"/>
        <v>327</v>
      </c>
    </row>
    <row r="1801" spans="24:25" x14ac:dyDescent="0.25">
      <c r="X1801" s="101">
        <v>1796</v>
      </c>
      <c r="Y1801" s="120">
        <f t="shared" si="28"/>
        <v>327</v>
      </c>
    </row>
    <row r="1802" spans="24:25" x14ac:dyDescent="0.25">
      <c r="X1802" s="101">
        <v>1797</v>
      </c>
      <c r="Y1802" s="120">
        <f t="shared" si="28"/>
        <v>327</v>
      </c>
    </row>
    <row r="1803" spans="24:25" x14ac:dyDescent="0.25">
      <c r="X1803" s="101">
        <v>1798</v>
      </c>
      <c r="Y1803" s="120">
        <f t="shared" si="28"/>
        <v>327</v>
      </c>
    </row>
    <row r="1804" spans="24:25" x14ac:dyDescent="0.25">
      <c r="X1804" s="101">
        <v>1799</v>
      </c>
      <c r="Y1804" s="120">
        <f t="shared" si="28"/>
        <v>327</v>
      </c>
    </row>
    <row r="1805" spans="24:25" x14ac:dyDescent="0.25">
      <c r="X1805" s="101">
        <v>1800</v>
      </c>
      <c r="Y1805" s="120">
        <f t="shared" si="28"/>
        <v>325</v>
      </c>
    </row>
    <row r="1806" spans="24:25" x14ac:dyDescent="0.25">
      <c r="X1806" s="101">
        <v>1801</v>
      </c>
      <c r="Y1806" s="120">
        <f t="shared" si="28"/>
        <v>325</v>
      </c>
    </row>
    <row r="1807" spans="24:25" x14ac:dyDescent="0.25">
      <c r="X1807" s="101">
        <v>1802</v>
      </c>
      <c r="Y1807" s="120">
        <f t="shared" si="28"/>
        <v>325</v>
      </c>
    </row>
    <row r="1808" spans="24:25" x14ac:dyDescent="0.25">
      <c r="X1808" s="101">
        <v>1803</v>
      </c>
      <c r="Y1808" s="120">
        <f t="shared" si="28"/>
        <v>325</v>
      </c>
    </row>
    <row r="1809" spans="24:25" x14ac:dyDescent="0.25">
      <c r="X1809" s="101">
        <v>1804</v>
      </c>
      <c r="Y1809" s="120">
        <f t="shared" si="28"/>
        <v>325</v>
      </c>
    </row>
    <row r="1810" spans="24:25" x14ac:dyDescent="0.25">
      <c r="X1810" s="101">
        <v>1805</v>
      </c>
      <c r="Y1810" s="120">
        <f t="shared" si="28"/>
        <v>325</v>
      </c>
    </row>
    <row r="1811" spans="24:25" x14ac:dyDescent="0.25">
      <c r="X1811" s="101">
        <v>1806</v>
      </c>
      <c r="Y1811" s="120">
        <f t="shared" si="28"/>
        <v>325</v>
      </c>
    </row>
    <row r="1812" spans="24:25" x14ac:dyDescent="0.25">
      <c r="X1812" s="101">
        <v>1807</v>
      </c>
      <c r="Y1812" s="120">
        <f t="shared" si="28"/>
        <v>325</v>
      </c>
    </row>
    <row r="1813" spans="24:25" x14ac:dyDescent="0.25">
      <c r="X1813" s="101">
        <v>1808</v>
      </c>
      <c r="Y1813" s="120">
        <f t="shared" si="28"/>
        <v>325</v>
      </c>
    </row>
    <row r="1814" spans="24:25" x14ac:dyDescent="0.25">
      <c r="X1814" s="101">
        <v>1809</v>
      </c>
      <c r="Y1814" s="120">
        <f t="shared" si="28"/>
        <v>325</v>
      </c>
    </row>
    <row r="1815" spans="24:25" x14ac:dyDescent="0.25">
      <c r="X1815" s="101">
        <v>1810</v>
      </c>
      <c r="Y1815" s="120">
        <f t="shared" si="28"/>
        <v>325</v>
      </c>
    </row>
    <row r="1816" spans="24:25" x14ac:dyDescent="0.25">
      <c r="X1816" s="101">
        <v>1811</v>
      </c>
      <c r="Y1816" s="120">
        <f t="shared" si="28"/>
        <v>325</v>
      </c>
    </row>
    <row r="1817" spans="24:25" x14ac:dyDescent="0.25">
      <c r="X1817" s="101">
        <v>1812</v>
      </c>
      <c r="Y1817" s="120">
        <f t="shared" si="28"/>
        <v>325</v>
      </c>
    </row>
    <row r="1818" spans="24:25" x14ac:dyDescent="0.25">
      <c r="X1818" s="101">
        <v>1813</v>
      </c>
      <c r="Y1818" s="120">
        <f t="shared" si="28"/>
        <v>325</v>
      </c>
    </row>
    <row r="1819" spans="24:25" x14ac:dyDescent="0.25">
      <c r="X1819" s="101">
        <v>1814</v>
      </c>
      <c r="Y1819" s="120">
        <f t="shared" si="28"/>
        <v>325</v>
      </c>
    </row>
    <row r="1820" spans="24:25" x14ac:dyDescent="0.25">
      <c r="X1820" s="101">
        <v>1815</v>
      </c>
      <c r="Y1820" s="120">
        <f t="shared" si="28"/>
        <v>325</v>
      </c>
    </row>
    <row r="1821" spans="24:25" x14ac:dyDescent="0.25">
      <c r="X1821" s="101">
        <v>1816</v>
      </c>
      <c r="Y1821" s="120">
        <f t="shared" si="28"/>
        <v>325</v>
      </c>
    </row>
    <row r="1822" spans="24:25" x14ac:dyDescent="0.25">
      <c r="X1822" s="101">
        <v>1817</v>
      </c>
      <c r="Y1822" s="120">
        <f t="shared" si="28"/>
        <v>325</v>
      </c>
    </row>
    <row r="1823" spans="24:25" x14ac:dyDescent="0.25">
      <c r="X1823" s="101">
        <v>1818</v>
      </c>
      <c r="Y1823" s="120">
        <f t="shared" si="28"/>
        <v>325</v>
      </c>
    </row>
    <row r="1824" spans="24:25" x14ac:dyDescent="0.25">
      <c r="X1824" s="101">
        <v>1819</v>
      </c>
      <c r="Y1824" s="120">
        <f t="shared" si="28"/>
        <v>325</v>
      </c>
    </row>
    <row r="1825" spans="24:25" x14ac:dyDescent="0.25">
      <c r="X1825" s="101">
        <v>1820</v>
      </c>
      <c r="Y1825" s="120">
        <f t="shared" si="28"/>
        <v>322</v>
      </c>
    </row>
    <row r="1826" spans="24:25" x14ac:dyDescent="0.25">
      <c r="X1826" s="101">
        <v>1821</v>
      </c>
      <c r="Y1826" s="120">
        <f t="shared" si="28"/>
        <v>322</v>
      </c>
    </row>
    <row r="1827" spans="24:25" x14ac:dyDescent="0.25">
      <c r="X1827" s="101">
        <v>1822</v>
      </c>
      <c r="Y1827" s="120">
        <f t="shared" si="28"/>
        <v>322</v>
      </c>
    </row>
    <row r="1828" spans="24:25" x14ac:dyDescent="0.25">
      <c r="X1828" s="101">
        <v>1823</v>
      </c>
      <c r="Y1828" s="120">
        <f t="shared" si="28"/>
        <v>322</v>
      </c>
    </row>
    <row r="1829" spans="24:25" x14ac:dyDescent="0.25">
      <c r="X1829" s="101">
        <v>1824</v>
      </c>
      <c r="Y1829" s="120">
        <f t="shared" si="28"/>
        <v>322</v>
      </c>
    </row>
    <row r="1830" spans="24:25" x14ac:dyDescent="0.25">
      <c r="X1830" s="101">
        <v>1825</v>
      </c>
      <c r="Y1830" s="120">
        <f t="shared" si="28"/>
        <v>322</v>
      </c>
    </row>
    <row r="1831" spans="24:25" x14ac:dyDescent="0.25">
      <c r="X1831" s="101">
        <v>1826</v>
      </c>
      <c r="Y1831" s="120">
        <f t="shared" si="28"/>
        <v>322</v>
      </c>
    </row>
    <row r="1832" spans="24:25" x14ac:dyDescent="0.25">
      <c r="X1832" s="101">
        <v>1827</v>
      </c>
      <c r="Y1832" s="120">
        <f t="shared" si="28"/>
        <v>322</v>
      </c>
    </row>
    <row r="1833" spans="24:25" x14ac:dyDescent="0.25">
      <c r="X1833" s="101">
        <v>1828</v>
      </c>
      <c r="Y1833" s="120">
        <f t="shared" si="28"/>
        <v>322</v>
      </c>
    </row>
    <row r="1834" spans="24:25" x14ac:dyDescent="0.25">
      <c r="X1834" s="101">
        <v>1829</v>
      </c>
      <c r="Y1834" s="120">
        <f t="shared" si="28"/>
        <v>322</v>
      </c>
    </row>
    <row r="1835" spans="24:25" x14ac:dyDescent="0.25">
      <c r="X1835" s="101">
        <v>1830</v>
      </c>
      <c r="Y1835" s="120">
        <f t="shared" si="28"/>
        <v>322</v>
      </c>
    </row>
    <row r="1836" spans="24:25" x14ac:dyDescent="0.25">
      <c r="X1836" s="101">
        <v>1831</v>
      </c>
      <c r="Y1836" s="120">
        <f t="shared" si="28"/>
        <v>322</v>
      </c>
    </row>
    <row r="1837" spans="24:25" x14ac:dyDescent="0.25">
      <c r="X1837" s="101">
        <v>1832</v>
      </c>
      <c r="Y1837" s="120">
        <f t="shared" si="28"/>
        <v>322</v>
      </c>
    </row>
    <row r="1838" spans="24:25" x14ac:dyDescent="0.25">
      <c r="X1838" s="101">
        <v>1833</v>
      </c>
      <c r="Y1838" s="120">
        <f t="shared" si="28"/>
        <v>322</v>
      </c>
    </row>
    <row r="1839" spans="24:25" x14ac:dyDescent="0.25">
      <c r="X1839" s="101">
        <v>1834</v>
      </c>
      <c r="Y1839" s="120">
        <f t="shared" si="28"/>
        <v>322</v>
      </c>
    </row>
    <row r="1840" spans="24:25" x14ac:dyDescent="0.25">
      <c r="X1840" s="101">
        <v>1835</v>
      </c>
      <c r="Y1840" s="120">
        <f t="shared" si="28"/>
        <v>322</v>
      </c>
    </row>
    <row r="1841" spans="24:25" x14ac:dyDescent="0.25">
      <c r="X1841" s="101">
        <v>1836</v>
      </c>
      <c r="Y1841" s="120">
        <f t="shared" si="28"/>
        <v>322</v>
      </c>
    </row>
    <row r="1842" spans="24:25" x14ac:dyDescent="0.25">
      <c r="X1842" s="101">
        <v>1837</v>
      </c>
      <c r="Y1842" s="120">
        <f t="shared" si="28"/>
        <v>322</v>
      </c>
    </row>
    <row r="1843" spans="24:25" x14ac:dyDescent="0.25">
      <c r="X1843" s="101">
        <v>1838</v>
      </c>
      <c r="Y1843" s="120">
        <f t="shared" si="28"/>
        <v>322</v>
      </c>
    </row>
    <row r="1844" spans="24:25" x14ac:dyDescent="0.25">
      <c r="X1844" s="101">
        <v>1839</v>
      </c>
      <c r="Y1844" s="120">
        <f t="shared" si="28"/>
        <v>322</v>
      </c>
    </row>
    <row r="1845" spans="24:25" x14ac:dyDescent="0.25">
      <c r="X1845" s="101">
        <v>1840</v>
      </c>
      <c r="Y1845" s="120">
        <f t="shared" si="28"/>
        <v>320</v>
      </c>
    </row>
    <row r="1846" spans="24:25" x14ac:dyDescent="0.25">
      <c r="X1846" s="101">
        <v>1841</v>
      </c>
      <c r="Y1846" s="120">
        <f t="shared" si="28"/>
        <v>320</v>
      </c>
    </row>
    <row r="1847" spans="24:25" x14ac:dyDescent="0.25">
      <c r="X1847" s="101">
        <v>1842</v>
      </c>
      <c r="Y1847" s="120">
        <f t="shared" si="28"/>
        <v>320</v>
      </c>
    </row>
    <row r="1848" spans="24:25" x14ac:dyDescent="0.25">
      <c r="X1848" s="101">
        <v>1843</v>
      </c>
      <c r="Y1848" s="120">
        <f t="shared" si="28"/>
        <v>320</v>
      </c>
    </row>
    <row r="1849" spans="24:25" x14ac:dyDescent="0.25">
      <c r="X1849" s="101">
        <v>1844</v>
      </c>
      <c r="Y1849" s="120">
        <f t="shared" si="28"/>
        <v>320</v>
      </c>
    </row>
    <row r="1850" spans="24:25" x14ac:dyDescent="0.25">
      <c r="X1850" s="101">
        <v>1845</v>
      </c>
      <c r="Y1850" s="120">
        <f t="shared" si="28"/>
        <v>320</v>
      </c>
    </row>
    <row r="1851" spans="24:25" x14ac:dyDescent="0.25">
      <c r="X1851" s="101">
        <v>1846</v>
      </c>
      <c r="Y1851" s="120">
        <f t="shared" si="28"/>
        <v>320</v>
      </c>
    </row>
    <row r="1852" spans="24:25" x14ac:dyDescent="0.25">
      <c r="X1852" s="101">
        <v>1847</v>
      </c>
      <c r="Y1852" s="120">
        <f t="shared" si="28"/>
        <v>320</v>
      </c>
    </row>
    <row r="1853" spans="24:25" x14ac:dyDescent="0.25">
      <c r="X1853" s="101">
        <v>1848</v>
      </c>
      <c r="Y1853" s="120">
        <f t="shared" si="28"/>
        <v>320</v>
      </c>
    </row>
    <row r="1854" spans="24:25" x14ac:dyDescent="0.25">
      <c r="X1854" s="101">
        <v>1849</v>
      </c>
      <c r="Y1854" s="120">
        <f t="shared" si="28"/>
        <v>320</v>
      </c>
    </row>
    <row r="1855" spans="24:25" x14ac:dyDescent="0.25">
      <c r="X1855" s="101">
        <v>1850</v>
      </c>
      <c r="Y1855" s="120">
        <f t="shared" si="28"/>
        <v>320</v>
      </c>
    </row>
    <row r="1856" spans="24:25" x14ac:dyDescent="0.25">
      <c r="X1856" s="101">
        <v>1851</v>
      </c>
      <c r="Y1856" s="120">
        <f t="shared" si="28"/>
        <v>320</v>
      </c>
    </row>
    <row r="1857" spans="24:25" x14ac:dyDescent="0.25">
      <c r="X1857" s="101">
        <v>1852</v>
      </c>
      <c r="Y1857" s="120">
        <f t="shared" si="28"/>
        <v>320</v>
      </c>
    </row>
    <row r="1858" spans="24:25" x14ac:dyDescent="0.25">
      <c r="X1858" s="101">
        <v>1853</v>
      </c>
      <c r="Y1858" s="120">
        <f t="shared" si="28"/>
        <v>320</v>
      </c>
    </row>
    <row r="1859" spans="24:25" x14ac:dyDescent="0.25">
      <c r="X1859" s="101">
        <v>1854</v>
      </c>
      <c r="Y1859" s="120">
        <f t="shared" si="28"/>
        <v>320</v>
      </c>
    </row>
    <row r="1860" spans="24:25" x14ac:dyDescent="0.25">
      <c r="X1860" s="101">
        <v>1855</v>
      </c>
      <c r="Y1860" s="120">
        <f t="shared" si="28"/>
        <v>320</v>
      </c>
    </row>
    <row r="1861" spans="24:25" x14ac:dyDescent="0.25">
      <c r="X1861" s="101">
        <v>1856</v>
      </c>
      <c r="Y1861" s="120">
        <f t="shared" si="28"/>
        <v>320</v>
      </c>
    </row>
    <row r="1862" spans="24:25" x14ac:dyDescent="0.25">
      <c r="X1862" s="101">
        <v>1857</v>
      </c>
      <c r="Y1862" s="120">
        <f t="shared" ref="Y1862:Y1925" si="29">INDEX(inhale_driver_table,INT(100*(X1862/ticks_per_inhale))+1)</f>
        <v>320</v>
      </c>
    </row>
    <row r="1863" spans="24:25" x14ac:dyDescent="0.25">
      <c r="X1863" s="101">
        <v>1858</v>
      </c>
      <c r="Y1863" s="120">
        <f t="shared" si="29"/>
        <v>320</v>
      </c>
    </row>
    <row r="1864" spans="24:25" x14ac:dyDescent="0.25">
      <c r="X1864" s="101">
        <v>1859</v>
      </c>
      <c r="Y1864" s="120">
        <f t="shared" si="29"/>
        <v>320</v>
      </c>
    </row>
    <row r="1865" spans="24:25" x14ac:dyDescent="0.25">
      <c r="X1865" s="101">
        <v>1860</v>
      </c>
      <c r="Y1865" s="120">
        <f t="shared" si="29"/>
        <v>317</v>
      </c>
    </row>
    <row r="1866" spans="24:25" x14ac:dyDescent="0.25">
      <c r="X1866" s="101">
        <v>1861</v>
      </c>
      <c r="Y1866" s="120">
        <f t="shared" si="29"/>
        <v>317</v>
      </c>
    </row>
    <row r="1867" spans="24:25" x14ac:dyDescent="0.25">
      <c r="X1867" s="101">
        <v>1862</v>
      </c>
      <c r="Y1867" s="120">
        <f t="shared" si="29"/>
        <v>317</v>
      </c>
    </row>
    <row r="1868" spans="24:25" x14ac:dyDescent="0.25">
      <c r="X1868" s="101">
        <v>1863</v>
      </c>
      <c r="Y1868" s="120">
        <f t="shared" si="29"/>
        <v>317</v>
      </c>
    </row>
    <row r="1869" spans="24:25" x14ac:dyDescent="0.25">
      <c r="X1869" s="101">
        <v>1864</v>
      </c>
      <c r="Y1869" s="120">
        <f t="shared" si="29"/>
        <v>317</v>
      </c>
    </row>
    <row r="1870" spans="24:25" x14ac:dyDescent="0.25">
      <c r="X1870" s="101">
        <v>1865</v>
      </c>
      <c r="Y1870" s="120">
        <f t="shared" si="29"/>
        <v>317</v>
      </c>
    </row>
    <row r="1871" spans="24:25" x14ac:dyDescent="0.25">
      <c r="X1871" s="101">
        <v>1866</v>
      </c>
      <c r="Y1871" s="120">
        <f t="shared" si="29"/>
        <v>317</v>
      </c>
    </row>
    <row r="1872" spans="24:25" x14ac:dyDescent="0.25">
      <c r="X1872" s="101">
        <v>1867</v>
      </c>
      <c r="Y1872" s="120">
        <f t="shared" si="29"/>
        <v>317</v>
      </c>
    </row>
    <row r="1873" spans="24:25" x14ac:dyDescent="0.25">
      <c r="X1873" s="101">
        <v>1868</v>
      </c>
      <c r="Y1873" s="120">
        <f t="shared" si="29"/>
        <v>317</v>
      </c>
    </row>
    <row r="1874" spans="24:25" x14ac:dyDescent="0.25">
      <c r="X1874" s="101">
        <v>1869</v>
      </c>
      <c r="Y1874" s="120">
        <f t="shared" si="29"/>
        <v>317</v>
      </c>
    </row>
    <row r="1875" spans="24:25" x14ac:dyDescent="0.25">
      <c r="X1875" s="101">
        <v>1870</v>
      </c>
      <c r="Y1875" s="120">
        <f t="shared" si="29"/>
        <v>317</v>
      </c>
    </row>
    <row r="1876" spans="24:25" x14ac:dyDescent="0.25">
      <c r="X1876" s="101">
        <v>1871</v>
      </c>
      <c r="Y1876" s="120">
        <f t="shared" si="29"/>
        <v>317</v>
      </c>
    </row>
    <row r="1877" spans="24:25" x14ac:dyDescent="0.25">
      <c r="X1877" s="101">
        <v>1872</v>
      </c>
      <c r="Y1877" s="120">
        <f t="shared" si="29"/>
        <v>317</v>
      </c>
    </row>
    <row r="1878" spans="24:25" x14ac:dyDescent="0.25">
      <c r="X1878" s="101">
        <v>1873</v>
      </c>
      <c r="Y1878" s="120">
        <f t="shared" si="29"/>
        <v>317</v>
      </c>
    </row>
    <row r="1879" spans="24:25" x14ac:dyDescent="0.25">
      <c r="X1879" s="101">
        <v>1874</v>
      </c>
      <c r="Y1879" s="120">
        <f t="shared" si="29"/>
        <v>317</v>
      </c>
    </row>
    <row r="1880" spans="24:25" x14ac:dyDescent="0.25">
      <c r="X1880" s="101">
        <v>1875</v>
      </c>
      <c r="Y1880" s="120">
        <f t="shared" si="29"/>
        <v>317</v>
      </c>
    </row>
    <row r="1881" spans="24:25" x14ac:dyDescent="0.25">
      <c r="X1881" s="101">
        <v>1876</v>
      </c>
      <c r="Y1881" s="120">
        <f t="shared" si="29"/>
        <v>317</v>
      </c>
    </row>
    <row r="1882" spans="24:25" x14ac:dyDescent="0.25">
      <c r="X1882" s="101">
        <v>1877</v>
      </c>
      <c r="Y1882" s="120">
        <f t="shared" si="29"/>
        <v>317</v>
      </c>
    </row>
    <row r="1883" spans="24:25" x14ac:dyDescent="0.25">
      <c r="X1883" s="101">
        <v>1878</v>
      </c>
      <c r="Y1883" s="120">
        <f t="shared" si="29"/>
        <v>317</v>
      </c>
    </row>
    <row r="1884" spans="24:25" x14ac:dyDescent="0.25">
      <c r="X1884" s="101">
        <v>1879</v>
      </c>
      <c r="Y1884" s="120">
        <f t="shared" si="29"/>
        <v>317</v>
      </c>
    </row>
    <row r="1885" spans="24:25" x14ac:dyDescent="0.25">
      <c r="X1885" s="101">
        <v>1880</v>
      </c>
      <c r="Y1885" s="120">
        <f t="shared" si="29"/>
        <v>315</v>
      </c>
    </row>
    <row r="1886" spans="24:25" x14ac:dyDescent="0.25">
      <c r="X1886" s="101">
        <v>1881</v>
      </c>
      <c r="Y1886" s="120">
        <f t="shared" si="29"/>
        <v>315</v>
      </c>
    </row>
    <row r="1887" spans="24:25" x14ac:dyDescent="0.25">
      <c r="X1887" s="101">
        <v>1882</v>
      </c>
      <c r="Y1887" s="120">
        <f t="shared" si="29"/>
        <v>315</v>
      </c>
    </row>
    <row r="1888" spans="24:25" x14ac:dyDescent="0.25">
      <c r="X1888" s="101">
        <v>1883</v>
      </c>
      <c r="Y1888" s="120">
        <f t="shared" si="29"/>
        <v>315</v>
      </c>
    </row>
    <row r="1889" spans="24:25" x14ac:dyDescent="0.25">
      <c r="X1889" s="101">
        <v>1884</v>
      </c>
      <c r="Y1889" s="120">
        <f t="shared" si="29"/>
        <v>315</v>
      </c>
    </row>
    <row r="1890" spans="24:25" x14ac:dyDescent="0.25">
      <c r="X1890" s="101">
        <v>1885</v>
      </c>
      <c r="Y1890" s="120">
        <f t="shared" si="29"/>
        <v>315</v>
      </c>
    </row>
    <row r="1891" spans="24:25" x14ac:dyDescent="0.25">
      <c r="X1891" s="101">
        <v>1886</v>
      </c>
      <c r="Y1891" s="120">
        <f t="shared" si="29"/>
        <v>315</v>
      </c>
    </row>
    <row r="1892" spans="24:25" x14ac:dyDescent="0.25">
      <c r="X1892" s="101">
        <v>1887</v>
      </c>
      <c r="Y1892" s="120">
        <f t="shared" si="29"/>
        <v>315</v>
      </c>
    </row>
    <row r="1893" spans="24:25" x14ac:dyDescent="0.25">
      <c r="X1893" s="101">
        <v>1888</v>
      </c>
      <c r="Y1893" s="120">
        <f t="shared" si="29"/>
        <v>315</v>
      </c>
    </row>
    <row r="1894" spans="24:25" x14ac:dyDescent="0.25">
      <c r="X1894" s="101">
        <v>1889</v>
      </c>
      <c r="Y1894" s="120">
        <f t="shared" si="29"/>
        <v>315</v>
      </c>
    </row>
    <row r="1895" spans="24:25" x14ac:dyDescent="0.25">
      <c r="X1895" s="101">
        <v>1890</v>
      </c>
      <c r="Y1895" s="120">
        <f t="shared" si="29"/>
        <v>315</v>
      </c>
    </row>
    <row r="1896" spans="24:25" x14ac:dyDescent="0.25">
      <c r="X1896" s="101">
        <v>1891</v>
      </c>
      <c r="Y1896" s="120">
        <f t="shared" si="29"/>
        <v>315</v>
      </c>
    </row>
    <row r="1897" spans="24:25" x14ac:dyDescent="0.25">
      <c r="X1897" s="101">
        <v>1892</v>
      </c>
      <c r="Y1897" s="120">
        <f t="shared" si="29"/>
        <v>315</v>
      </c>
    </row>
    <row r="1898" spans="24:25" x14ac:dyDescent="0.25">
      <c r="X1898" s="101">
        <v>1893</v>
      </c>
      <c r="Y1898" s="120">
        <f t="shared" si="29"/>
        <v>315</v>
      </c>
    </row>
    <row r="1899" spans="24:25" x14ac:dyDescent="0.25">
      <c r="X1899" s="101">
        <v>1894</v>
      </c>
      <c r="Y1899" s="120">
        <f t="shared" si="29"/>
        <v>315</v>
      </c>
    </row>
    <row r="1900" spans="24:25" x14ac:dyDescent="0.25">
      <c r="X1900" s="101">
        <v>1895</v>
      </c>
      <c r="Y1900" s="120">
        <f t="shared" si="29"/>
        <v>315</v>
      </c>
    </row>
    <row r="1901" spans="24:25" x14ac:dyDescent="0.25">
      <c r="X1901" s="101">
        <v>1896</v>
      </c>
      <c r="Y1901" s="120">
        <f t="shared" si="29"/>
        <v>315</v>
      </c>
    </row>
    <row r="1902" spans="24:25" x14ac:dyDescent="0.25">
      <c r="X1902" s="101">
        <v>1897</v>
      </c>
      <c r="Y1902" s="120">
        <f t="shared" si="29"/>
        <v>315</v>
      </c>
    </row>
    <row r="1903" spans="24:25" x14ac:dyDescent="0.25">
      <c r="X1903" s="101">
        <v>1898</v>
      </c>
      <c r="Y1903" s="120">
        <f t="shared" si="29"/>
        <v>315</v>
      </c>
    </row>
    <row r="1904" spans="24:25" x14ac:dyDescent="0.25">
      <c r="X1904" s="101">
        <v>1899</v>
      </c>
      <c r="Y1904" s="120">
        <f t="shared" si="29"/>
        <v>315</v>
      </c>
    </row>
    <row r="1905" spans="24:25" x14ac:dyDescent="0.25">
      <c r="X1905" s="101">
        <v>1900</v>
      </c>
      <c r="Y1905" s="120">
        <f t="shared" si="29"/>
        <v>312</v>
      </c>
    </row>
    <row r="1906" spans="24:25" x14ac:dyDescent="0.25">
      <c r="X1906" s="101">
        <v>1901</v>
      </c>
      <c r="Y1906" s="120">
        <f t="shared" si="29"/>
        <v>312</v>
      </c>
    </row>
    <row r="1907" spans="24:25" x14ac:dyDescent="0.25">
      <c r="X1907" s="101">
        <v>1902</v>
      </c>
      <c r="Y1907" s="120">
        <f t="shared" si="29"/>
        <v>312</v>
      </c>
    </row>
    <row r="1908" spans="24:25" x14ac:dyDescent="0.25">
      <c r="X1908" s="101">
        <v>1903</v>
      </c>
      <c r="Y1908" s="120">
        <f t="shared" si="29"/>
        <v>312</v>
      </c>
    </row>
    <row r="1909" spans="24:25" x14ac:dyDescent="0.25">
      <c r="X1909" s="101">
        <v>1904</v>
      </c>
      <c r="Y1909" s="120">
        <f t="shared" si="29"/>
        <v>312</v>
      </c>
    </row>
    <row r="1910" spans="24:25" x14ac:dyDescent="0.25">
      <c r="X1910" s="101">
        <v>1905</v>
      </c>
      <c r="Y1910" s="120">
        <f t="shared" si="29"/>
        <v>312</v>
      </c>
    </row>
    <row r="1911" spans="24:25" x14ac:dyDescent="0.25">
      <c r="X1911" s="101">
        <v>1906</v>
      </c>
      <c r="Y1911" s="120">
        <f t="shared" si="29"/>
        <v>312</v>
      </c>
    </row>
    <row r="1912" spans="24:25" x14ac:dyDescent="0.25">
      <c r="X1912" s="101">
        <v>1907</v>
      </c>
      <c r="Y1912" s="120">
        <f t="shared" si="29"/>
        <v>312</v>
      </c>
    </row>
    <row r="1913" spans="24:25" x14ac:dyDescent="0.25">
      <c r="X1913" s="101">
        <v>1908</v>
      </c>
      <c r="Y1913" s="120">
        <f t="shared" si="29"/>
        <v>312</v>
      </c>
    </row>
    <row r="1914" spans="24:25" x14ac:dyDescent="0.25">
      <c r="X1914" s="101">
        <v>1909</v>
      </c>
      <c r="Y1914" s="120">
        <f t="shared" si="29"/>
        <v>312</v>
      </c>
    </row>
    <row r="1915" spans="24:25" x14ac:dyDescent="0.25">
      <c r="X1915" s="101">
        <v>1910</v>
      </c>
      <c r="Y1915" s="120">
        <f t="shared" si="29"/>
        <v>312</v>
      </c>
    </row>
    <row r="1916" spans="24:25" x14ac:dyDescent="0.25">
      <c r="X1916" s="101">
        <v>1911</v>
      </c>
      <c r="Y1916" s="120">
        <f t="shared" si="29"/>
        <v>312</v>
      </c>
    </row>
    <row r="1917" spans="24:25" x14ac:dyDescent="0.25">
      <c r="X1917" s="101">
        <v>1912</v>
      </c>
      <c r="Y1917" s="120">
        <f t="shared" si="29"/>
        <v>312</v>
      </c>
    </row>
    <row r="1918" spans="24:25" x14ac:dyDescent="0.25">
      <c r="X1918" s="101">
        <v>1913</v>
      </c>
      <c r="Y1918" s="120">
        <f t="shared" si="29"/>
        <v>312</v>
      </c>
    </row>
    <row r="1919" spans="24:25" x14ac:dyDescent="0.25">
      <c r="X1919" s="101">
        <v>1914</v>
      </c>
      <c r="Y1919" s="120">
        <f t="shared" si="29"/>
        <v>312</v>
      </c>
    </row>
    <row r="1920" spans="24:25" x14ac:dyDescent="0.25">
      <c r="X1920" s="101">
        <v>1915</v>
      </c>
      <c r="Y1920" s="120">
        <f t="shared" si="29"/>
        <v>312</v>
      </c>
    </row>
    <row r="1921" spans="24:25" x14ac:dyDescent="0.25">
      <c r="X1921" s="101">
        <v>1916</v>
      </c>
      <c r="Y1921" s="120">
        <f t="shared" si="29"/>
        <v>312</v>
      </c>
    </row>
    <row r="1922" spans="24:25" x14ac:dyDescent="0.25">
      <c r="X1922" s="101">
        <v>1917</v>
      </c>
      <c r="Y1922" s="120">
        <f t="shared" si="29"/>
        <v>312</v>
      </c>
    </row>
    <row r="1923" spans="24:25" x14ac:dyDescent="0.25">
      <c r="X1923" s="101">
        <v>1918</v>
      </c>
      <c r="Y1923" s="120">
        <f t="shared" si="29"/>
        <v>312</v>
      </c>
    </row>
    <row r="1924" spans="24:25" x14ac:dyDescent="0.25">
      <c r="X1924" s="101">
        <v>1919</v>
      </c>
      <c r="Y1924" s="120">
        <f t="shared" si="29"/>
        <v>312</v>
      </c>
    </row>
    <row r="1925" spans="24:25" x14ac:dyDescent="0.25">
      <c r="X1925" s="101">
        <v>1920</v>
      </c>
      <c r="Y1925" s="120">
        <f t="shared" si="29"/>
        <v>310</v>
      </c>
    </row>
    <row r="1926" spans="24:25" x14ac:dyDescent="0.25">
      <c r="X1926" s="101">
        <v>1921</v>
      </c>
      <c r="Y1926" s="120">
        <f t="shared" ref="Y1926:Y1989" si="30">INDEX(inhale_driver_table,INT(100*(X1926/ticks_per_inhale))+1)</f>
        <v>310</v>
      </c>
    </row>
    <row r="1927" spans="24:25" x14ac:dyDescent="0.25">
      <c r="X1927" s="101">
        <v>1922</v>
      </c>
      <c r="Y1927" s="120">
        <f t="shared" si="30"/>
        <v>310</v>
      </c>
    </row>
    <row r="1928" spans="24:25" x14ac:dyDescent="0.25">
      <c r="X1928" s="101">
        <v>1923</v>
      </c>
      <c r="Y1928" s="120">
        <f t="shared" si="30"/>
        <v>310</v>
      </c>
    </row>
    <row r="1929" spans="24:25" x14ac:dyDescent="0.25">
      <c r="X1929" s="101">
        <v>1924</v>
      </c>
      <c r="Y1929" s="120">
        <f t="shared" si="30"/>
        <v>310</v>
      </c>
    </row>
    <row r="1930" spans="24:25" x14ac:dyDescent="0.25">
      <c r="X1930" s="101">
        <v>1925</v>
      </c>
      <c r="Y1930" s="120">
        <f t="shared" si="30"/>
        <v>310</v>
      </c>
    </row>
    <row r="1931" spans="24:25" x14ac:dyDescent="0.25">
      <c r="X1931" s="101">
        <v>1926</v>
      </c>
      <c r="Y1931" s="120">
        <f t="shared" si="30"/>
        <v>310</v>
      </c>
    </row>
    <row r="1932" spans="24:25" x14ac:dyDescent="0.25">
      <c r="X1932" s="101">
        <v>1927</v>
      </c>
      <c r="Y1932" s="120">
        <f t="shared" si="30"/>
        <v>310</v>
      </c>
    </row>
    <row r="1933" spans="24:25" x14ac:dyDescent="0.25">
      <c r="X1933" s="101">
        <v>1928</v>
      </c>
      <c r="Y1933" s="120">
        <f t="shared" si="30"/>
        <v>310</v>
      </c>
    </row>
    <row r="1934" spans="24:25" x14ac:dyDescent="0.25">
      <c r="X1934" s="101">
        <v>1929</v>
      </c>
      <c r="Y1934" s="120">
        <f t="shared" si="30"/>
        <v>310</v>
      </c>
    </row>
    <row r="1935" spans="24:25" x14ac:dyDescent="0.25">
      <c r="X1935" s="101">
        <v>1930</v>
      </c>
      <c r="Y1935" s="120">
        <f t="shared" si="30"/>
        <v>310</v>
      </c>
    </row>
    <row r="1936" spans="24:25" x14ac:dyDescent="0.25">
      <c r="X1936" s="101">
        <v>1931</v>
      </c>
      <c r="Y1936" s="120">
        <f t="shared" si="30"/>
        <v>310</v>
      </c>
    </row>
    <row r="1937" spans="24:25" x14ac:dyDescent="0.25">
      <c r="X1937" s="101">
        <v>1932</v>
      </c>
      <c r="Y1937" s="120">
        <f t="shared" si="30"/>
        <v>310</v>
      </c>
    </row>
    <row r="1938" spans="24:25" x14ac:dyDescent="0.25">
      <c r="X1938" s="101">
        <v>1933</v>
      </c>
      <c r="Y1938" s="120">
        <f t="shared" si="30"/>
        <v>310</v>
      </c>
    </row>
    <row r="1939" spans="24:25" x14ac:dyDescent="0.25">
      <c r="X1939" s="101">
        <v>1934</v>
      </c>
      <c r="Y1939" s="120">
        <f t="shared" si="30"/>
        <v>310</v>
      </c>
    </row>
    <row r="1940" spans="24:25" x14ac:dyDescent="0.25">
      <c r="X1940" s="101">
        <v>1935</v>
      </c>
      <c r="Y1940" s="120">
        <f t="shared" si="30"/>
        <v>310</v>
      </c>
    </row>
    <row r="1941" spans="24:25" x14ac:dyDescent="0.25">
      <c r="X1941" s="101">
        <v>1936</v>
      </c>
      <c r="Y1941" s="120">
        <f t="shared" si="30"/>
        <v>310</v>
      </c>
    </row>
    <row r="1942" spans="24:25" x14ac:dyDescent="0.25">
      <c r="X1942" s="101">
        <v>1937</v>
      </c>
      <c r="Y1942" s="120">
        <f t="shared" si="30"/>
        <v>310</v>
      </c>
    </row>
    <row r="1943" spans="24:25" x14ac:dyDescent="0.25">
      <c r="X1943" s="101">
        <v>1938</v>
      </c>
      <c r="Y1943" s="120">
        <f t="shared" si="30"/>
        <v>310</v>
      </c>
    </row>
    <row r="1944" spans="24:25" x14ac:dyDescent="0.25">
      <c r="X1944" s="101">
        <v>1939</v>
      </c>
      <c r="Y1944" s="120">
        <f t="shared" si="30"/>
        <v>310</v>
      </c>
    </row>
    <row r="1945" spans="24:25" x14ac:dyDescent="0.25">
      <c r="X1945" s="101">
        <v>1940</v>
      </c>
      <c r="Y1945" s="120">
        <f t="shared" si="30"/>
        <v>307</v>
      </c>
    </row>
    <row r="1946" spans="24:25" x14ac:dyDescent="0.25">
      <c r="X1946" s="101">
        <v>1941</v>
      </c>
      <c r="Y1946" s="120">
        <f t="shared" si="30"/>
        <v>307</v>
      </c>
    </row>
    <row r="1947" spans="24:25" x14ac:dyDescent="0.25">
      <c r="X1947" s="101">
        <v>1942</v>
      </c>
      <c r="Y1947" s="120">
        <f t="shared" si="30"/>
        <v>307</v>
      </c>
    </row>
    <row r="1948" spans="24:25" x14ac:dyDescent="0.25">
      <c r="X1948" s="101">
        <v>1943</v>
      </c>
      <c r="Y1948" s="120">
        <f t="shared" si="30"/>
        <v>307</v>
      </c>
    </row>
    <row r="1949" spans="24:25" x14ac:dyDescent="0.25">
      <c r="X1949" s="101">
        <v>1944</v>
      </c>
      <c r="Y1949" s="120">
        <f t="shared" si="30"/>
        <v>307</v>
      </c>
    </row>
    <row r="1950" spans="24:25" x14ac:dyDescent="0.25">
      <c r="X1950" s="101">
        <v>1945</v>
      </c>
      <c r="Y1950" s="120">
        <f t="shared" si="30"/>
        <v>307</v>
      </c>
    </row>
    <row r="1951" spans="24:25" x14ac:dyDescent="0.25">
      <c r="X1951" s="101">
        <v>1946</v>
      </c>
      <c r="Y1951" s="120">
        <f t="shared" si="30"/>
        <v>307</v>
      </c>
    </row>
    <row r="1952" spans="24:25" x14ac:dyDescent="0.25">
      <c r="X1952" s="101">
        <v>1947</v>
      </c>
      <c r="Y1952" s="120">
        <f t="shared" si="30"/>
        <v>307</v>
      </c>
    </row>
    <row r="1953" spans="24:25" x14ac:dyDescent="0.25">
      <c r="X1953" s="101">
        <v>1948</v>
      </c>
      <c r="Y1953" s="120">
        <f t="shared" si="30"/>
        <v>307</v>
      </c>
    </row>
    <row r="1954" spans="24:25" x14ac:dyDescent="0.25">
      <c r="X1954" s="101">
        <v>1949</v>
      </c>
      <c r="Y1954" s="120">
        <f t="shared" si="30"/>
        <v>307</v>
      </c>
    </row>
    <row r="1955" spans="24:25" x14ac:dyDescent="0.25">
      <c r="X1955" s="101">
        <v>1950</v>
      </c>
      <c r="Y1955" s="120">
        <f t="shared" si="30"/>
        <v>307</v>
      </c>
    </row>
    <row r="1956" spans="24:25" x14ac:dyDescent="0.25">
      <c r="X1956" s="101">
        <v>1951</v>
      </c>
      <c r="Y1956" s="120">
        <f t="shared" si="30"/>
        <v>307</v>
      </c>
    </row>
    <row r="1957" spans="24:25" x14ac:dyDescent="0.25">
      <c r="X1957" s="101">
        <v>1952</v>
      </c>
      <c r="Y1957" s="120">
        <f t="shared" si="30"/>
        <v>307</v>
      </c>
    </row>
    <row r="1958" spans="24:25" x14ac:dyDescent="0.25">
      <c r="X1958" s="101">
        <v>1953</v>
      </c>
      <c r="Y1958" s="120">
        <f t="shared" si="30"/>
        <v>307</v>
      </c>
    </row>
    <row r="1959" spans="24:25" x14ac:dyDescent="0.25">
      <c r="X1959" s="101">
        <v>1954</v>
      </c>
      <c r="Y1959" s="120">
        <f t="shared" si="30"/>
        <v>307</v>
      </c>
    </row>
    <row r="1960" spans="24:25" x14ac:dyDescent="0.25">
      <c r="X1960" s="101">
        <v>1955</v>
      </c>
      <c r="Y1960" s="120">
        <f t="shared" si="30"/>
        <v>307</v>
      </c>
    </row>
    <row r="1961" spans="24:25" x14ac:dyDescent="0.25">
      <c r="X1961" s="101">
        <v>1956</v>
      </c>
      <c r="Y1961" s="120">
        <f t="shared" si="30"/>
        <v>307</v>
      </c>
    </row>
    <row r="1962" spans="24:25" x14ac:dyDescent="0.25">
      <c r="X1962" s="101">
        <v>1957</v>
      </c>
      <c r="Y1962" s="120">
        <f t="shared" si="30"/>
        <v>307</v>
      </c>
    </row>
    <row r="1963" spans="24:25" x14ac:dyDescent="0.25">
      <c r="X1963" s="101">
        <v>1958</v>
      </c>
      <c r="Y1963" s="120">
        <f t="shared" si="30"/>
        <v>307</v>
      </c>
    </row>
    <row r="1964" spans="24:25" x14ac:dyDescent="0.25">
      <c r="X1964" s="101">
        <v>1959</v>
      </c>
      <c r="Y1964" s="120">
        <f t="shared" si="30"/>
        <v>307</v>
      </c>
    </row>
    <row r="1965" spans="24:25" x14ac:dyDescent="0.25">
      <c r="X1965" s="101">
        <v>1960</v>
      </c>
      <c r="Y1965" s="120">
        <f t="shared" si="30"/>
        <v>305</v>
      </c>
    </row>
    <row r="1966" spans="24:25" x14ac:dyDescent="0.25">
      <c r="X1966" s="101">
        <v>1961</v>
      </c>
      <c r="Y1966" s="120">
        <f t="shared" si="30"/>
        <v>305</v>
      </c>
    </row>
    <row r="1967" spans="24:25" x14ac:dyDescent="0.25">
      <c r="X1967" s="101">
        <v>1962</v>
      </c>
      <c r="Y1967" s="120">
        <f t="shared" si="30"/>
        <v>305</v>
      </c>
    </row>
    <row r="1968" spans="24:25" x14ac:dyDescent="0.25">
      <c r="X1968" s="101">
        <v>1963</v>
      </c>
      <c r="Y1968" s="120">
        <f t="shared" si="30"/>
        <v>305</v>
      </c>
    </row>
    <row r="1969" spans="24:25" x14ac:dyDescent="0.25">
      <c r="X1969" s="101">
        <v>1964</v>
      </c>
      <c r="Y1969" s="120">
        <f t="shared" si="30"/>
        <v>305</v>
      </c>
    </row>
    <row r="1970" spans="24:25" x14ac:dyDescent="0.25">
      <c r="X1970" s="101">
        <v>1965</v>
      </c>
      <c r="Y1970" s="120">
        <f t="shared" si="30"/>
        <v>305</v>
      </c>
    </row>
    <row r="1971" spans="24:25" x14ac:dyDescent="0.25">
      <c r="X1971" s="101">
        <v>1966</v>
      </c>
      <c r="Y1971" s="120">
        <f t="shared" si="30"/>
        <v>305</v>
      </c>
    </row>
    <row r="1972" spans="24:25" x14ac:dyDescent="0.25">
      <c r="X1972" s="101">
        <v>1967</v>
      </c>
      <c r="Y1972" s="120">
        <f t="shared" si="30"/>
        <v>305</v>
      </c>
    </row>
    <row r="1973" spans="24:25" x14ac:dyDescent="0.25">
      <c r="X1973" s="101">
        <v>1968</v>
      </c>
      <c r="Y1973" s="120">
        <f t="shared" si="30"/>
        <v>305</v>
      </c>
    </row>
    <row r="1974" spans="24:25" x14ac:dyDescent="0.25">
      <c r="X1974" s="101">
        <v>1969</v>
      </c>
      <c r="Y1974" s="120">
        <f t="shared" si="30"/>
        <v>305</v>
      </c>
    </row>
    <row r="1975" spans="24:25" x14ac:dyDescent="0.25">
      <c r="X1975" s="101">
        <v>1970</v>
      </c>
      <c r="Y1975" s="120">
        <f t="shared" si="30"/>
        <v>305</v>
      </c>
    </row>
    <row r="1976" spans="24:25" x14ac:dyDescent="0.25">
      <c r="X1976" s="101">
        <v>1971</v>
      </c>
      <c r="Y1976" s="120">
        <f t="shared" si="30"/>
        <v>305</v>
      </c>
    </row>
    <row r="1977" spans="24:25" x14ac:dyDescent="0.25">
      <c r="X1977" s="101">
        <v>1972</v>
      </c>
      <c r="Y1977" s="120">
        <f t="shared" si="30"/>
        <v>305</v>
      </c>
    </row>
    <row r="1978" spans="24:25" x14ac:dyDescent="0.25">
      <c r="X1978" s="101">
        <v>1973</v>
      </c>
      <c r="Y1978" s="120">
        <f t="shared" si="30"/>
        <v>305</v>
      </c>
    </row>
    <row r="1979" spans="24:25" x14ac:dyDescent="0.25">
      <c r="X1979" s="101">
        <v>1974</v>
      </c>
      <c r="Y1979" s="120">
        <f t="shared" si="30"/>
        <v>305</v>
      </c>
    </row>
    <row r="1980" spans="24:25" x14ac:dyDescent="0.25">
      <c r="X1980" s="101">
        <v>1975</v>
      </c>
      <c r="Y1980" s="120">
        <f t="shared" si="30"/>
        <v>305</v>
      </c>
    </row>
    <row r="1981" spans="24:25" x14ac:dyDescent="0.25">
      <c r="X1981" s="101">
        <v>1976</v>
      </c>
      <c r="Y1981" s="120">
        <f t="shared" si="30"/>
        <v>305</v>
      </c>
    </row>
    <row r="1982" spans="24:25" x14ac:dyDescent="0.25">
      <c r="X1982" s="101">
        <v>1977</v>
      </c>
      <c r="Y1982" s="120">
        <f t="shared" si="30"/>
        <v>305</v>
      </c>
    </row>
    <row r="1983" spans="24:25" x14ac:dyDescent="0.25">
      <c r="X1983" s="101">
        <v>1978</v>
      </c>
      <c r="Y1983" s="120">
        <f t="shared" si="30"/>
        <v>305</v>
      </c>
    </row>
    <row r="1984" spans="24:25" x14ac:dyDescent="0.25">
      <c r="X1984" s="101">
        <v>1979</v>
      </c>
      <c r="Y1984" s="120">
        <f t="shared" si="30"/>
        <v>305</v>
      </c>
    </row>
    <row r="1985" spans="24:25" x14ac:dyDescent="0.25">
      <c r="X1985" s="101">
        <v>1980</v>
      </c>
      <c r="Y1985" s="120">
        <f t="shared" si="30"/>
        <v>302</v>
      </c>
    </row>
    <row r="1986" spans="24:25" x14ac:dyDescent="0.25">
      <c r="X1986" s="101">
        <v>1981</v>
      </c>
      <c r="Y1986" s="120">
        <f t="shared" si="30"/>
        <v>302</v>
      </c>
    </row>
    <row r="1987" spans="24:25" x14ac:dyDescent="0.25">
      <c r="X1987" s="101">
        <v>1982</v>
      </c>
      <c r="Y1987" s="120">
        <f t="shared" si="30"/>
        <v>302</v>
      </c>
    </row>
    <row r="1988" spans="24:25" x14ac:dyDescent="0.25">
      <c r="X1988" s="101">
        <v>1983</v>
      </c>
      <c r="Y1988" s="120">
        <f t="shared" si="30"/>
        <v>302</v>
      </c>
    </row>
    <row r="1989" spans="24:25" x14ac:dyDescent="0.25">
      <c r="X1989" s="101">
        <v>1984</v>
      </c>
      <c r="Y1989" s="120">
        <f t="shared" si="30"/>
        <v>302</v>
      </c>
    </row>
    <row r="1990" spans="24:25" x14ac:dyDescent="0.25">
      <c r="X1990" s="101">
        <v>1985</v>
      </c>
      <c r="Y1990" s="120">
        <f t="shared" ref="Y1990:Y2009" si="31">INDEX(inhale_driver_table,INT(100*(X1990/ticks_per_inhale))+1)</f>
        <v>302</v>
      </c>
    </row>
    <row r="1991" spans="24:25" x14ac:dyDescent="0.25">
      <c r="X1991" s="101">
        <v>1986</v>
      </c>
      <c r="Y1991" s="120">
        <f t="shared" si="31"/>
        <v>302</v>
      </c>
    </row>
    <row r="1992" spans="24:25" x14ac:dyDescent="0.25">
      <c r="X1992" s="101">
        <v>1987</v>
      </c>
      <c r="Y1992" s="120">
        <f t="shared" si="31"/>
        <v>302</v>
      </c>
    </row>
    <row r="1993" spans="24:25" x14ac:dyDescent="0.25">
      <c r="X1993" s="101">
        <v>1988</v>
      </c>
      <c r="Y1993" s="120">
        <f t="shared" si="31"/>
        <v>302</v>
      </c>
    </row>
    <row r="1994" spans="24:25" x14ac:dyDescent="0.25">
      <c r="X1994" s="101">
        <v>1989</v>
      </c>
      <c r="Y1994" s="120">
        <f t="shared" si="31"/>
        <v>302</v>
      </c>
    </row>
    <row r="1995" spans="24:25" x14ac:dyDescent="0.25">
      <c r="X1995" s="101">
        <v>1990</v>
      </c>
      <c r="Y1995" s="120">
        <f t="shared" si="31"/>
        <v>302</v>
      </c>
    </row>
    <row r="1996" spans="24:25" x14ac:dyDescent="0.25">
      <c r="X1996" s="101">
        <v>1991</v>
      </c>
      <c r="Y1996" s="120">
        <f t="shared" si="31"/>
        <v>302</v>
      </c>
    </row>
    <row r="1997" spans="24:25" x14ac:dyDescent="0.25">
      <c r="X1997" s="101">
        <v>1992</v>
      </c>
      <c r="Y1997" s="120">
        <f t="shared" si="31"/>
        <v>302</v>
      </c>
    </row>
    <row r="1998" spans="24:25" x14ac:dyDescent="0.25">
      <c r="X1998" s="101">
        <v>1993</v>
      </c>
      <c r="Y1998" s="120">
        <f t="shared" si="31"/>
        <v>302</v>
      </c>
    </row>
    <row r="1999" spans="24:25" x14ac:dyDescent="0.25">
      <c r="X1999" s="101">
        <v>1994</v>
      </c>
      <c r="Y1999" s="120">
        <f t="shared" si="31"/>
        <v>302</v>
      </c>
    </row>
    <row r="2000" spans="24:25" x14ac:dyDescent="0.25">
      <c r="X2000" s="101">
        <v>1995</v>
      </c>
      <c r="Y2000" s="120">
        <f t="shared" si="31"/>
        <v>302</v>
      </c>
    </row>
    <row r="2001" spans="24:25" x14ac:dyDescent="0.25">
      <c r="X2001" s="101">
        <v>1996</v>
      </c>
      <c r="Y2001" s="120">
        <f t="shared" si="31"/>
        <v>302</v>
      </c>
    </row>
    <row r="2002" spans="24:25" x14ac:dyDescent="0.25">
      <c r="X2002" s="101">
        <v>1997</v>
      </c>
      <c r="Y2002" s="120">
        <f t="shared" si="31"/>
        <v>302</v>
      </c>
    </row>
    <row r="2003" spans="24:25" x14ac:dyDescent="0.25">
      <c r="X2003" s="101">
        <v>1998</v>
      </c>
      <c r="Y2003" s="120">
        <f t="shared" si="31"/>
        <v>302</v>
      </c>
    </row>
    <row r="2004" spans="24:25" x14ac:dyDescent="0.25">
      <c r="X2004" s="101">
        <v>1999</v>
      </c>
      <c r="Y2004" s="120">
        <f t="shared" si="31"/>
        <v>302</v>
      </c>
    </row>
    <row r="2005" spans="24:25" x14ac:dyDescent="0.25">
      <c r="X2005" s="101">
        <v>2000</v>
      </c>
      <c r="Y2005" s="120">
        <f t="shared" si="31"/>
        <v>300</v>
      </c>
    </row>
    <row r="2006" spans="24:25" x14ac:dyDescent="0.25">
      <c r="X2006" s="101">
        <v>2001</v>
      </c>
      <c r="Y2006" s="120">
        <f t="shared" si="31"/>
        <v>300</v>
      </c>
    </row>
    <row r="2007" spans="24:25" x14ac:dyDescent="0.25">
      <c r="X2007" s="101">
        <v>2002</v>
      </c>
      <c r="Y2007" s="120">
        <f t="shared" si="31"/>
        <v>300</v>
      </c>
    </row>
    <row r="2008" spans="24:25" x14ac:dyDescent="0.25">
      <c r="X2008" s="101">
        <v>2003</v>
      </c>
      <c r="Y2008" s="120">
        <f t="shared" si="31"/>
        <v>300</v>
      </c>
    </row>
    <row r="2009" spans="24:25" x14ac:dyDescent="0.25">
      <c r="X2009" s="101">
        <v>2004</v>
      </c>
      <c r="Y2009" s="120">
        <f t="shared" si="31"/>
        <v>300</v>
      </c>
    </row>
  </sheetData>
  <mergeCells count="2">
    <mergeCell ref="T6:T18"/>
    <mergeCell ref="C50:G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ild_inhale_driver_table">
                <anchor moveWithCells="1" sizeWithCells="1">
                  <from>
                    <xdr:col>12</xdr:col>
                    <xdr:colOff>600075</xdr:colOff>
                    <xdr:row>1</xdr:row>
                    <xdr:rowOff>0</xdr:rowOff>
                  </from>
                  <to>
                    <xdr:col>16</xdr:col>
                    <xdr:colOff>28575</xdr:colOff>
                    <xdr:row>3</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Q1432"/>
  <sheetViews>
    <sheetView topLeftCell="A10" workbookViewId="0">
      <pane ySplit="7830" topLeftCell="A1395"/>
      <selection activeCell="C18" sqref="C18:E27"/>
      <selection pane="bottomLeft" activeCell="E1393" sqref="E1393"/>
    </sheetView>
  </sheetViews>
  <sheetFormatPr defaultColWidth="8.85546875" defaultRowHeight="17.45" customHeight="1" x14ac:dyDescent="0.25"/>
  <cols>
    <col min="1" max="3" width="8.85546875" style="100"/>
    <col min="4" max="4" width="10.140625" style="100" customWidth="1"/>
    <col min="5" max="5" width="10.28515625" style="100" bestFit="1" customWidth="1"/>
    <col min="6" max="8" width="8.85546875" style="100"/>
    <col min="9" max="9" width="15.140625" style="100" customWidth="1"/>
    <col min="10" max="10" width="14.140625" style="100" customWidth="1"/>
    <col min="11" max="11" width="13.85546875" style="100" customWidth="1"/>
    <col min="12" max="16384" width="8.85546875" style="100"/>
  </cols>
  <sheetData>
    <row r="2" spans="2:11" ht="17.45" customHeight="1" x14ac:dyDescent="0.3">
      <c r="B2" s="100" t="s">
        <v>118</v>
      </c>
      <c r="D2" s="100">
        <v>5</v>
      </c>
    </row>
    <row r="6" spans="2:11" ht="17.45" customHeight="1" x14ac:dyDescent="0.3">
      <c r="C6" s="104" t="s">
        <v>86</v>
      </c>
      <c r="H6" s="104" t="s">
        <v>87</v>
      </c>
    </row>
    <row r="7" spans="2:11" ht="28.9" customHeight="1" x14ac:dyDescent="0.3">
      <c r="C7" s="4" t="s">
        <v>84</v>
      </c>
      <c r="D7" s="4" t="s">
        <v>85</v>
      </c>
      <c r="E7" s="6" t="s">
        <v>90</v>
      </c>
      <c r="H7" s="4" t="s">
        <v>84</v>
      </c>
      <c r="I7" s="6" t="s">
        <v>89</v>
      </c>
      <c r="J7" s="6" t="s">
        <v>88</v>
      </c>
      <c r="K7" s="4" t="s">
        <v>91</v>
      </c>
    </row>
    <row r="8" spans="2:11" ht="17.45" customHeight="1" x14ac:dyDescent="0.3">
      <c r="C8" s="101">
        <v>-1</v>
      </c>
      <c r="D8" s="101">
        <v>0</v>
      </c>
      <c r="E8" s="105">
        <f>(D9-D8)/(C9-C8)</f>
        <v>10</v>
      </c>
      <c r="H8" s="101">
        <v>0</v>
      </c>
      <c r="I8" s="101"/>
      <c r="J8" s="106"/>
      <c r="K8" s="106">
        <f>D9</f>
        <v>10</v>
      </c>
    </row>
    <row r="9" spans="2:11" ht="17.45" customHeight="1" x14ac:dyDescent="0.3">
      <c r="C9" s="101">
        <v>0</v>
      </c>
      <c r="D9" s="101">
        <v>10</v>
      </c>
      <c r="E9" s="105">
        <f t="shared" ref="E9:E13" si="0">(D10-D9)/(C10-C9)</f>
        <v>0.18</v>
      </c>
      <c r="H9" s="101">
        <f>H8+1</f>
        <v>1</v>
      </c>
      <c r="I9" s="101">
        <f t="shared" ref="I9:I72" si="1">MATCH(H9,$C$8:$C$13,1)</f>
        <v>2</v>
      </c>
      <c r="J9" s="106">
        <f>INDEX($E$8:$E$13,I8)</f>
        <v>0.18</v>
      </c>
      <c r="K9" s="106">
        <f>K8+J9</f>
        <v>10.18</v>
      </c>
    </row>
    <row r="10" spans="2:11" ht="17.45" customHeight="1" x14ac:dyDescent="0.3">
      <c r="C10" s="101">
        <v>500</v>
      </c>
      <c r="D10" s="101">
        <v>100</v>
      </c>
      <c r="E10" s="105">
        <f t="shared" si="0"/>
        <v>-0.2</v>
      </c>
      <c r="H10" s="101">
        <f t="shared" ref="H10:H22" si="2">H9+1</f>
        <v>2</v>
      </c>
      <c r="I10" s="101">
        <f t="shared" si="1"/>
        <v>2</v>
      </c>
      <c r="J10" s="106">
        <f t="shared" ref="J10:J73" si="3">INDEX($E$8:$E$13,I9)</f>
        <v>0.18</v>
      </c>
      <c r="K10" s="106">
        <f t="shared" ref="K10:K73" si="4">K9+J10</f>
        <v>10.36</v>
      </c>
    </row>
    <row r="11" spans="2:11" ht="17.45" customHeight="1" x14ac:dyDescent="0.3">
      <c r="C11" s="101">
        <v>1000</v>
      </c>
      <c r="D11" s="101">
        <v>0</v>
      </c>
      <c r="E11" s="105">
        <f t="shared" si="0"/>
        <v>-0.75</v>
      </c>
      <c r="H11" s="101">
        <f t="shared" si="2"/>
        <v>3</v>
      </c>
      <c r="I11" s="101">
        <f t="shared" si="1"/>
        <v>2</v>
      </c>
      <c r="J11" s="106">
        <f t="shared" si="3"/>
        <v>0.18</v>
      </c>
      <c r="K11" s="106">
        <f t="shared" si="4"/>
        <v>10.54</v>
      </c>
    </row>
    <row r="12" spans="2:11" ht="17.45" customHeight="1" x14ac:dyDescent="0.3">
      <c r="C12" s="101">
        <v>1100</v>
      </c>
      <c r="D12" s="101">
        <v>-75</v>
      </c>
      <c r="E12" s="105">
        <f t="shared" si="0"/>
        <v>0.28333333333333333</v>
      </c>
      <c r="H12" s="101">
        <f t="shared" si="2"/>
        <v>4</v>
      </c>
      <c r="I12" s="101">
        <f t="shared" si="1"/>
        <v>2</v>
      </c>
      <c r="J12" s="106">
        <f t="shared" si="3"/>
        <v>0.18</v>
      </c>
      <c r="K12" s="106">
        <f t="shared" si="4"/>
        <v>10.719999999999999</v>
      </c>
    </row>
    <row r="13" spans="2:11" ht="17.45" customHeight="1" x14ac:dyDescent="0.3">
      <c r="C13" s="101">
        <v>1400</v>
      </c>
      <c r="D13" s="101">
        <v>10</v>
      </c>
      <c r="E13" s="105">
        <f t="shared" si="0"/>
        <v>7.1428571428571426E-3</v>
      </c>
      <c r="H13" s="101">
        <f t="shared" si="2"/>
        <v>5</v>
      </c>
      <c r="I13" s="101">
        <f t="shared" si="1"/>
        <v>2</v>
      </c>
      <c r="J13" s="106">
        <f t="shared" si="3"/>
        <v>0.18</v>
      </c>
      <c r="K13" s="106">
        <f t="shared" si="4"/>
        <v>10.899999999999999</v>
      </c>
    </row>
    <row r="14" spans="2:11" ht="17.45" customHeight="1" x14ac:dyDescent="0.3">
      <c r="H14" s="101">
        <f t="shared" si="2"/>
        <v>6</v>
      </c>
      <c r="I14" s="101">
        <f t="shared" si="1"/>
        <v>2</v>
      </c>
      <c r="J14" s="106">
        <f t="shared" si="3"/>
        <v>0.18</v>
      </c>
      <c r="K14" s="106">
        <f t="shared" si="4"/>
        <v>11.079999999999998</v>
      </c>
    </row>
    <row r="15" spans="2:11" ht="17.45" customHeight="1" x14ac:dyDescent="0.3">
      <c r="H15" s="101">
        <f t="shared" si="2"/>
        <v>7</v>
      </c>
      <c r="I15" s="101">
        <f t="shared" si="1"/>
        <v>2</v>
      </c>
      <c r="J15" s="106">
        <f t="shared" si="3"/>
        <v>0.18</v>
      </c>
      <c r="K15" s="106">
        <f t="shared" si="4"/>
        <v>11.259999999999998</v>
      </c>
    </row>
    <row r="16" spans="2:11" ht="17.45" customHeight="1" x14ac:dyDescent="0.3">
      <c r="H16" s="101">
        <f t="shared" si="2"/>
        <v>8</v>
      </c>
      <c r="I16" s="101">
        <f t="shared" si="1"/>
        <v>2</v>
      </c>
      <c r="J16" s="106">
        <f t="shared" si="3"/>
        <v>0.18</v>
      </c>
      <c r="K16" s="106">
        <f t="shared" si="4"/>
        <v>11.439999999999998</v>
      </c>
    </row>
    <row r="17" spans="2:17" ht="17.45" customHeight="1" x14ac:dyDescent="0.3">
      <c r="B17" s="100" t="s">
        <v>92</v>
      </c>
      <c r="H17" s="101">
        <f t="shared" si="2"/>
        <v>9</v>
      </c>
      <c r="I17" s="101">
        <f t="shared" si="1"/>
        <v>2</v>
      </c>
      <c r="J17" s="106">
        <f t="shared" si="3"/>
        <v>0.18</v>
      </c>
      <c r="K17" s="106">
        <f t="shared" si="4"/>
        <v>11.619999999999997</v>
      </c>
    </row>
    <row r="18" spans="2:17" ht="17.45" customHeight="1" x14ac:dyDescent="0.3">
      <c r="C18" s="100" t="s">
        <v>93</v>
      </c>
      <c r="E18" s="107">
        <v>1000</v>
      </c>
      <c r="H18" s="101">
        <f t="shared" si="2"/>
        <v>10</v>
      </c>
      <c r="I18" s="101">
        <f t="shared" si="1"/>
        <v>2</v>
      </c>
      <c r="J18" s="106">
        <f t="shared" si="3"/>
        <v>0.18</v>
      </c>
      <c r="K18" s="106">
        <f t="shared" si="4"/>
        <v>11.799999999999997</v>
      </c>
    </row>
    <row r="19" spans="2:17" ht="17.45" customHeight="1" x14ac:dyDescent="0.3">
      <c r="C19" s="100" t="s">
        <v>95</v>
      </c>
      <c r="E19" s="107">
        <f>E18*60</f>
        <v>60000</v>
      </c>
      <c r="H19" s="101">
        <f t="shared" si="2"/>
        <v>11</v>
      </c>
      <c r="I19" s="101">
        <f t="shared" si="1"/>
        <v>2</v>
      </c>
      <c r="J19" s="106">
        <f t="shared" si="3"/>
        <v>0.18</v>
      </c>
      <c r="K19" s="106">
        <f t="shared" si="4"/>
        <v>11.979999999999997</v>
      </c>
    </row>
    <row r="20" spans="2:17" ht="17.45" customHeight="1" x14ac:dyDescent="0.3">
      <c r="C20" s="100" t="s">
        <v>94</v>
      </c>
      <c r="E20" s="109">
        <v>22</v>
      </c>
      <c r="H20" s="101">
        <f t="shared" si="2"/>
        <v>12</v>
      </c>
      <c r="I20" s="101">
        <f t="shared" si="1"/>
        <v>2</v>
      </c>
      <c r="J20" s="106">
        <f t="shared" si="3"/>
        <v>0.18</v>
      </c>
      <c r="K20" s="106">
        <f t="shared" si="4"/>
        <v>12.159999999999997</v>
      </c>
    </row>
    <row r="21" spans="2:17" ht="17.45" customHeight="1" x14ac:dyDescent="0.3">
      <c r="C21" s="100" t="s">
        <v>96</v>
      </c>
      <c r="E21" s="108">
        <f>E19/E20</f>
        <v>2727.2727272727275</v>
      </c>
      <c r="H21" s="101">
        <f t="shared" si="2"/>
        <v>13</v>
      </c>
      <c r="I21" s="101">
        <f t="shared" si="1"/>
        <v>2</v>
      </c>
      <c r="J21" s="106">
        <f t="shared" si="3"/>
        <v>0.18</v>
      </c>
      <c r="K21" s="106">
        <f t="shared" si="4"/>
        <v>12.339999999999996</v>
      </c>
    </row>
    <row r="22" spans="2:17" ht="17.45" customHeight="1" x14ac:dyDescent="0.3">
      <c r="C22" s="100" t="s">
        <v>97</v>
      </c>
      <c r="E22" s="101">
        <v>1</v>
      </c>
      <c r="H22" s="101">
        <f t="shared" si="2"/>
        <v>14</v>
      </c>
      <c r="I22" s="101">
        <f t="shared" si="1"/>
        <v>2</v>
      </c>
      <c r="J22" s="106">
        <f t="shared" si="3"/>
        <v>0.18</v>
      </c>
      <c r="K22" s="106">
        <f t="shared" si="4"/>
        <v>12.519999999999996</v>
      </c>
    </row>
    <row r="23" spans="2:17" ht="17.45" customHeight="1" x14ac:dyDescent="0.3">
      <c r="C23" s="100" t="s">
        <v>83</v>
      </c>
      <c r="E23" s="9">
        <v>2</v>
      </c>
      <c r="H23" s="101">
        <f t="shared" ref="H23:H86" si="5">H22+1</f>
        <v>15</v>
      </c>
      <c r="I23" s="101">
        <f t="shared" si="1"/>
        <v>2</v>
      </c>
      <c r="J23" s="106">
        <f t="shared" si="3"/>
        <v>0.18</v>
      </c>
      <c r="K23" s="106">
        <f t="shared" si="4"/>
        <v>12.699999999999996</v>
      </c>
      <c r="N23" s="100" t="s">
        <v>115</v>
      </c>
      <c r="Q23" s="100">
        <f>60000/E20</f>
        <v>2727.2727272727275</v>
      </c>
    </row>
    <row r="24" spans="2:17" ht="17.45" customHeight="1" x14ac:dyDescent="0.3">
      <c r="C24" s="100" t="s">
        <v>98</v>
      </c>
      <c r="E24" s="101" t="str">
        <f>E22 &amp; ":" &amp; E23</f>
        <v>1:2</v>
      </c>
      <c r="H24" s="101">
        <f t="shared" si="5"/>
        <v>16</v>
      </c>
      <c r="I24" s="101">
        <f t="shared" si="1"/>
        <v>2</v>
      </c>
      <c r="J24" s="106">
        <f t="shared" si="3"/>
        <v>0.18</v>
      </c>
      <c r="K24" s="106">
        <f t="shared" si="4"/>
        <v>12.879999999999995</v>
      </c>
      <c r="N24" s="100" t="s">
        <v>116</v>
      </c>
      <c r="Q24" s="100">
        <f>Q23*(1/(1+E23))</f>
        <v>909.09090909090912</v>
      </c>
    </row>
    <row r="25" spans="2:17" ht="17.45" customHeight="1" x14ac:dyDescent="0.3">
      <c r="C25" s="100" t="s">
        <v>101</v>
      </c>
      <c r="E25" s="101">
        <f>E22+E23</f>
        <v>3</v>
      </c>
      <c r="H25" s="101">
        <f t="shared" si="5"/>
        <v>17</v>
      </c>
      <c r="I25" s="101">
        <f t="shared" si="1"/>
        <v>2</v>
      </c>
      <c r="J25" s="106">
        <f t="shared" si="3"/>
        <v>0.18</v>
      </c>
      <c r="K25" s="106">
        <f t="shared" si="4"/>
        <v>13.059999999999995</v>
      </c>
      <c r="N25" s="100" t="s">
        <v>117</v>
      </c>
      <c r="Q25" s="100">
        <f>Q23*(E23/(1+E23))</f>
        <v>1818.1818181818182</v>
      </c>
    </row>
    <row r="26" spans="2:17" ht="17.45" customHeight="1" x14ac:dyDescent="0.3">
      <c r="C26" s="100" t="s">
        <v>99</v>
      </c>
      <c r="E26" s="108">
        <f>E21*E22/E25</f>
        <v>909.09090909090912</v>
      </c>
      <c r="H26" s="101">
        <f t="shared" si="5"/>
        <v>18</v>
      </c>
      <c r="I26" s="101">
        <f t="shared" si="1"/>
        <v>2</v>
      </c>
      <c r="J26" s="106">
        <f t="shared" si="3"/>
        <v>0.18</v>
      </c>
      <c r="K26" s="106">
        <f t="shared" si="4"/>
        <v>13.239999999999995</v>
      </c>
      <c r="Q26" s="100">
        <f>Q24+Q25</f>
        <v>2727.2727272727275</v>
      </c>
    </row>
    <row r="27" spans="2:17" ht="17.45" customHeight="1" x14ac:dyDescent="0.3">
      <c r="C27" s="100" t="s">
        <v>100</v>
      </c>
      <c r="E27" s="108">
        <f>E21*E23/E25</f>
        <v>1818.1818181818182</v>
      </c>
      <c r="H27" s="101">
        <f t="shared" si="5"/>
        <v>19</v>
      </c>
      <c r="I27" s="101">
        <f t="shared" si="1"/>
        <v>2</v>
      </c>
      <c r="J27" s="106">
        <f t="shared" si="3"/>
        <v>0.18</v>
      </c>
      <c r="K27" s="106">
        <f t="shared" si="4"/>
        <v>13.419999999999995</v>
      </c>
    </row>
    <row r="28" spans="2:17" ht="17.45" customHeight="1" x14ac:dyDescent="0.3">
      <c r="H28" s="101">
        <f t="shared" si="5"/>
        <v>20</v>
      </c>
      <c r="I28" s="101">
        <f t="shared" si="1"/>
        <v>2</v>
      </c>
      <c r="J28" s="106">
        <f t="shared" si="3"/>
        <v>0.18</v>
      </c>
      <c r="K28" s="106">
        <f t="shared" si="4"/>
        <v>13.599999999999994</v>
      </c>
    </row>
    <row r="29" spans="2:17" ht="17.45" customHeight="1" x14ac:dyDescent="0.3">
      <c r="H29" s="101">
        <f t="shared" si="5"/>
        <v>21</v>
      </c>
      <c r="I29" s="101">
        <f t="shared" si="1"/>
        <v>2</v>
      </c>
      <c r="J29" s="106">
        <f t="shared" si="3"/>
        <v>0.18</v>
      </c>
      <c r="K29" s="106">
        <f t="shared" si="4"/>
        <v>13.779999999999994</v>
      </c>
    </row>
    <row r="30" spans="2:17" ht="17.45" customHeight="1" x14ac:dyDescent="0.3">
      <c r="D30" s="4" t="s">
        <v>102</v>
      </c>
      <c r="E30" s="4" t="s">
        <v>103</v>
      </c>
      <c r="H30" s="101">
        <f t="shared" si="5"/>
        <v>22</v>
      </c>
      <c r="I30" s="101">
        <f t="shared" si="1"/>
        <v>2</v>
      </c>
      <c r="J30" s="106">
        <f t="shared" si="3"/>
        <v>0.18</v>
      </c>
      <c r="K30" s="106">
        <f t="shared" si="4"/>
        <v>13.959999999999994</v>
      </c>
    </row>
    <row r="31" spans="2:17" ht="17.45" customHeight="1" x14ac:dyDescent="0.3">
      <c r="C31" s="100" t="s">
        <v>108</v>
      </c>
      <c r="D31" s="108">
        <f>E26</f>
        <v>909.09090909090912</v>
      </c>
      <c r="E31" s="101">
        <v>1</v>
      </c>
      <c r="F31" s="100" t="s">
        <v>104</v>
      </c>
      <c r="H31" s="101">
        <f t="shared" si="5"/>
        <v>23</v>
      </c>
      <c r="I31" s="101">
        <f t="shared" si="1"/>
        <v>2</v>
      </c>
      <c r="J31" s="106">
        <f t="shared" si="3"/>
        <v>0.18</v>
      </c>
      <c r="K31" s="106">
        <f t="shared" si="4"/>
        <v>14.139999999999993</v>
      </c>
    </row>
    <row r="32" spans="2:17" ht="17.45" customHeight="1" x14ac:dyDescent="0.3">
      <c r="C32" s="100" t="s">
        <v>109</v>
      </c>
      <c r="D32" s="108">
        <f>E27</f>
        <v>1818.1818181818182</v>
      </c>
      <c r="E32" s="101">
        <v>-1</v>
      </c>
      <c r="F32" s="100" t="s">
        <v>105</v>
      </c>
      <c r="H32" s="101">
        <f t="shared" si="5"/>
        <v>24</v>
      </c>
      <c r="I32" s="101">
        <f t="shared" si="1"/>
        <v>2</v>
      </c>
      <c r="J32" s="106">
        <f t="shared" si="3"/>
        <v>0.18</v>
      </c>
      <c r="K32" s="106">
        <f t="shared" si="4"/>
        <v>14.319999999999993</v>
      </c>
    </row>
    <row r="33" spans="2:11" ht="17.45" customHeight="1" x14ac:dyDescent="0.3">
      <c r="H33" s="101">
        <f t="shared" si="5"/>
        <v>25</v>
      </c>
      <c r="I33" s="101">
        <f t="shared" si="1"/>
        <v>2</v>
      </c>
      <c r="J33" s="106">
        <f t="shared" si="3"/>
        <v>0.18</v>
      </c>
      <c r="K33" s="106">
        <f t="shared" si="4"/>
        <v>14.499999999999993</v>
      </c>
    </row>
    <row r="34" spans="2:11" ht="17.45" customHeight="1" thickBot="1" x14ac:dyDescent="0.35">
      <c r="D34" s="110">
        <f>D31+D32</f>
        <v>2727.2727272727275</v>
      </c>
      <c r="H34" s="101">
        <f t="shared" si="5"/>
        <v>26</v>
      </c>
      <c r="I34" s="101">
        <f t="shared" si="1"/>
        <v>2</v>
      </c>
      <c r="J34" s="106">
        <f t="shared" si="3"/>
        <v>0.18</v>
      </c>
      <c r="K34" s="106">
        <f t="shared" si="4"/>
        <v>14.679999999999993</v>
      </c>
    </row>
    <row r="35" spans="2:11" ht="17.45" customHeight="1" x14ac:dyDescent="0.3">
      <c r="H35" s="101">
        <f t="shared" si="5"/>
        <v>27</v>
      </c>
      <c r="I35" s="101">
        <f t="shared" si="1"/>
        <v>2</v>
      </c>
      <c r="J35" s="106">
        <f t="shared" si="3"/>
        <v>0.18</v>
      </c>
      <c r="K35" s="106">
        <f t="shared" si="4"/>
        <v>14.859999999999992</v>
      </c>
    </row>
    <row r="36" spans="2:11" ht="17.45" customHeight="1" x14ac:dyDescent="0.3">
      <c r="B36" s="100" t="s">
        <v>107</v>
      </c>
      <c r="H36" s="101">
        <f t="shared" si="5"/>
        <v>28</v>
      </c>
      <c r="I36" s="101">
        <f t="shared" si="1"/>
        <v>2</v>
      </c>
      <c r="J36" s="106">
        <f t="shared" si="3"/>
        <v>0.18</v>
      </c>
      <c r="K36" s="106">
        <f t="shared" si="4"/>
        <v>15.039999999999992</v>
      </c>
    </row>
    <row r="37" spans="2:11" ht="17.45" customHeight="1" x14ac:dyDescent="0.3">
      <c r="C37" s="100" t="s">
        <v>106</v>
      </c>
      <c r="E37" s="100">
        <v>20</v>
      </c>
      <c r="H37" s="101">
        <f t="shared" si="5"/>
        <v>29</v>
      </c>
      <c r="I37" s="101">
        <f t="shared" si="1"/>
        <v>2</v>
      </c>
      <c r="J37" s="106">
        <f t="shared" si="3"/>
        <v>0.18</v>
      </c>
      <c r="K37" s="106">
        <f t="shared" si="4"/>
        <v>15.219999999999992</v>
      </c>
    </row>
    <row r="38" spans="2:11" ht="17.45" customHeight="1" x14ac:dyDescent="0.3">
      <c r="E38" s="111"/>
      <c r="H38" s="101">
        <f t="shared" si="5"/>
        <v>30</v>
      </c>
      <c r="I38" s="101">
        <f t="shared" si="1"/>
        <v>2</v>
      </c>
      <c r="J38" s="106">
        <f t="shared" si="3"/>
        <v>0.18</v>
      </c>
      <c r="K38" s="106">
        <f t="shared" si="4"/>
        <v>15.399999999999991</v>
      </c>
    </row>
    <row r="39" spans="2:11" ht="17.45" customHeight="1" x14ac:dyDescent="0.3">
      <c r="E39" s="111"/>
      <c r="F39"/>
      <c r="G39"/>
      <c r="H39" s="101">
        <f t="shared" si="5"/>
        <v>31</v>
      </c>
      <c r="I39" s="101">
        <f t="shared" si="1"/>
        <v>2</v>
      </c>
      <c r="J39" s="106">
        <f t="shared" si="3"/>
        <v>0.18</v>
      </c>
      <c r="K39" s="106">
        <f t="shared" si="4"/>
        <v>15.579999999999991</v>
      </c>
    </row>
    <row r="40" spans="2:11" ht="17.45" customHeight="1" x14ac:dyDescent="0.3">
      <c r="C40" s="100" t="s">
        <v>110</v>
      </c>
      <c r="E40" s="109">
        <v>0</v>
      </c>
      <c r="F40"/>
      <c r="G40"/>
      <c r="H40" s="101">
        <f t="shared" si="5"/>
        <v>32</v>
      </c>
      <c r="I40" s="101">
        <f t="shared" si="1"/>
        <v>2</v>
      </c>
      <c r="J40" s="106">
        <f t="shared" si="3"/>
        <v>0.18</v>
      </c>
      <c r="K40" s="106">
        <f t="shared" si="4"/>
        <v>15.759999999999991</v>
      </c>
    </row>
    <row r="41" spans="2:11" ht="17.45" customHeight="1" x14ac:dyDescent="0.3">
      <c r="F41"/>
      <c r="G41"/>
      <c r="H41" s="101">
        <f t="shared" si="5"/>
        <v>33</v>
      </c>
      <c r="I41" s="101">
        <f t="shared" si="1"/>
        <v>2</v>
      </c>
      <c r="J41" s="106">
        <f t="shared" si="3"/>
        <v>0.18</v>
      </c>
      <c r="K41" s="106">
        <f t="shared" si="4"/>
        <v>15.939999999999991</v>
      </c>
    </row>
    <row r="42" spans="2:11" ht="17.45" customHeight="1" x14ac:dyDescent="0.3">
      <c r="C42" s="100" t="s">
        <v>111</v>
      </c>
      <c r="E42" s="111">
        <f>E40/D31</f>
        <v>0</v>
      </c>
      <c r="H42" s="101">
        <f t="shared" si="5"/>
        <v>34</v>
      </c>
      <c r="I42" s="101">
        <f t="shared" si="1"/>
        <v>2</v>
      </c>
      <c r="J42" s="106">
        <f t="shared" si="3"/>
        <v>0.18</v>
      </c>
      <c r="K42" s="106">
        <f t="shared" si="4"/>
        <v>16.11999999999999</v>
      </c>
    </row>
    <row r="43" spans="2:11" ht="17.45" customHeight="1" x14ac:dyDescent="0.3">
      <c r="C43" s="100" t="s">
        <v>112</v>
      </c>
      <c r="E43" s="100">
        <f>INT(20*E42)</f>
        <v>0</v>
      </c>
      <c r="H43" s="101">
        <f t="shared" si="5"/>
        <v>35</v>
      </c>
      <c r="I43" s="101">
        <f t="shared" si="1"/>
        <v>2</v>
      </c>
      <c r="J43" s="106">
        <f t="shared" si="3"/>
        <v>0.18</v>
      </c>
      <c r="K43" s="106">
        <f t="shared" si="4"/>
        <v>16.29999999999999</v>
      </c>
    </row>
    <row r="44" spans="2:11" ht="17.45" customHeight="1" x14ac:dyDescent="0.3">
      <c r="C44" s="100" t="s">
        <v>113</v>
      </c>
      <c r="E44" s="111">
        <f>(E40-D31)/(D34-D31)</f>
        <v>-0.49999999999999994</v>
      </c>
      <c r="H44" s="101">
        <f t="shared" si="5"/>
        <v>36</v>
      </c>
      <c r="I44" s="101">
        <f t="shared" si="1"/>
        <v>2</v>
      </c>
      <c r="J44" s="106">
        <f t="shared" si="3"/>
        <v>0.18</v>
      </c>
      <c r="K44" s="106">
        <f t="shared" si="4"/>
        <v>16.47999999999999</v>
      </c>
    </row>
    <row r="45" spans="2:11" ht="17.45" customHeight="1" x14ac:dyDescent="0.3">
      <c r="C45" s="100" t="s">
        <v>114</v>
      </c>
      <c r="E45" s="111">
        <f>20-INT(20*E44)</f>
        <v>30</v>
      </c>
      <c r="H45" s="101">
        <f t="shared" si="5"/>
        <v>37</v>
      </c>
      <c r="I45" s="101">
        <f t="shared" si="1"/>
        <v>2</v>
      </c>
      <c r="J45" s="106">
        <f t="shared" si="3"/>
        <v>0.18</v>
      </c>
      <c r="K45" s="106">
        <f t="shared" si="4"/>
        <v>16.659999999999989</v>
      </c>
    </row>
    <row r="46" spans="2:11" ht="17.45" customHeight="1" x14ac:dyDescent="0.3">
      <c r="H46" s="101">
        <f t="shared" si="5"/>
        <v>38</v>
      </c>
      <c r="I46" s="101">
        <f t="shared" si="1"/>
        <v>2</v>
      </c>
      <c r="J46" s="106">
        <f t="shared" si="3"/>
        <v>0.18</v>
      </c>
      <c r="K46" s="106">
        <f t="shared" si="4"/>
        <v>16.839999999999989</v>
      </c>
    </row>
    <row r="47" spans="2:11" ht="17.45" customHeight="1" x14ac:dyDescent="0.3">
      <c r="B47"/>
      <c r="C47">
        <f>IF(E40&lt;(D31+1),E43,E45)</f>
        <v>0</v>
      </c>
      <c r="D47"/>
      <c r="E47"/>
      <c r="F47"/>
      <c r="H47" s="101">
        <f t="shared" si="5"/>
        <v>39</v>
      </c>
      <c r="I47" s="101">
        <f t="shared" si="1"/>
        <v>2</v>
      </c>
      <c r="J47" s="106">
        <f t="shared" si="3"/>
        <v>0.18</v>
      </c>
      <c r="K47" s="106">
        <f t="shared" si="4"/>
        <v>17.019999999999989</v>
      </c>
    </row>
    <row r="48" spans="2:11" ht="17.45" customHeight="1" x14ac:dyDescent="0.3">
      <c r="B48"/>
      <c r="C48"/>
      <c r="D48"/>
      <c r="E48"/>
      <c r="F48"/>
      <c r="H48" s="101">
        <f t="shared" si="5"/>
        <v>40</v>
      </c>
      <c r="I48" s="101">
        <f t="shared" si="1"/>
        <v>2</v>
      </c>
      <c r="J48" s="106">
        <f t="shared" si="3"/>
        <v>0.18</v>
      </c>
      <c r="K48" s="106">
        <f t="shared" si="4"/>
        <v>17.199999999999989</v>
      </c>
    </row>
    <row r="49" spans="2:11" ht="17.45" customHeight="1" x14ac:dyDescent="0.3">
      <c r="B49"/>
      <c r="C49"/>
      <c r="D49"/>
      <c r="E49"/>
      <c r="F49"/>
      <c r="H49" s="101">
        <f t="shared" si="5"/>
        <v>41</v>
      </c>
      <c r="I49" s="101">
        <f t="shared" si="1"/>
        <v>2</v>
      </c>
      <c r="J49" s="106">
        <f t="shared" si="3"/>
        <v>0.18</v>
      </c>
      <c r="K49" s="106">
        <f t="shared" si="4"/>
        <v>17.379999999999988</v>
      </c>
    </row>
    <row r="50" spans="2:11" ht="17.45" customHeight="1" x14ac:dyDescent="0.3">
      <c r="B50"/>
      <c r="C50"/>
      <c r="D50"/>
      <c r="E50"/>
      <c r="F50"/>
      <c r="H50" s="101">
        <f t="shared" si="5"/>
        <v>42</v>
      </c>
      <c r="I50" s="101">
        <f t="shared" si="1"/>
        <v>2</v>
      </c>
      <c r="J50" s="106">
        <f t="shared" si="3"/>
        <v>0.18</v>
      </c>
      <c r="K50" s="106">
        <f t="shared" si="4"/>
        <v>17.559999999999988</v>
      </c>
    </row>
    <row r="51" spans="2:11" ht="17.45" customHeight="1" x14ac:dyDescent="0.3">
      <c r="B51"/>
      <c r="C51"/>
      <c r="D51"/>
      <c r="E51"/>
      <c r="F51"/>
      <c r="H51" s="101">
        <f t="shared" si="5"/>
        <v>43</v>
      </c>
      <c r="I51" s="101">
        <f t="shared" si="1"/>
        <v>2</v>
      </c>
      <c r="J51" s="106">
        <f t="shared" si="3"/>
        <v>0.18</v>
      </c>
      <c r="K51" s="106">
        <f t="shared" si="4"/>
        <v>17.739999999999988</v>
      </c>
    </row>
    <row r="52" spans="2:11" ht="17.45" customHeight="1" x14ac:dyDescent="0.3">
      <c r="B52"/>
      <c r="C52"/>
      <c r="D52"/>
      <c r="E52"/>
      <c r="F52"/>
      <c r="H52" s="101">
        <f t="shared" si="5"/>
        <v>44</v>
      </c>
      <c r="I52" s="101">
        <f t="shared" si="1"/>
        <v>2</v>
      </c>
      <c r="J52" s="106">
        <f t="shared" si="3"/>
        <v>0.18</v>
      </c>
      <c r="K52" s="106">
        <f t="shared" si="4"/>
        <v>17.919999999999987</v>
      </c>
    </row>
    <row r="53" spans="2:11" ht="17.45" customHeight="1" x14ac:dyDescent="0.3">
      <c r="H53" s="101">
        <f t="shared" si="5"/>
        <v>45</v>
      </c>
      <c r="I53" s="101">
        <f t="shared" si="1"/>
        <v>2</v>
      </c>
      <c r="J53" s="106">
        <f t="shared" si="3"/>
        <v>0.18</v>
      </c>
      <c r="K53" s="106">
        <f t="shared" si="4"/>
        <v>18.099999999999987</v>
      </c>
    </row>
    <row r="54" spans="2:11" ht="17.45" customHeight="1" x14ac:dyDescent="0.3">
      <c r="H54" s="101">
        <f t="shared" si="5"/>
        <v>46</v>
      </c>
      <c r="I54" s="101">
        <f t="shared" si="1"/>
        <v>2</v>
      </c>
      <c r="J54" s="106">
        <f t="shared" si="3"/>
        <v>0.18</v>
      </c>
      <c r="K54" s="106">
        <f t="shared" si="4"/>
        <v>18.279999999999987</v>
      </c>
    </row>
    <row r="55" spans="2:11" ht="17.45" customHeight="1" x14ac:dyDescent="0.3">
      <c r="H55" s="101">
        <f t="shared" si="5"/>
        <v>47</v>
      </c>
      <c r="I55" s="101">
        <f t="shared" si="1"/>
        <v>2</v>
      </c>
      <c r="J55" s="106">
        <f t="shared" si="3"/>
        <v>0.18</v>
      </c>
      <c r="K55" s="106">
        <f t="shared" si="4"/>
        <v>18.459999999999987</v>
      </c>
    </row>
    <row r="56" spans="2:11" ht="17.45" customHeight="1" x14ac:dyDescent="0.3">
      <c r="H56" s="101">
        <f t="shared" si="5"/>
        <v>48</v>
      </c>
      <c r="I56" s="101">
        <f t="shared" si="1"/>
        <v>2</v>
      </c>
      <c r="J56" s="106">
        <f t="shared" si="3"/>
        <v>0.18</v>
      </c>
      <c r="K56" s="106">
        <f t="shared" si="4"/>
        <v>18.639999999999986</v>
      </c>
    </row>
    <row r="57" spans="2:11" ht="17.45" customHeight="1" x14ac:dyDescent="0.3">
      <c r="H57" s="101">
        <f t="shared" si="5"/>
        <v>49</v>
      </c>
      <c r="I57" s="101">
        <f t="shared" si="1"/>
        <v>2</v>
      </c>
      <c r="J57" s="106">
        <f t="shared" si="3"/>
        <v>0.18</v>
      </c>
      <c r="K57" s="106">
        <f t="shared" si="4"/>
        <v>18.819999999999986</v>
      </c>
    </row>
    <row r="58" spans="2:11" ht="17.45" customHeight="1" x14ac:dyDescent="0.3">
      <c r="H58" s="101">
        <f t="shared" si="5"/>
        <v>50</v>
      </c>
      <c r="I58" s="101">
        <f t="shared" si="1"/>
        <v>2</v>
      </c>
      <c r="J58" s="106">
        <f t="shared" si="3"/>
        <v>0.18</v>
      </c>
      <c r="K58" s="106">
        <f t="shared" si="4"/>
        <v>18.999999999999986</v>
      </c>
    </row>
    <row r="59" spans="2:11" ht="17.45" customHeight="1" x14ac:dyDescent="0.3">
      <c r="H59" s="101">
        <f t="shared" si="5"/>
        <v>51</v>
      </c>
      <c r="I59" s="101">
        <f t="shared" si="1"/>
        <v>2</v>
      </c>
      <c r="J59" s="106">
        <f t="shared" si="3"/>
        <v>0.18</v>
      </c>
      <c r="K59" s="106">
        <f t="shared" si="4"/>
        <v>19.179999999999986</v>
      </c>
    </row>
    <row r="60" spans="2:11" ht="17.45" customHeight="1" x14ac:dyDescent="0.3">
      <c r="H60" s="101">
        <f t="shared" si="5"/>
        <v>52</v>
      </c>
      <c r="I60" s="101">
        <f t="shared" si="1"/>
        <v>2</v>
      </c>
      <c r="J60" s="106">
        <f t="shared" si="3"/>
        <v>0.18</v>
      </c>
      <c r="K60" s="106">
        <f t="shared" si="4"/>
        <v>19.359999999999985</v>
      </c>
    </row>
    <row r="61" spans="2:11" ht="17.45" customHeight="1" x14ac:dyDescent="0.3">
      <c r="H61" s="101">
        <f t="shared" si="5"/>
        <v>53</v>
      </c>
      <c r="I61" s="101">
        <f t="shared" si="1"/>
        <v>2</v>
      </c>
      <c r="J61" s="106">
        <f t="shared" si="3"/>
        <v>0.18</v>
      </c>
      <c r="K61" s="106">
        <f t="shared" si="4"/>
        <v>19.539999999999985</v>
      </c>
    </row>
    <row r="62" spans="2:11" ht="17.45" customHeight="1" x14ac:dyDescent="0.3">
      <c r="H62" s="101">
        <f t="shared" si="5"/>
        <v>54</v>
      </c>
      <c r="I62" s="101">
        <f t="shared" si="1"/>
        <v>2</v>
      </c>
      <c r="J62" s="106">
        <f t="shared" si="3"/>
        <v>0.18</v>
      </c>
      <c r="K62" s="106">
        <f t="shared" si="4"/>
        <v>19.719999999999985</v>
      </c>
    </row>
    <row r="63" spans="2:11" ht="17.45" customHeight="1" x14ac:dyDescent="0.3">
      <c r="H63" s="101">
        <f t="shared" si="5"/>
        <v>55</v>
      </c>
      <c r="I63" s="101">
        <f t="shared" si="1"/>
        <v>2</v>
      </c>
      <c r="J63" s="106">
        <f t="shared" si="3"/>
        <v>0.18</v>
      </c>
      <c r="K63" s="106">
        <f t="shared" si="4"/>
        <v>19.899999999999984</v>
      </c>
    </row>
    <row r="64" spans="2:11" ht="17.45" customHeight="1" x14ac:dyDescent="0.3">
      <c r="H64" s="101">
        <f t="shared" si="5"/>
        <v>56</v>
      </c>
      <c r="I64" s="101">
        <f t="shared" si="1"/>
        <v>2</v>
      </c>
      <c r="J64" s="106">
        <f t="shared" si="3"/>
        <v>0.18</v>
      </c>
      <c r="K64" s="106">
        <f t="shared" si="4"/>
        <v>20.079999999999984</v>
      </c>
    </row>
    <row r="65" spans="8:11" ht="17.45" customHeight="1" x14ac:dyDescent="0.3">
      <c r="H65" s="101">
        <f t="shared" si="5"/>
        <v>57</v>
      </c>
      <c r="I65" s="101">
        <f t="shared" si="1"/>
        <v>2</v>
      </c>
      <c r="J65" s="106">
        <f t="shared" si="3"/>
        <v>0.18</v>
      </c>
      <c r="K65" s="106">
        <f t="shared" si="4"/>
        <v>20.259999999999984</v>
      </c>
    </row>
    <row r="66" spans="8:11" ht="17.45" customHeight="1" x14ac:dyDescent="0.3">
      <c r="H66" s="101">
        <f t="shared" si="5"/>
        <v>58</v>
      </c>
      <c r="I66" s="101">
        <f t="shared" si="1"/>
        <v>2</v>
      </c>
      <c r="J66" s="106">
        <f t="shared" si="3"/>
        <v>0.18</v>
      </c>
      <c r="K66" s="106">
        <f t="shared" si="4"/>
        <v>20.439999999999984</v>
      </c>
    </row>
    <row r="67" spans="8:11" ht="17.45" customHeight="1" x14ac:dyDescent="0.3">
      <c r="H67" s="101">
        <f t="shared" si="5"/>
        <v>59</v>
      </c>
      <c r="I67" s="101">
        <f t="shared" si="1"/>
        <v>2</v>
      </c>
      <c r="J67" s="106">
        <f t="shared" si="3"/>
        <v>0.18</v>
      </c>
      <c r="K67" s="106">
        <f t="shared" si="4"/>
        <v>20.619999999999983</v>
      </c>
    </row>
    <row r="68" spans="8:11" ht="17.45" customHeight="1" x14ac:dyDescent="0.3">
      <c r="H68" s="101">
        <f t="shared" si="5"/>
        <v>60</v>
      </c>
      <c r="I68" s="101">
        <f t="shared" si="1"/>
        <v>2</v>
      </c>
      <c r="J68" s="106">
        <f t="shared" si="3"/>
        <v>0.18</v>
      </c>
      <c r="K68" s="106">
        <f t="shared" si="4"/>
        <v>20.799999999999983</v>
      </c>
    </row>
    <row r="69" spans="8:11" ht="17.45" customHeight="1" x14ac:dyDescent="0.3">
      <c r="H69" s="101">
        <f t="shared" si="5"/>
        <v>61</v>
      </c>
      <c r="I69" s="101">
        <f t="shared" si="1"/>
        <v>2</v>
      </c>
      <c r="J69" s="106">
        <f t="shared" si="3"/>
        <v>0.18</v>
      </c>
      <c r="K69" s="106">
        <f t="shared" si="4"/>
        <v>20.979999999999983</v>
      </c>
    </row>
    <row r="70" spans="8:11" ht="17.45" customHeight="1" x14ac:dyDescent="0.3">
      <c r="H70" s="101">
        <f t="shared" si="5"/>
        <v>62</v>
      </c>
      <c r="I70" s="101">
        <f t="shared" si="1"/>
        <v>2</v>
      </c>
      <c r="J70" s="106">
        <f t="shared" si="3"/>
        <v>0.18</v>
      </c>
      <c r="K70" s="106">
        <f t="shared" si="4"/>
        <v>21.159999999999982</v>
      </c>
    </row>
    <row r="71" spans="8:11" ht="17.45" customHeight="1" x14ac:dyDescent="0.3">
      <c r="H71" s="101">
        <f t="shared" si="5"/>
        <v>63</v>
      </c>
      <c r="I71" s="101">
        <f t="shared" si="1"/>
        <v>2</v>
      </c>
      <c r="J71" s="106">
        <f t="shared" si="3"/>
        <v>0.18</v>
      </c>
      <c r="K71" s="106">
        <f t="shared" si="4"/>
        <v>21.339999999999982</v>
      </c>
    </row>
    <row r="72" spans="8:11" ht="17.45" customHeight="1" x14ac:dyDescent="0.3">
      <c r="H72" s="101">
        <f t="shared" si="5"/>
        <v>64</v>
      </c>
      <c r="I72" s="101">
        <f t="shared" si="1"/>
        <v>2</v>
      </c>
      <c r="J72" s="106">
        <f t="shared" si="3"/>
        <v>0.18</v>
      </c>
      <c r="K72" s="106">
        <f t="shared" si="4"/>
        <v>21.519999999999982</v>
      </c>
    </row>
    <row r="73" spans="8:11" ht="17.45" customHeight="1" x14ac:dyDescent="0.3">
      <c r="H73" s="101">
        <f t="shared" si="5"/>
        <v>65</v>
      </c>
      <c r="I73" s="101">
        <f t="shared" ref="I73:I136" si="6">MATCH(H73,$C$8:$C$13,1)</f>
        <v>2</v>
      </c>
      <c r="J73" s="106">
        <f t="shared" si="3"/>
        <v>0.18</v>
      </c>
      <c r="K73" s="106">
        <f t="shared" si="4"/>
        <v>21.699999999999982</v>
      </c>
    </row>
    <row r="74" spans="8:11" ht="17.45" customHeight="1" x14ac:dyDescent="0.3">
      <c r="H74" s="101">
        <f t="shared" si="5"/>
        <v>66</v>
      </c>
      <c r="I74" s="101">
        <f t="shared" si="6"/>
        <v>2</v>
      </c>
      <c r="J74" s="106">
        <f t="shared" ref="J74:J137" si="7">INDEX($E$8:$E$13,I73)</f>
        <v>0.18</v>
      </c>
      <c r="K74" s="106">
        <f t="shared" ref="K74:K137" si="8">K73+J74</f>
        <v>21.879999999999981</v>
      </c>
    </row>
    <row r="75" spans="8:11" ht="17.45" customHeight="1" x14ac:dyDescent="0.3">
      <c r="H75" s="101">
        <f t="shared" si="5"/>
        <v>67</v>
      </c>
      <c r="I75" s="101">
        <f t="shared" si="6"/>
        <v>2</v>
      </c>
      <c r="J75" s="106">
        <f t="shared" si="7"/>
        <v>0.18</v>
      </c>
      <c r="K75" s="106">
        <f t="shared" si="8"/>
        <v>22.059999999999981</v>
      </c>
    </row>
    <row r="76" spans="8:11" ht="17.45" customHeight="1" x14ac:dyDescent="0.3">
      <c r="H76" s="101">
        <f t="shared" si="5"/>
        <v>68</v>
      </c>
      <c r="I76" s="101">
        <f t="shared" si="6"/>
        <v>2</v>
      </c>
      <c r="J76" s="106">
        <f t="shared" si="7"/>
        <v>0.18</v>
      </c>
      <c r="K76" s="106">
        <f t="shared" si="8"/>
        <v>22.239999999999981</v>
      </c>
    </row>
    <row r="77" spans="8:11" ht="17.45" customHeight="1" x14ac:dyDescent="0.3">
      <c r="H77" s="101">
        <f t="shared" si="5"/>
        <v>69</v>
      </c>
      <c r="I77" s="101">
        <f t="shared" si="6"/>
        <v>2</v>
      </c>
      <c r="J77" s="106">
        <f t="shared" si="7"/>
        <v>0.18</v>
      </c>
      <c r="K77" s="106">
        <f t="shared" si="8"/>
        <v>22.41999999999998</v>
      </c>
    </row>
    <row r="78" spans="8:11" ht="17.45" customHeight="1" x14ac:dyDescent="0.3">
      <c r="H78" s="101">
        <f t="shared" si="5"/>
        <v>70</v>
      </c>
      <c r="I78" s="101">
        <f t="shared" si="6"/>
        <v>2</v>
      </c>
      <c r="J78" s="106">
        <f t="shared" si="7"/>
        <v>0.18</v>
      </c>
      <c r="K78" s="106">
        <f t="shared" si="8"/>
        <v>22.59999999999998</v>
      </c>
    </row>
    <row r="79" spans="8:11" ht="17.45" customHeight="1" x14ac:dyDescent="0.3">
      <c r="H79" s="101">
        <f t="shared" si="5"/>
        <v>71</v>
      </c>
      <c r="I79" s="101">
        <f t="shared" si="6"/>
        <v>2</v>
      </c>
      <c r="J79" s="106">
        <f t="shared" si="7"/>
        <v>0.18</v>
      </c>
      <c r="K79" s="106">
        <f t="shared" si="8"/>
        <v>22.77999999999998</v>
      </c>
    </row>
    <row r="80" spans="8:11" ht="17.45" customHeight="1" x14ac:dyDescent="0.3">
      <c r="H80" s="101">
        <f t="shared" si="5"/>
        <v>72</v>
      </c>
      <c r="I80" s="101">
        <f t="shared" si="6"/>
        <v>2</v>
      </c>
      <c r="J80" s="106">
        <f t="shared" si="7"/>
        <v>0.18</v>
      </c>
      <c r="K80" s="106">
        <f t="shared" si="8"/>
        <v>22.95999999999998</v>
      </c>
    </row>
    <row r="81" spans="8:11" ht="17.45" customHeight="1" x14ac:dyDescent="0.3">
      <c r="H81" s="101">
        <f t="shared" si="5"/>
        <v>73</v>
      </c>
      <c r="I81" s="101">
        <f t="shared" si="6"/>
        <v>2</v>
      </c>
      <c r="J81" s="106">
        <f t="shared" si="7"/>
        <v>0.18</v>
      </c>
      <c r="K81" s="106">
        <f t="shared" si="8"/>
        <v>23.139999999999979</v>
      </c>
    </row>
    <row r="82" spans="8:11" ht="17.45" customHeight="1" x14ac:dyDescent="0.3">
      <c r="H82" s="101">
        <f t="shared" si="5"/>
        <v>74</v>
      </c>
      <c r="I82" s="101">
        <f t="shared" si="6"/>
        <v>2</v>
      </c>
      <c r="J82" s="106">
        <f t="shared" si="7"/>
        <v>0.18</v>
      </c>
      <c r="K82" s="106">
        <f t="shared" si="8"/>
        <v>23.319999999999979</v>
      </c>
    </row>
    <row r="83" spans="8:11" ht="17.45" customHeight="1" x14ac:dyDescent="0.3">
      <c r="H83" s="101">
        <f t="shared" si="5"/>
        <v>75</v>
      </c>
      <c r="I83" s="101">
        <f t="shared" si="6"/>
        <v>2</v>
      </c>
      <c r="J83" s="106">
        <f t="shared" si="7"/>
        <v>0.18</v>
      </c>
      <c r="K83" s="106">
        <f t="shared" si="8"/>
        <v>23.499999999999979</v>
      </c>
    </row>
    <row r="84" spans="8:11" ht="17.45" customHeight="1" x14ac:dyDescent="0.3">
      <c r="H84" s="101">
        <f t="shared" si="5"/>
        <v>76</v>
      </c>
      <c r="I84" s="101">
        <f t="shared" si="6"/>
        <v>2</v>
      </c>
      <c r="J84" s="106">
        <f t="shared" si="7"/>
        <v>0.18</v>
      </c>
      <c r="K84" s="106">
        <f t="shared" si="8"/>
        <v>23.679999999999978</v>
      </c>
    </row>
    <row r="85" spans="8:11" ht="17.45" customHeight="1" x14ac:dyDescent="0.3">
      <c r="H85" s="101">
        <f t="shared" si="5"/>
        <v>77</v>
      </c>
      <c r="I85" s="101">
        <f t="shared" si="6"/>
        <v>2</v>
      </c>
      <c r="J85" s="106">
        <f t="shared" si="7"/>
        <v>0.18</v>
      </c>
      <c r="K85" s="106">
        <f t="shared" si="8"/>
        <v>23.859999999999978</v>
      </c>
    </row>
    <row r="86" spans="8:11" ht="17.45" customHeight="1" x14ac:dyDescent="0.3">
      <c r="H86" s="101">
        <f t="shared" si="5"/>
        <v>78</v>
      </c>
      <c r="I86" s="101">
        <f t="shared" si="6"/>
        <v>2</v>
      </c>
      <c r="J86" s="106">
        <f t="shared" si="7"/>
        <v>0.18</v>
      </c>
      <c r="K86" s="106">
        <f t="shared" si="8"/>
        <v>24.039999999999978</v>
      </c>
    </row>
    <row r="87" spans="8:11" ht="17.45" customHeight="1" x14ac:dyDescent="0.3">
      <c r="H87" s="101">
        <f t="shared" ref="H87:H150" si="9">H86+1</f>
        <v>79</v>
      </c>
      <c r="I87" s="101">
        <f t="shared" si="6"/>
        <v>2</v>
      </c>
      <c r="J87" s="106">
        <f t="shared" si="7"/>
        <v>0.18</v>
      </c>
      <c r="K87" s="106">
        <f t="shared" si="8"/>
        <v>24.219999999999978</v>
      </c>
    </row>
    <row r="88" spans="8:11" ht="17.45" customHeight="1" x14ac:dyDescent="0.3">
      <c r="H88" s="101">
        <f t="shared" si="9"/>
        <v>80</v>
      </c>
      <c r="I88" s="101">
        <f t="shared" si="6"/>
        <v>2</v>
      </c>
      <c r="J88" s="106">
        <f t="shared" si="7"/>
        <v>0.18</v>
      </c>
      <c r="K88" s="106">
        <f t="shared" si="8"/>
        <v>24.399999999999977</v>
      </c>
    </row>
    <row r="89" spans="8:11" ht="17.45" customHeight="1" x14ac:dyDescent="0.3">
      <c r="H89" s="101">
        <f t="shared" si="9"/>
        <v>81</v>
      </c>
      <c r="I89" s="101">
        <f t="shared" si="6"/>
        <v>2</v>
      </c>
      <c r="J89" s="106">
        <f t="shared" si="7"/>
        <v>0.18</v>
      </c>
      <c r="K89" s="106">
        <f t="shared" si="8"/>
        <v>24.579999999999977</v>
      </c>
    </row>
    <row r="90" spans="8:11" ht="17.45" customHeight="1" x14ac:dyDescent="0.3">
      <c r="H90" s="101">
        <f t="shared" si="9"/>
        <v>82</v>
      </c>
      <c r="I90" s="101">
        <f t="shared" si="6"/>
        <v>2</v>
      </c>
      <c r="J90" s="106">
        <f t="shared" si="7"/>
        <v>0.18</v>
      </c>
      <c r="K90" s="106">
        <f t="shared" si="8"/>
        <v>24.759999999999977</v>
      </c>
    </row>
    <row r="91" spans="8:11" ht="17.45" customHeight="1" x14ac:dyDescent="0.3">
      <c r="H91" s="101">
        <f t="shared" si="9"/>
        <v>83</v>
      </c>
      <c r="I91" s="101">
        <f t="shared" si="6"/>
        <v>2</v>
      </c>
      <c r="J91" s="106">
        <f t="shared" si="7"/>
        <v>0.18</v>
      </c>
      <c r="K91" s="106">
        <f t="shared" si="8"/>
        <v>24.939999999999976</v>
      </c>
    </row>
    <row r="92" spans="8:11" ht="17.45" customHeight="1" x14ac:dyDescent="0.3">
      <c r="H92" s="101">
        <f t="shared" si="9"/>
        <v>84</v>
      </c>
      <c r="I92" s="101">
        <f t="shared" si="6"/>
        <v>2</v>
      </c>
      <c r="J92" s="106">
        <f t="shared" si="7"/>
        <v>0.18</v>
      </c>
      <c r="K92" s="106">
        <f t="shared" si="8"/>
        <v>25.119999999999976</v>
      </c>
    </row>
    <row r="93" spans="8:11" ht="17.45" customHeight="1" x14ac:dyDescent="0.3">
      <c r="H93" s="101">
        <f t="shared" si="9"/>
        <v>85</v>
      </c>
      <c r="I93" s="101">
        <f t="shared" si="6"/>
        <v>2</v>
      </c>
      <c r="J93" s="106">
        <f t="shared" si="7"/>
        <v>0.18</v>
      </c>
      <c r="K93" s="106">
        <f t="shared" si="8"/>
        <v>25.299999999999976</v>
      </c>
    </row>
    <row r="94" spans="8:11" ht="17.45" customHeight="1" x14ac:dyDescent="0.3">
      <c r="H94" s="101">
        <f t="shared" si="9"/>
        <v>86</v>
      </c>
      <c r="I94" s="101">
        <f t="shared" si="6"/>
        <v>2</v>
      </c>
      <c r="J94" s="106">
        <f t="shared" si="7"/>
        <v>0.18</v>
      </c>
      <c r="K94" s="106">
        <f t="shared" si="8"/>
        <v>25.479999999999976</v>
      </c>
    </row>
    <row r="95" spans="8:11" ht="17.45" customHeight="1" x14ac:dyDescent="0.3">
      <c r="H95" s="101">
        <f t="shared" si="9"/>
        <v>87</v>
      </c>
      <c r="I95" s="101">
        <f t="shared" si="6"/>
        <v>2</v>
      </c>
      <c r="J95" s="106">
        <f t="shared" si="7"/>
        <v>0.18</v>
      </c>
      <c r="K95" s="106">
        <f t="shared" si="8"/>
        <v>25.659999999999975</v>
      </c>
    </row>
    <row r="96" spans="8:11" ht="17.45" customHeight="1" x14ac:dyDescent="0.3">
      <c r="H96" s="101">
        <f t="shared" si="9"/>
        <v>88</v>
      </c>
      <c r="I96" s="101">
        <f t="shared" si="6"/>
        <v>2</v>
      </c>
      <c r="J96" s="106">
        <f t="shared" si="7"/>
        <v>0.18</v>
      </c>
      <c r="K96" s="106">
        <f t="shared" si="8"/>
        <v>25.839999999999975</v>
      </c>
    </row>
    <row r="97" spans="8:11" ht="17.45" customHeight="1" x14ac:dyDescent="0.3">
      <c r="H97" s="101">
        <f t="shared" si="9"/>
        <v>89</v>
      </c>
      <c r="I97" s="101">
        <f t="shared" si="6"/>
        <v>2</v>
      </c>
      <c r="J97" s="106">
        <f t="shared" si="7"/>
        <v>0.18</v>
      </c>
      <c r="K97" s="106">
        <f t="shared" si="8"/>
        <v>26.019999999999975</v>
      </c>
    </row>
    <row r="98" spans="8:11" ht="17.45" customHeight="1" x14ac:dyDescent="0.3">
      <c r="H98" s="101">
        <f t="shared" si="9"/>
        <v>90</v>
      </c>
      <c r="I98" s="101">
        <f t="shared" si="6"/>
        <v>2</v>
      </c>
      <c r="J98" s="106">
        <f t="shared" si="7"/>
        <v>0.18</v>
      </c>
      <c r="K98" s="106">
        <f t="shared" si="8"/>
        <v>26.199999999999974</v>
      </c>
    </row>
    <row r="99" spans="8:11" ht="17.45" customHeight="1" x14ac:dyDescent="0.3">
      <c r="H99" s="101">
        <f t="shared" si="9"/>
        <v>91</v>
      </c>
      <c r="I99" s="101">
        <f t="shared" si="6"/>
        <v>2</v>
      </c>
      <c r="J99" s="106">
        <f t="shared" si="7"/>
        <v>0.18</v>
      </c>
      <c r="K99" s="106">
        <f t="shared" si="8"/>
        <v>26.379999999999974</v>
      </c>
    </row>
    <row r="100" spans="8:11" ht="17.45" customHeight="1" x14ac:dyDescent="0.3">
      <c r="H100" s="101">
        <f t="shared" si="9"/>
        <v>92</v>
      </c>
      <c r="I100" s="101">
        <f t="shared" si="6"/>
        <v>2</v>
      </c>
      <c r="J100" s="106">
        <f t="shared" si="7"/>
        <v>0.18</v>
      </c>
      <c r="K100" s="106">
        <f t="shared" si="8"/>
        <v>26.559999999999974</v>
      </c>
    </row>
    <row r="101" spans="8:11" ht="17.45" customHeight="1" x14ac:dyDescent="0.3">
      <c r="H101" s="101">
        <f t="shared" si="9"/>
        <v>93</v>
      </c>
      <c r="I101" s="101">
        <f t="shared" si="6"/>
        <v>2</v>
      </c>
      <c r="J101" s="106">
        <f t="shared" si="7"/>
        <v>0.18</v>
      </c>
      <c r="K101" s="106">
        <f t="shared" si="8"/>
        <v>26.739999999999974</v>
      </c>
    </row>
    <row r="102" spans="8:11" ht="17.45" customHeight="1" x14ac:dyDescent="0.3">
      <c r="H102" s="101">
        <f t="shared" si="9"/>
        <v>94</v>
      </c>
      <c r="I102" s="101">
        <f t="shared" si="6"/>
        <v>2</v>
      </c>
      <c r="J102" s="106">
        <f t="shared" si="7"/>
        <v>0.18</v>
      </c>
      <c r="K102" s="106">
        <f t="shared" si="8"/>
        <v>26.919999999999973</v>
      </c>
    </row>
    <row r="103" spans="8:11" ht="17.45" customHeight="1" x14ac:dyDescent="0.3">
      <c r="H103" s="101">
        <f t="shared" si="9"/>
        <v>95</v>
      </c>
      <c r="I103" s="101">
        <f t="shared" si="6"/>
        <v>2</v>
      </c>
      <c r="J103" s="106">
        <f t="shared" si="7"/>
        <v>0.18</v>
      </c>
      <c r="K103" s="106">
        <f t="shared" si="8"/>
        <v>27.099999999999973</v>
      </c>
    </row>
    <row r="104" spans="8:11" ht="17.45" customHeight="1" x14ac:dyDescent="0.3">
      <c r="H104" s="101">
        <f t="shared" si="9"/>
        <v>96</v>
      </c>
      <c r="I104" s="101">
        <f t="shared" si="6"/>
        <v>2</v>
      </c>
      <c r="J104" s="106">
        <f t="shared" si="7"/>
        <v>0.18</v>
      </c>
      <c r="K104" s="106">
        <f t="shared" si="8"/>
        <v>27.279999999999973</v>
      </c>
    </row>
    <row r="105" spans="8:11" ht="17.45" customHeight="1" x14ac:dyDescent="0.3">
      <c r="H105" s="101">
        <f t="shared" si="9"/>
        <v>97</v>
      </c>
      <c r="I105" s="101">
        <f t="shared" si="6"/>
        <v>2</v>
      </c>
      <c r="J105" s="106">
        <f t="shared" si="7"/>
        <v>0.18</v>
      </c>
      <c r="K105" s="106">
        <f t="shared" si="8"/>
        <v>27.459999999999972</v>
      </c>
    </row>
    <row r="106" spans="8:11" ht="17.45" customHeight="1" x14ac:dyDescent="0.3">
      <c r="H106" s="101">
        <f t="shared" si="9"/>
        <v>98</v>
      </c>
      <c r="I106" s="101">
        <f t="shared" si="6"/>
        <v>2</v>
      </c>
      <c r="J106" s="106">
        <f t="shared" si="7"/>
        <v>0.18</v>
      </c>
      <c r="K106" s="106">
        <f t="shared" si="8"/>
        <v>27.639999999999972</v>
      </c>
    </row>
    <row r="107" spans="8:11" ht="17.45" customHeight="1" x14ac:dyDescent="0.3">
      <c r="H107" s="101">
        <f t="shared" si="9"/>
        <v>99</v>
      </c>
      <c r="I107" s="101">
        <f t="shared" si="6"/>
        <v>2</v>
      </c>
      <c r="J107" s="106">
        <f t="shared" si="7"/>
        <v>0.18</v>
      </c>
      <c r="K107" s="106">
        <f t="shared" si="8"/>
        <v>27.819999999999972</v>
      </c>
    </row>
    <row r="108" spans="8:11" ht="17.45" customHeight="1" x14ac:dyDescent="0.3">
      <c r="H108" s="101">
        <f t="shared" si="9"/>
        <v>100</v>
      </c>
      <c r="I108" s="101">
        <f t="shared" si="6"/>
        <v>2</v>
      </c>
      <c r="J108" s="106">
        <f t="shared" si="7"/>
        <v>0.18</v>
      </c>
      <c r="K108" s="106">
        <f t="shared" si="8"/>
        <v>27.999999999999972</v>
      </c>
    </row>
    <row r="109" spans="8:11" ht="17.45" customHeight="1" x14ac:dyDescent="0.3">
      <c r="H109" s="101">
        <f t="shared" si="9"/>
        <v>101</v>
      </c>
      <c r="I109" s="101">
        <f t="shared" si="6"/>
        <v>2</v>
      </c>
      <c r="J109" s="106">
        <f t="shared" si="7"/>
        <v>0.18</v>
      </c>
      <c r="K109" s="106">
        <f t="shared" si="8"/>
        <v>28.179999999999971</v>
      </c>
    </row>
    <row r="110" spans="8:11" ht="17.45" customHeight="1" x14ac:dyDescent="0.3">
      <c r="H110" s="101">
        <f t="shared" si="9"/>
        <v>102</v>
      </c>
      <c r="I110" s="101">
        <f t="shared" si="6"/>
        <v>2</v>
      </c>
      <c r="J110" s="106">
        <f t="shared" si="7"/>
        <v>0.18</v>
      </c>
      <c r="K110" s="106">
        <f t="shared" si="8"/>
        <v>28.359999999999971</v>
      </c>
    </row>
    <row r="111" spans="8:11" ht="17.45" customHeight="1" x14ac:dyDescent="0.3">
      <c r="H111" s="101">
        <f t="shared" si="9"/>
        <v>103</v>
      </c>
      <c r="I111" s="101">
        <f t="shared" si="6"/>
        <v>2</v>
      </c>
      <c r="J111" s="106">
        <f t="shared" si="7"/>
        <v>0.18</v>
      </c>
      <c r="K111" s="106">
        <f t="shared" si="8"/>
        <v>28.539999999999971</v>
      </c>
    </row>
    <row r="112" spans="8:11" ht="17.45" customHeight="1" x14ac:dyDescent="0.3">
      <c r="H112" s="101">
        <f t="shared" si="9"/>
        <v>104</v>
      </c>
      <c r="I112" s="101">
        <f t="shared" si="6"/>
        <v>2</v>
      </c>
      <c r="J112" s="106">
        <f t="shared" si="7"/>
        <v>0.18</v>
      </c>
      <c r="K112" s="106">
        <f t="shared" si="8"/>
        <v>28.71999999999997</v>
      </c>
    </row>
    <row r="113" spans="8:11" ht="17.45" customHeight="1" x14ac:dyDescent="0.3">
      <c r="H113" s="101">
        <f t="shared" si="9"/>
        <v>105</v>
      </c>
      <c r="I113" s="101">
        <f t="shared" si="6"/>
        <v>2</v>
      </c>
      <c r="J113" s="106">
        <f t="shared" si="7"/>
        <v>0.18</v>
      </c>
      <c r="K113" s="106">
        <f t="shared" si="8"/>
        <v>28.89999999999997</v>
      </c>
    </row>
    <row r="114" spans="8:11" ht="17.45" customHeight="1" x14ac:dyDescent="0.3">
      <c r="H114" s="101">
        <f t="shared" si="9"/>
        <v>106</v>
      </c>
      <c r="I114" s="101">
        <f t="shared" si="6"/>
        <v>2</v>
      </c>
      <c r="J114" s="106">
        <f t="shared" si="7"/>
        <v>0.18</v>
      </c>
      <c r="K114" s="106">
        <f t="shared" si="8"/>
        <v>29.07999999999997</v>
      </c>
    </row>
    <row r="115" spans="8:11" ht="17.45" customHeight="1" x14ac:dyDescent="0.3">
      <c r="H115" s="101">
        <f t="shared" si="9"/>
        <v>107</v>
      </c>
      <c r="I115" s="101">
        <f t="shared" si="6"/>
        <v>2</v>
      </c>
      <c r="J115" s="106">
        <f t="shared" si="7"/>
        <v>0.18</v>
      </c>
      <c r="K115" s="106">
        <f t="shared" si="8"/>
        <v>29.25999999999997</v>
      </c>
    </row>
    <row r="116" spans="8:11" ht="17.45" customHeight="1" x14ac:dyDescent="0.3">
      <c r="H116" s="101">
        <f t="shared" si="9"/>
        <v>108</v>
      </c>
      <c r="I116" s="101">
        <f t="shared" si="6"/>
        <v>2</v>
      </c>
      <c r="J116" s="106">
        <f t="shared" si="7"/>
        <v>0.18</v>
      </c>
      <c r="K116" s="106">
        <f t="shared" si="8"/>
        <v>29.439999999999969</v>
      </c>
    </row>
    <row r="117" spans="8:11" ht="17.45" customHeight="1" x14ac:dyDescent="0.3">
      <c r="H117" s="101">
        <f t="shared" si="9"/>
        <v>109</v>
      </c>
      <c r="I117" s="101">
        <f t="shared" si="6"/>
        <v>2</v>
      </c>
      <c r="J117" s="106">
        <f t="shared" si="7"/>
        <v>0.18</v>
      </c>
      <c r="K117" s="106">
        <f t="shared" si="8"/>
        <v>29.619999999999969</v>
      </c>
    </row>
    <row r="118" spans="8:11" ht="17.45" customHeight="1" x14ac:dyDescent="0.3">
      <c r="H118" s="101">
        <f t="shared" si="9"/>
        <v>110</v>
      </c>
      <c r="I118" s="101">
        <f t="shared" si="6"/>
        <v>2</v>
      </c>
      <c r="J118" s="106">
        <f t="shared" si="7"/>
        <v>0.18</v>
      </c>
      <c r="K118" s="106">
        <f t="shared" si="8"/>
        <v>29.799999999999969</v>
      </c>
    </row>
    <row r="119" spans="8:11" ht="17.45" customHeight="1" x14ac:dyDescent="0.3">
      <c r="H119" s="101">
        <f t="shared" si="9"/>
        <v>111</v>
      </c>
      <c r="I119" s="101">
        <f t="shared" si="6"/>
        <v>2</v>
      </c>
      <c r="J119" s="106">
        <f t="shared" si="7"/>
        <v>0.18</v>
      </c>
      <c r="K119" s="106">
        <f t="shared" si="8"/>
        <v>29.979999999999968</v>
      </c>
    </row>
    <row r="120" spans="8:11" ht="17.45" customHeight="1" x14ac:dyDescent="0.3">
      <c r="H120" s="101">
        <f t="shared" si="9"/>
        <v>112</v>
      </c>
      <c r="I120" s="101">
        <f t="shared" si="6"/>
        <v>2</v>
      </c>
      <c r="J120" s="106">
        <f t="shared" si="7"/>
        <v>0.18</v>
      </c>
      <c r="K120" s="106">
        <f t="shared" si="8"/>
        <v>30.159999999999968</v>
      </c>
    </row>
    <row r="121" spans="8:11" ht="17.45" customHeight="1" x14ac:dyDescent="0.3">
      <c r="H121" s="101">
        <f t="shared" si="9"/>
        <v>113</v>
      </c>
      <c r="I121" s="101">
        <f t="shared" si="6"/>
        <v>2</v>
      </c>
      <c r="J121" s="106">
        <f t="shared" si="7"/>
        <v>0.18</v>
      </c>
      <c r="K121" s="106">
        <f t="shared" si="8"/>
        <v>30.339999999999968</v>
      </c>
    </row>
    <row r="122" spans="8:11" ht="17.45" customHeight="1" x14ac:dyDescent="0.3">
      <c r="H122" s="101">
        <f t="shared" si="9"/>
        <v>114</v>
      </c>
      <c r="I122" s="101">
        <f t="shared" si="6"/>
        <v>2</v>
      </c>
      <c r="J122" s="106">
        <f t="shared" si="7"/>
        <v>0.18</v>
      </c>
      <c r="K122" s="106">
        <f t="shared" si="8"/>
        <v>30.519999999999968</v>
      </c>
    </row>
    <row r="123" spans="8:11" ht="17.45" customHeight="1" x14ac:dyDescent="0.3">
      <c r="H123" s="101">
        <f t="shared" si="9"/>
        <v>115</v>
      </c>
      <c r="I123" s="101">
        <f t="shared" si="6"/>
        <v>2</v>
      </c>
      <c r="J123" s="106">
        <f t="shared" si="7"/>
        <v>0.18</v>
      </c>
      <c r="K123" s="106">
        <f t="shared" si="8"/>
        <v>30.699999999999967</v>
      </c>
    </row>
    <row r="124" spans="8:11" ht="17.45" customHeight="1" x14ac:dyDescent="0.3">
      <c r="H124" s="101">
        <f t="shared" si="9"/>
        <v>116</v>
      </c>
      <c r="I124" s="101">
        <f t="shared" si="6"/>
        <v>2</v>
      </c>
      <c r="J124" s="106">
        <f t="shared" si="7"/>
        <v>0.18</v>
      </c>
      <c r="K124" s="106">
        <f t="shared" si="8"/>
        <v>30.879999999999967</v>
      </c>
    </row>
    <row r="125" spans="8:11" ht="17.45" customHeight="1" x14ac:dyDescent="0.3">
      <c r="H125" s="101">
        <f t="shared" si="9"/>
        <v>117</v>
      </c>
      <c r="I125" s="101">
        <f t="shared" si="6"/>
        <v>2</v>
      </c>
      <c r="J125" s="106">
        <f t="shared" si="7"/>
        <v>0.18</v>
      </c>
      <c r="K125" s="106">
        <f t="shared" si="8"/>
        <v>31.059999999999967</v>
      </c>
    </row>
    <row r="126" spans="8:11" ht="17.45" customHeight="1" x14ac:dyDescent="0.3">
      <c r="H126" s="101">
        <f t="shared" si="9"/>
        <v>118</v>
      </c>
      <c r="I126" s="101">
        <f t="shared" si="6"/>
        <v>2</v>
      </c>
      <c r="J126" s="106">
        <f t="shared" si="7"/>
        <v>0.18</v>
      </c>
      <c r="K126" s="106">
        <f t="shared" si="8"/>
        <v>31.239999999999966</v>
      </c>
    </row>
    <row r="127" spans="8:11" ht="17.45" customHeight="1" x14ac:dyDescent="0.3">
      <c r="H127" s="101">
        <f t="shared" si="9"/>
        <v>119</v>
      </c>
      <c r="I127" s="101">
        <f t="shared" si="6"/>
        <v>2</v>
      </c>
      <c r="J127" s="106">
        <f t="shared" si="7"/>
        <v>0.18</v>
      </c>
      <c r="K127" s="106">
        <f t="shared" si="8"/>
        <v>31.419999999999966</v>
      </c>
    </row>
    <row r="128" spans="8:11" ht="17.45" customHeight="1" x14ac:dyDescent="0.3">
      <c r="H128" s="101">
        <f t="shared" si="9"/>
        <v>120</v>
      </c>
      <c r="I128" s="101">
        <f t="shared" si="6"/>
        <v>2</v>
      </c>
      <c r="J128" s="106">
        <f t="shared" si="7"/>
        <v>0.18</v>
      </c>
      <c r="K128" s="106">
        <f t="shared" si="8"/>
        <v>31.599999999999966</v>
      </c>
    </row>
    <row r="129" spans="8:11" ht="17.45" customHeight="1" x14ac:dyDescent="0.3">
      <c r="H129" s="101">
        <f t="shared" si="9"/>
        <v>121</v>
      </c>
      <c r="I129" s="101">
        <f t="shared" si="6"/>
        <v>2</v>
      </c>
      <c r="J129" s="106">
        <f t="shared" si="7"/>
        <v>0.18</v>
      </c>
      <c r="K129" s="106">
        <f t="shared" si="8"/>
        <v>31.779999999999966</v>
      </c>
    </row>
    <row r="130" spans="8:11" ht="17.45" customHeight="1" x14ac:dyDescent="0.3">
      <c r="H130" s="101">
        <f t="shared" si="9"/>
        <v>122</v>
      </c>
      <c r="I130" s="101">
        <f t="shared" si="6"/>
        <v>2</v>
      </c>
      <c r="J130" s="106">
        <f t="shared" si="7"/>
        <v>0.18</v>
      </c>
      <c r="K130" s="106">
        <f t="shared" si="8"/>
        <v>31.959999999999965</v>
      </c>
    </row>
    <row r="131" spans="8:11" ht="17.45" customHeight="1" x14ac:dyDescent="0.3">
      <c r="H131" s="101">
        <f t="shared" si="9"/>
        <v>123</v>
      </c>
      <c r="I131" s="101">
        <f t="shared" si="6"/>
        <v>2</v>
      </c>
      <c r="J131" s="106">
        <f t="shared" si="7"/>
        <v>0.18</v>
      </c>
      <c r="K131" s="106">
        <f t="shared" si="8"/>
        <v>32.139999999999965</v>
      </c>
    </row>
    <row r="132" spans="8:11" ht="17.45" customHeight="1" x14ac:dyDescent="0.3">
      <c r="H132" s="101">
        <f t="shared" si="9"/>
        <v>124</v>
      </c>
      <c r="I132" s="101">
        <f t="shared" si="6"/>
        <v>2</v>
      </c>
      <c r="J132" s="106">
        <f t="shared" si="7"/>
        <v>0.18</v>
      </c>
      <c r="K132" s="106">
        <f t="shared" si="8"/>
        <v>32.319999999999965</v>
      </c>
    </row>
    <row r="133" spans="8:11" ht="17.45" customHeight="1" x14ac:dyDescent="0.3">
      <c r="H133" s="101">
        <f t="shared" si="9"/>
        <v>125</v>
      </c>
      <c r="I133" s="101">
        <f t="shared" si="6"/>
        <v>2</v>
      </c>
      <c r="J133" s="106">
        <f t="shared" si="7"/>
        <v>0.18</v>
      </c>
      <c r="K133" s="106">
        <f t="shared" si="8"/>
        <v>32.499999999999964</v>
      </c>
    </row>
    <row r="134" spans="8:11" ht="17.45" customHeight="1" x14ac:dyDescent="0.3">
      <c r="H134" s="101">
        <f t="shared" si="9"/>
        <v>126</v>
      </c>
      <c r="I134" s="101">
        <f t="shared" si="6"/>
        <v>2</v>
      </c>
      <c r="J134" s="106">
        <f t="shared" si="7"/>
        <v>0.18</v>
      </c>
      <c r="K134" s="106">
        <f t="shared" si="8"/>
        <v>32.679999999999964</v>
      </c>
    </row>
    <row r="135" spans="8:11" ht="17.45" customHeight="1" x14ac:dyDescent="0.3">
      <c r="H135" s="101">
        <f t="shared" si="9"/>
        <v>127</v>
      </c>
      <c r="I135" s="101">
        <f t="shared" si="6"/>
        <v>2</v>
      </c>
      <c r="J135" s="106">
        <f t="shared" si="7"/>
        <v>0.18</v>
      </c>
      <c r="K135" s="106">
        <f t="shared" si="8"/>
        <v>32.859999999999964</v>
      </c>
    </row>
    <row r="136" spans="8:11" ht="17.45" customHeight="1" x14ac:dyDescent="0.3">
      <c r="H136" s="101">
        <f t="shared" si="9"/>
        <v>128</v>
      </c>
      <c r="I136" s="101">
        <f t="shared" si="6"/>
        <v>2</v>
      </c>
      <c r="J136" s="106">
        <f t="shared" si="7"/>
        <v>0.18</v>
      </c>
      <c r="K136" s="106">
        <f t="shared" si="8"/>
        <v>33.039999999999964</v>
      </c>
    </row>
    <row r="137" spans="8:11" ht="17.45" customHeight="1" x14ac:dyDescent="0.3">
      <c r="H137" s="101">
        <f t="shared" si="9"/>
        <v>129</v>
      </c>
      <c r="I137" s="101">
        <f t="shared" ref="I137:I200" si="10">MATCH(H137,$C$8:$C$13,1)</f>
        <v>2</v>
      </c>
      <c r="J137" s="106">
        <f t="shared" si="7"/>
        <v>0.18</v>
      </c>
      <c r="K137" s="106">
        <f t="shared" si="8"/>
        <v>33.219999999999963</v>
      </c>
    </row>
    <row r="138" spans="8:11" ht="17.45" customHeight="1" x14ac:dyDescent="0.3">
      <c r="H138" s="101">
        <f t="shared" si="9"/>
        <v>130</v>
      </c>
      <c r="I138" s="101">
        <f t="shared" si="10"/>
        <v>2</v>
      </c>
      <c r="J138" s="106">
        <f t="shared" ref="J138:J201" si="11">INDEX($E$8:$E$13,I137)</f>
        <v>0.18</v>
      </c>
      <c r="K138" s="106">
        <f t="shared" ref="K138:K201" si="12">K137+J138</f>
        <v>33.399999999999963</v>
      </c>
    </row>
    <row r="139" spans="8:11" ht="17.45" customHeight="1" x14ac:dyDescent="0.3">
      <c r="H139" s="101">
        <f t="shared" si="9"/>
        <v>131</v>
      </c>
      <c r="I139" s="101">
        <f t="shared" si="10"/>
        <v>2</v>
      </c>
      <c r="J139" s="106">
        <f t="shared" si="11"/>
        <v>0.18</v>
      </c>
      <c r="K139" s="106">
        <f t="shared" si="12"/>
        <v>33.579999999999963</v>
      </c>
    </row>
    <row r="140" spans="8:11" ht="17.45" customHeight="1" x14ac:dyDescent="0.3">
      <c r="H140" s="101">
        <f t="shared" si="9"/>
        <v>132</v>
      </c>
      <c r="I140" s="101">
        <f t="shared" si="10"/>
        <v>2</v>
      </c>
      <c r="J140" s="106">
        <f t="shared" si="11"/>
        <v>0.18</v>
      </c>
      <c r="K140" s="106">
        <f t="shared" si="12"/>
        <v>33.759999999999962</v>
      </c>
    </row>
    <row r="141" spans="8:11" ht="17.45" customHeight="1" x14ac:dyDescent="0.3">
      <c r="H141" s="101">
        <f t="shared" si="9"/>
        <v>133</v>
      </c>
      <c r="I141" s="101">
        <f t="shared" si="10"/>
        <v>2</v>
      </c>
      <c r="J141" s="106">
        <f t="shared" si="11"/>
        <v>0.18</v>
      </c>
      <c r="K141" s="106">
        <f t="shared" si="12"/>
        <v>33.939999999999962</v>
      </c>
    </row>
    <row r="142" spans="8:11" ht="17.45" customHeight="1" x14ac:dyDescent="0.3">
      <c r="H142" s="101">
        <f t="shared" si="9"/>
        <v>134</v>
      </c>
      <c r="I142" s="101">
        <f t="shared" si="10"/>
        <v>2</v>
      </c>
      <c r="J142" s="106">
        <f t="shared" si="11"/>
        <v>0.18</v>
      </c>
      <c r="K142" s="106">
        <f t="shared" si="12"/>
        <v>34.119999999999962</v>
      </c>
    </row>
    <row r="143" spans="8:11" ht="17.45" customHeight="1" x14ac:dyDescent="0.3">
      <c r="H143" s="101">
        <f t="shared" si="9"/>
        <v>135</v>
      </c>
      <c r="I143" s="101">
        <f t="shared" si="10"/>
        <v>2</v>
      </c>
      <c r="J143" s="106">
        <f t="shared" si="11"/>
        <v>0.18</v>
      </c>
      <c r="K143" s="106">
        <f t="shared" si="12"/>
        <v>34.299999999999962</v>
      </c>
    </row>
    <row r="144" spans="8:11" ht="17.45" customHeight="1" x14ac:dyDescent="0.3">
      <c r="H144" s="101">
        <f t="shared" si="9"/>
        <v>136</v>
      </c>
      <c r="I144" s="101">
        <f t="shared" si="10"/>
        <v>2</v>
      </c>
      <c r="J144" s="106">
        <f t="shared" si="11"/>
        <v>0.18</v>
      </c>
      <c r="K144" s="106">
        <f t="shared" si="12"/>
        <v>34.479999999999961</v>
      </c>
    </row>
    <row r="145" spans="8:11" ht="17.45" customHeight="1" x14ac:dyDescent="0.3">
      <c r="H145" s="101">
        <f t="shared" si="9"/>
        <v>137</v>
      </c>
      <c r="I145" s="101">
        <f t="shared" si="10"/>
        <v>2</v>
      </c>
      <c r="J145" s="106">
        <f t="shared" si="11"/>
        <v>0.18</v>
      </c>
      <c r="K145" s="106">
        <f t="shared" si="12"/>
        <v>34.659999999999961</v>
      </c>
    </row>
    <row r="146" spans="8:11" ht="17.45" customHeight="1" x14ac:dyDescent="0.3">
      <c r="H146" s="101">
        <f t="shared" si="9"/>
        <v>138</v>
      </c>
      <c r="I146" s="101">
        <f t="shared" si="10"/>
        <v>2</v>
      </c>
      <c r="J146" s="106">
        <f t="shared" si="11"/>
        <v>0.18</v>
      </c>
      <c r="K146" s="106">
        <f t="shared" si="12"/>
        <v>34.839999999999961</v>
      </c>
    </row>
    <row r="147" spans="8:11" ht="17.45" customHeight="1" x14ac:dyDescent="0.3">
      <c r="H147" s="101">
        <f t="shared" si="9"/>
        <v>139</v>
      </c>
      <c r="I147" s="101">
        <f t="shared" si="10"/>
        <v>2</v>
      </c>
      <c r="J147" s="106">
        <f t="shared" si="11"/>
        <v>0.18</v>
      </c>
      <c r="K147" s="106">
        <f t="shared" si="12"/>
        <v>35.01999999999996</v>
      </c>
    </row>
    <row r="148" spans="8:11" ht="17.45" customHeight="1" x14ac:dyDescent="0.3">
      <c r="H148" s="101">
        <f t="shared" si="9"/>
        <v>140</v>
      </c>
      <c r="I148" s="101">
        <f t="shared" si="10"/>
        <v>2</v>
      </c>
      <c r="J148" s="106">
        <f t="shared" si="11"/>
        <v>0.18</v>
      </c>
      <c r="K148" s="106">
        <f t="shared" si="12"/>
        <v>35.19999999999996</v>
      </c>
    </row>
    <row r="149" spans="8:11" ht="17.45" customHeight="1" x14ac:dyDescent="0.3">
      <c r="H149" s="101">
        <f t="shared" si="9"/>
        <v>141</v>
      </c>
      <c r="I149" s="101">
        <f t="shared" si="10"/>
        <v>2</v>
      </c>
      <c r="J149" s="106">
        <f t="shared" si="11"/>
        <v>0.18</v>
      </c>
      <c r="K149" s="106">
        <f t="shared" si="12"/>
        <v>35.37999999999996</v>
      </c>
    </row>
    <row r="150" spans="8:11" ht="17.45" customHeight="1" x14ac:dyDescent="0.3">
      <c r="H150" s="101">
        <f t="shared" si="9"/>
        <v>142</v>
      </c>
      <c r="I150" s="101">
        <f t="shared" si="10"/>
        <v>2</v>
      </c>
      <c r="J150" s="106">
        <f t="shared" si="11"/>
        <v>0.18</v>
      </c>
      <c r="K150" s="106">
        <f t="shared" si="12"/>
        <v>35.55999999999996</v>
      </c>
    </row>
    <row r="151" spans="8:11" ht="17.45" customHeight="1" x14ac:dyDescent="0.3">
      <c r="H151" s="101">
        <f t="shared" ref="H151:H214" si="13">H150+1</f>
        <v>143</v>
      </c>
      <c r="I151" s="101">
        <f t="shared" si="10"/>
        <v>2</v>
      </c>
      <c r="J151" s="106">
        <f t="shared" si="11"/>
        <v>0.18</v>
      </c>
      <c r="K151" s="106">
        <f t="shared" si="12"/>
        <v>35.739999999999959</v>
      </c>
    </row>
    <row r="152" spans="8:11" ht="17.45" customHeight="1" x14ac:dyDescent="0.3">
      <c r="H152" s="101">
        <f t="shared" si="13"/>
        <v>144</v>
      </c>
      <c r="I152" s="101">
        <f t="shared" si="10"/>
        <v>2</v>
      </c>
      <c r="J152" s="106">
        <f t="shared" si="11"/>
        <v>0.18</v>
      </c>
      <c r="K152" s="106">
        <f t="shared" si="12"/>
        <v>35.919999999999959</v>
      </c>
    </row>
    <row r="153" spans="8:11" ht="17.45" customHeight="1" x14ac:dyDescent="0.3">
      <c r="H153" s="101">
        <f t="shared" si="13"/>
        <v>145</v>
      </c>
      <c r="I153" s="101">
        <f t="shared" si="10"/>
        <v>2</v>
      </c>
      <c r="J153" s="106">
        <f t="shared" si="11"/>
        <v>0.18</v>
      </c>
      <c r="K153" s="106">
        <f t="shared" si="12"/>
        <v>36.099999999999959</v>
      </c>
    </row>
    <row r="154" spans="8:11" ht="17.45" customHeight="1" x14ac:dyDescent="0.3">
      <c r="H154" s="101">
        <f t="shared" si="13"/>
        <v>146</v>
      </c>
      <c r="I154" s="101">
        <f t="shared" si="10"/>
        <v>2</v>
      </c>
      <c r="J154" s="106">
        <f t="shared" si="11"/>
        <v>0.18</v>
      </c>
      <c r="K154" s="106">
        <f t="shared" si="12"/>
        <v>36.279999999999959</v>
      </c>
    </row>
    <row r="155" spans="8:11" ht="17.45" customHeight="1" x14ac:dyDescent="0.3">
      <c r="H155" s="101">
        <f t="shared" si="13"/>
        <v>147</v>
      </c>
      <c r="I155" s="101">
        <f t="shared" si="10"/>
        <v>2</v>
      </c>
      <c r="J155" s="106">
        <f t="shared" si="11"/>
        <v>0.18</v>
      </c>
      <c r="K155" s="106">
        <f t="shared" si="12"/>
        <v>36.459999999999958</v>
      </c>
    </row>
    <row r="156" spans="8:11" ht="17.45" customHeight="1" x14ac:dyDescent="0.3">
      <c r="H156" s="101">
        <f t="shared" si="13"/>
        <v>148</v>
      </c>
      <c r="I156" s="101">
        <f t="shared" si="10"/>
        <v>2</v>
      </c>
      <c r="J156" s="106">
        <f t="shared" si="11"/>
        <v>0.18</v>
      </c>
      <c r="K156" s="106">
        <f t="shared" si="12"/>
        <v>36.639999999999958</v>
      </c>
    </row>
    <row r="157" spans="8:11" ht="17.45" customHeight="1" x14ac:dyDescent="0.3">
      <c r="H157" s="101">
        <f t="shared" si="13"/>
        <v>149</v>
      </c>
      <c r="I157" s="101">
        <f t="shared" si="10"/>
        <v>2</v>
      </c>
      <c r="J157" s="106">
        <f t="shared" si="11"/>
        <v>0.18</v>
      </c>
      <c r="K157" s="106">
        <f t="shared" si="12"/>
        <v>36.819999999999958</v>
      </c>
    </row>
    <row r="158" spans="8:11" ht="17.45" customHeight="1" x14ac:dyDescent="0.3">
      <c r="H158" s="101">
        <f t="shared" si="13"/>
        <v>150</v>
      </c>
      <c r="I158" s="101">
        <f t="shared" si="10"/>
        <v>2</v>
      </c>
      <c r="J158" s="106">
        <f t="shared" si="11"/>
        <v>0.18</v>
      </c>
      <c r="K158" s="106">
        <f t="shared" si="12"/>
        <v>36.999999999999957</v>
      </c>
    </row>
    <row r="159" spans="8:11" ht="17.45" customHeight="1" x14ac:dyDescent="0.3">
      <c r="H159" s="101">
        <f t="shared" si="13"/>
        <v>151</v>
      </c>
      <c r="I159" s="101">
        <f t="shared" si="10"/>
        <v>2</v>
      </c>
      <c r="J159" s="106">
        <f t="shared" si="11"/>
        <v>0.18</v>
      </c>
      <c r="K159" s="106">
        <f t="shared" si="12"/>
        <v>37.179999999999957</v>
      </c>
    </row>
    <row r="160" spans="8:11" ht="17.45" customHeight="1" x14ac:dyDescent="0.3">
      <c r="H160" s="101">
        <f t="shared" si="13"/>
        <v>152</v>
      </c>
      <c r="I160" s="101">
        <f t="shared" si="10"/>
        <v>2</v>
      </c>
      <c r="J160" s="106">
        <f t="shared" si="11"/>
        <v>0.18</v>
      </c>
      <c r="K160" s="106">
        <f t="shared" si="12"/>
        <v>37.359999999999957</v>
      </c>
    </row>
    <row r="161" spans="8:11" ht="17.45" customHeight="1" x14ac:dyDescent="0.3">
      <c r="H161" s="101">
        <f t="shared" si="13"/>
        <v>153</v>
      </c>
      <c r="I161" s="101">
        <f t="shared" si="10"/>
        <v>2</v>
      </c>
      <c r="J161" s="106">
        <f t="shared" si="11"/>
        <v>0.18</v>
      </c>
      <c r="K161" s="106">
        <f t="shared" si="12"/>
        <v>37.539999999999957</v>
      </c>
    </row>
    <row r="162" spans="8:11" ht="17.45" customHeight="1" x14ac:dyDescent="0.3">
      <c r="H162" s="101">
        <f t="shared" si="13"/>
        <v>154</v>
      </c>
      <c r="I162" s="101">
        <f t="shared" si="10"/>
        <v>2</v>
      </c>
      <c r="J162" s="106">
        <f t="shared" si="11"/>
        <v>0.18</v>
      </c>
      <c r="K162" s="106">
        <f t="shared" si="12"/>
        <v>37.719999999999956</v>
      </c>
    </row>
    <row r="163" spans="8:11" ht="17.45" customHeight="1" x14ac:dyDescent="0.3">
      <c r="H163" s="101">
        <f t="shared" si="13"/>
        <v>155</v>
      </c>
      <c r="I163" s="101">
        <f t="shared" si="10"/>
        <v>2</v>
      </c>
      <c r="J163" s="106">
        <f t="shared" si="11"/>
        <v>0.18</v>
      </c>
      <c r="K163" s="106">
        <f t="shared" si="12"/>
        <v>37.899999999999956</v>
      </c>
    </row>
    <row r="164" spans="8:11" ht="17.45" customHeight="1" x14ac:dyDescent="0.3">
      <c r="H164" s="101">
        <f t="shared" si="13"/>
        <v>156</v>
      </c>
      <c r="I164" s="101">
        <f t="shared" si="10"/>
        <v>2</v>
      </c>
      <c r="J164" s="106">
        <f t="shared" si="11"/>
        <v>0.18</v>
      </c>
      <c r="K164" s="106">
        <f t="shared" si="12"/>
        <v>38.079999999999956</v>
      </c>
    </row>
    <row r="165" spans="8:11" ht="17.45" customHeight="1" x14ac:dyDescent="0.3">
      <c r="H165" s="101">
        <f t="shared" si="13"/>
        <v>157</v>
      </c>
      <c r="I165" s="101">
        <f t="shared" si="10"/>
        <v>2</v>
      </c>
      <c r="J165" s="106">
        <f t="shared" si="11"/>
        <v>0.18</v>
      </c>
      <c r="K165" s="106">
        <f t="shared" si="12"/>
        <v>38.259999999999955</v>
      </c>
    </row>
    <row r="166" spans="8:11" ht="17.45" customHeight="1" x14ac:dyDescent="0.3">
      <c r="H166" s="101">
        <f t="shared" si="13"/>
        <v>158</v>
      </c>
      <c r="I166" s="101">
        <f t="shared" si="10"/>
        <v>2</v>
      </c>
      <c r="J166" s="106">
        <f t="shared" si="11"/>
        <v>0.18</v>
      </c>
      <c r="K166" s="106">
        <f t="shared" si="12"/>
        <v>38.439999999999955</v>
      </c>
    </row>
    <row r="167" spans="8:11" ht="17.45" customHeight="1" x14ac:dyDescent="0.3">
      <c r="H167" s="101">
        <f t="shared" si="13"/>
        <v>159</v>
      </c>
      <c r="I167" s="101">
        <f t="shared" si="10"/>
        <v>2</v>
      </c>
      <c r="J167" s="106">
        <f t="shared" si="11"/>
        <v>0.18</v>
      </c>
      <c r="K167" s="106">
        <f t="shared" si="12"/>
        <v>38.619999999999955</v>
      </c>
    </row>
    <row r="168" spans="8:11" ht="17.45" customHeight="1" x14ac:dyDescent="0.3">
      <c r="H168" s="101">
        <f t="shared" si="13"/>
        <v>160</v>
      </c>
      <c r="I168" s="101">
        <f t="shared" si="10"/>
        <v>2</v>
      </c>
      <c r="J168" s="106">
        <f t="shared" si="11"/>
        <v>0.18</v>
      </c>
      <c r="K168" s="106">
        <f t="shared" si="12"/>
        <v>38.799999999999955</v>
      </c>
    </row>
    <row r="169" spans="8:11" ht="17.45" customHeight="1" x14ac:dyDescent="0.3">
      <c r="H169" s="101">
        <f t="shared" si="13"/>
        <v>161</v>
      </c>
      <c r="I169" s="101">
        <f t="shared" si="10"/>
        <v>2</v>
      </c>
      <c r="J169" s="106">
        <f t="shared" si="11"/>
        <v>0.18</v>
      </c>
      <c r="K169" s="106">
        <f t="shared" si="12"/>
        <v>38.979999999999954</v>
      </c>
    </row>
    <row r="170" spans="8:11" ht="17.45" customHeight="1" x14ac:dyDescent="0.3">
      <c r="H170" s="101">
        <f t="shared" si="13"/>
        <v>162</v>
      </c>
      <c r="I170" s="101">
        <f t="shared" si="10"/>
        <v>2</v>
      </c>
      <c r="J170" s="106">
        <f t="shared" si="11"/>
        <v>0.18</v>
      </c>
      <c r="K170" s="106">
        <f t="shared" si="12"/>
        <v>39.159999999999954</v>
      </c>
    </row>
    <row r="171" spans="8:11" ht="17.45" customHeight="1" x14ac:dyDescent="0.3">
      <c r="H171" s="101">
        <f t="shared" si="13"/>
        <v>163</v>
      </c>
      <c r="I171" s="101">
        <f t="shared" si="10"/>
        <v>2</v>
      </c>
      <c r="J171" s="106">
        <f t="shared" si="11"/>
        <v>0.18</v>
      </c>
      <c r="K171" s="106">
        <f t="shared" si="12"/>
        <v>39.339999999999954</v>
      </c>
    </row>
    <row r="172" spans="8:11" ht="17.45" customHeight="1" x14ac:dyDescent="0.3">
      <c r="H172" s="101">
        <f t="shared" si="13"/>
        <v>164</v>
      </c>
      <c r="I172" s="101">
        <f t="shared" si="10"/>
        <v>2</v>
      </c>
      <c r="J172" s="106">
        <f t="shared" si="11"/>
        <v>0.18</v>
      </c>
      <c r="K172" s="106">
        <f t="shared" si="12"/>
        <v>39.519999999999953</v>
      </c>
    </row>
    <row r="173" spans="8:11" ht="17.45" customHeight="1" x14ac:dyDescent="0.3">
      <c r="H173" s="101">
        <f t="shared" si="13"/>
        <v>165</v>
      </c>
      <c r="I173" s="101">
        <f t="shared" si="10"/>
        <v>2</v>
      </c>
      <c r="J173" s="106">
        <f t="shared" si="11"/>
        <v>0.18</v>
      </c>
      <c r="K173" s="106">
        <f t="shared" si="12"/>
        <v>39.699999999999953</v>
      </c>
    </row>
    <row r="174" spans="8:11" ht="17.45" customHeight="1" x14ac:dyDescent="0.3">
      <c r="H174" s="101">
        <f t="shared" si="13"/>
        <v>166</v>
      </c>
      <c r="I174" s="101">
        <f t="shared" si="10"/>
        <v>2</v>
      </c>
      <c r="J174" s="106">
        <f t="shared" si="11"/>
        <v>0.18</v>
      </c>
      <c r="K174" s="106">
        <f t="shared" si="12"/>
        <v>39.879999999999953</v>
      </c>
    </row>
    <row r="175" spans="8:11" ht="17.45" customHeight="1" x14ac:dyDescent="0.3">
      <c r="H175" s="101">
        <f t="shared" si="13"/>
        <v>167</v>
      </c>
      <c r="I175" s="101">
        <f t="shared" si="10"/>
        <v>2</v>
      </c>
      <c r="J175" s="106">
        <f t="shared" si="11"/>
        <v>0.18</v>
      </c>
      <c r="K175" s="106">
        <f t="shared" si="12"/>
        <v>40.059999999999953</v>
      </c>
    </row>
    <row r="176" spans="8:11" ht="17.45" customHeight="1" x14ac:dyDescent="0.3">
      <c r="H176" s="101">
        <f t="shared" si="13"/>
        <v>168</v>
      </c>
      <c r="I176" s="101">
        <f t="shared" si="10"/>
        <v>2</v>
      </c>
      <c r="J176" s="106">
        <f t="shared" si="11"/>
        <v>0.18</v>
      </c>
      <c r="K176" s="106">
        <f t="shared" si="12"/>
        <v>40.239999999999952</v>
      </c>
    </row>
    <row r="177" spans="8:11" ht="17.45" customHeight="1" x14ac:dyDescent="0.3">
      <c r="H177" s="101">
        <f t="shared" si="13"/>
        <v>169</v>
      </c>
      <c r="I177" s="101">
        <f t="shared" si="10"/>
        <v>2</v>
      </c>
      <c r="J177" s="106">
        <f t="shared" si="11"/>
        <v>0.18</v>
      </c>
      <c r="K177" s="106">
        <f t="shared" si="12"/>
        <v>40.419999999999952</v>
      </c>
    </row>
    <row r="178" spans="8:11" ht="17.45" customHeight="1" x14ac:dyDescent="0.3">
      <c r="H178" s="101">
        <f t="shared" si="13"/>
        <v>170</v>
      </c>
      <c r="I178" s="101">
        <f t="shared" si="10"/>
        <v>2</v>
      </c>
      <c r="J178" s="106">
        <f t="shared" si="11"/>
        <v>0.18</v>
      </c>
      <c r="K178" s="106">
        <f t="shared" si="12"/>
        <v>40.599999999999952</v>
      </c>
    </row>
    <row r="179" spans="8:11" ht="17.45" customHeight="1" x14ac:dyDescent="0.3">
      <c r="H179" s="101">
        <f t="shared" si="13"/>
        <v>171</v>
      </c>
      <c r="I179" s="101">
        <f t="shared" si="10"/>
        <v>2</v>
      </c>
      <c r="J179" s="106">
        <f t="shared" si="11"/>
        <v>0.18</v>
      </c>
      <c r="K179" s="106">
        <f t="shared" si="12"/>
        <v>40.779999999999951</v>
      </c>
    </row>
    <row r="180" spans="8:11" ht="17.45" customHeight="1" x14ac:dyDescent="0.3">
      <c r="H180" s="101">
        <f t="shared" si="13"/>
        <v>172</v>
      </c>
      <c r="I180" s="101">
        <f t="shared" si="10"/>
        <v>2</v>
      </c>
      <c r="J180" s="106">
        <f t="shared" si="11"/>
        <v>0.18</v>
      </c>
      <c r="K180" s="106">
        <f t="shared" si="12"/>
        <v>40.959999999999951</v>
      </c>
    </row>
    <row r="181" spans="8:11" ht="17.45" customHeight="1" x14ac:dyDescent="0.3">
      <c r="H181" s="101">
        <f t="shared" si="13"/>
        <v>173</v>
      </c>
      <c r="I181" s="101">
        <f t="shared" si="10"/>
        <v>2</v>
      </c>
      <c r="J181" s="106">
        <f t="shared" si="11"/>
        <v>0.18</v>
      </c>
      <c r="K181" s="106">
        <f t="shared" si="12"/>
        <v>41.139999999999951</v>
      </c>
    </row>
    <row r="182" spans="8:11" ht="17.45" customHeight="1" x14ac:dyDescent="0.3">
      <c r="H182" s="101">
        <f t="shared" si="13"/>
        <v>174</v>
      </c>
      <c r="I182" s="101">
        <f t="shared" si="10"/>
        <v>2</v>
      </c>
      <c r="J182" s="106">
        <f t="shared" si="11"/>
        <v>0.18</v>
      </c>
      <c r="K182" s="106">
        <f t="shared" si="12"/>
        <v>41.319999999999951</v>
      </c>
    </row>
    <row r="183" spans="8:11" ht="17.45" customHeight="1" x14ac:dyDescent="0.3">
      <c r="H183" s="101">
        <f t="shared" si="13"/>
        <v>175</v>
      </c>
      <c r="I183" s="101">
        <f t="shared" si="10"/>
        <v>2</v>
      </c>
      <c r="J183" s="106">
        <f t="shared" si="11"/>
        <v>0.18</v>
      </c>
      <c r="K183" s="106">
        <f t="shared" si="12"/>
        <v>41.49999999999995</v>
      </c>
    </row>
    <row r="184" spans="8:11" ht="17.45" customHeight="1" x14ac:dyDescent="0.3">
      <c r="H184" s="101">
        <f t="shared" si="13"/>
        <v>176</v>
      </c>
      <c r="I184" s="101">
        <f t="shared" si="10"/>
        <v>2</v>
      </c>
      <c r="J184" s="106">
        <f t="shared" si="11"/>
        <v>0.18</v>
      </c>
      <c r="K184" s="106">
        <f t="shared" si="12"/>
        <v>41.67999999999995</v>
      </c>
    </row>
    <row r="185" spans="8:11" ht="17.45" customHeight="1" x14ac:dyDescent="0.3">
      <c r="H185" s="101">
        <f t="shared" si="13"/>
        <v>177</v>
      </c>
      <c r="I185" s="101">
        <f t="shared" si="10"/>
        <v>2</v>
      </c>
      <c r="J185" s="106">
        <f t="shared" si="11"/>
        <v>0.18</v>
      </c>
      <c r="K185" s="106">
        <f t="shared" si="12"/>
        <v>41.85999999999995</v>
      </c>
    </row>
    <row r="186" spans="8:11" ht="17.45" customHeight="1" x14ac:dyDescent="0.3">
      <c r="H186" s="101">
        <f t="shared" si="13"/>
        <v>178</v>
      </c>
      <c r="I186" s="101">
        <f t="shared" si="10"/>
        <v>2</v>
      </c>
      <c r="J186" s="106">
        <f t="shared" si="11"/>
        <v>0.18</v>
      </c>
      <c r="K186" s="106">
        <f t="shared" si="12"/>
        <v>42.039999999999949</v>
      </c>
    </row>
    <row r="187" spans="8:11" ht="17.45" customHeight="1" x14ac:dyDescent="0.3">
      <c r="H187" s="101">
        <f t="shared" si="13"/>
        <v>179</v>
      </c>
      <c r="I187" s="101">
        <f t="shared" si="10"/>
        <v>2</v>
      </c>
      <c r="J187" s="106">
        <f t="shared" si="11"/>
        <v>0.18</v>
      </c>
      <c r="K187" s="106">
        <f t="shared" si="12"/>
        <v>42.219999999999949</v>
      </c>
    </row>
    <row r="188" spans="8:11" ht="17.45" customHeight="1" x14ac:dyDescent="0.3">
      <c r="H188" s="101">
        <f t="shared" si="13"/>
        <v>180</v>
      </c>
      <c r="I188" s="101">
        <f t="shared" si="10"/>
        <v>2</v>
      </c>
      <c r="J188" s="106">
        <f t="shared" si="11"/>
        <v>0.18</v>
      </c>
      <c r="K188" s="106">
        <f t="shared" si="12"/>
        <v>42.399999999999949</v>
      </c>
    </row>
    <row r="189" spans="8:11" ht="17.45" customHeight="1" x14ac:dyDescent="0.3">
      <c r="H189" s="101">
        <f t="shared" si="13"/>
        <v>181</v>
      </c>
      <c r="I189" s="101">
        <f t="shared" si="10"/>
        <v>2</v>
      </c>
      <c r="J189" s="106">
        <f t="shared" si="11"/>
        <v>0.18</v>
      </c>
      <c r="K189" s="106">
        <f t="shared" si="12"/>
        <v>42.579999999999949</v>
      </c>
    </row>
    <row r="190" spans="8:11" ht="17.45" customHeight="1" x14ac:dyDescent="0.3">
      <c r="H190" s="101">
        <f t="shared" si="13"/>
        <v>182</v>
      </c>
      <c r="I190" s="101">
        <f t="shared" si="10"/>
        <v>2</v>
      </c>
      <c r="J190" s="106">
        <f t="shared" si="11"/>
        <v>0.18</v>
      </c>
      <c r="K190" s="106">
        <f t="shared" si="12"/>
        <v>42.759999999999948</v>
      </c>
    </row>
    <row r="191" spans="8:11" ht="17.45" customHeight="1" x14ac:dyDescent="0.3">
      <c r="H191" s="101">
        <f t="shared" si="13"/>
        <v>183</v>
      </c>
      <c r="I191" s="101">
        <f t="shared" si="10"/>
        <v>2</v>
      </c>
      <c r="J191" s="106">
        <f t="shared" si="11"/>
        <v>0.18</v>
      </c>
      <c r="K191" s="106">
        <f t="shared" si="12"/>
        <v>42.939999999999948</v>
      </c>
    </row>
    <row r="192" spans="8:11" ht="17.45" customHeight="1" x14ac:dyDescent="0.3">
      <c r="H192" s="101">
        <f t="shared" si="13"/>
        <v>184</v>
      </c>
      <c r="I192" s="101">
        <f t="shared" si="10"/>
        <v>2</v>
      </c>
      <c r="J192" s="106">
        <f t="shared" si="11"/>
        <v>0.18</v>
      </c>
      <c r="K192" s="106">
        <f t="shared" si="12"/>
        <v>43.119999999999948</v>
      </c>
    </row>
    <row r="193" spans="8:11" ht="17.45" customHeight="1" x14ac:dyDescent="0.3">
      <c r="H193" s="101">
        <f t="shared" si="13"/>
        <v>185</v>
      </c>
      <c r="I193" s="101">
        <f t="shared" si="10"/>
        <v>2</v>
      </c>
      <c r="J193" s="106">
        <f t="shared" si="11"/>
        <v>0.18</v>
      </c>
      <c r="K193" s="106">
        <f t="shared" si="12"/>
        <v>43.299999999999947</v>
      </c>
    </row>
    <row r="194" spans="8:11" ht="17.45" customHeight="1" x14ac:dyDescent="0.3">
      <c r="H194" s="101">
        <f t="shared" si="13"/>
        <v>186</v>
      </c>
      <c r="I194" s="101">
        <f t="shared" si="10"/>
        <v>2</v>
      </c>
      <c r="J194" s="106">
        <f t="shared" si="11"/>
        <v>0.18</v>
      </c>
      <c r="K194" s="106">
        <f t="shared" si="12"/>
        <v>43.479999999999947</v>
      </c>
    </row>
    <row r="195" spans="8:11" ht="17.45" customHeight="1" x14ac:dyDescent="0.3">
      <c r="H195" s="101">
        <f t="shared" si="13"/>
        <v>187</v>
      </c>
      <c r="I195" s="101">
        <f t="shared" si="10"/>
        <v>2</v>
      </c>
      <c r="J195" s="106">
        <f t="shared" si="11"/>
        <v>0.18</v>
      </c>
      <c r="K195" s="106">
        <f t="shared" si="12"/>
        <v>43.659999999999947</v>
      </c>
    </row>
    <row r="196" spans="8:11" ht="17.45" customHeight="1" x14ac:dyDescent="0.3">
      <c r="H196" s="101">
        <f t="shared" si="13"/>
        <v>188</v>
      </c>
      <c r="I196" s="101">
        <f t="shared" si="10"/>
        <v>2</v>
      </c>
      <c r="J196" s="106">
        <f t="shared" si="11"/>
        <v>0.18</v>
      </c>
      <c r="K196" s="106">
        <f t="shared" si="12"/>
        <v>43.839999999999947</v>
      </c>
    </row>
    <row r="197" spans="8:11" ht="17.45" customHeight="1" x14ac:dyDescent="0.3">
      <c r="H197" s="101">
        <f t="shared" si="13"/>
        <v>189</v>
      </c>
      <c r="I197" s="101">
        <f t="shared" si="10"/>
        <v>2</v>
      </c>
      <c r="J197" s="106">
        <f t="shared" si="11"/>
        <v>0.18</v>
      </c>
      <c r="K197" s="106">
        <f t="shared" si="12"/>
        <v>44.019999999999946</v>
      </c>
    </row>
    <row r="198" spans="8:11" ht="17.45" customHeight="1" x14ac:dyDescent="0.3">
      <c r="H198" s="101">
        <f t="shared" si="13"/>
        <v>190</v>
      </c>
      <c r="I198" s="101">
        <f t="shared" si="10"/>
        <v>2</v>
      </c>
      <c r="J198" s="106">
        <f t="shared" si="11"/>
        <v>0.18</v>
      </c>
      <c r="K198" s="106">
        <f t="shared" si="12"/>
        <v>44.199999999999946</v>
      </c>
    </row>
    <row r="199" spans="8:11" ht="17.45" customHeight="1" x14ac:dyDescent="0.3">
      <c r="H199" s="101">
        <f t="shared" si="13"/>
        <v>191</v>
      </c>
      <c r="I199" s="101">
        <f t="shared" si="10"/>
        <v>2</v>
      </c>
      <c r="J199" s="106">
        <f t="shared" si="11"/>
        <v>0.18</v>
      </c>
      <c r="K199" s="106">
        <f t="shared" si="12"/>
        <v>44.379999999999946</v>
      </c>
    </row>
    <row r="200" spans="8:11" ht="17.45" customHeight="1" x14ac:dyDescent="0.3">
      <c r="H200" s="101">
        <f t="shared" si="13"/>
        <v>192</v>
      </c>
      <c r="I200" s="101">
        <f t="shared" si="10"/>
        <v>2</v>
      </c>
      <c r="J200" s="106">
        <f t="shared" si="11"/>
        <v>0.18</v>
      </c>
      <c r="K200" s="106">
        <f t="shared" si="12"/>
        <v>44.559999999999945</v>
      </c>
    </row>
    <row r="201" spans="8:11" ht="17.45" customHeight="1" x14ac:dyDescent="0.3">
      <c r="H201" s="101">
        <f t="shared" si="13"/>
        <v>193</v>
      </c>
      <c r="I201" s="101">
        <f t="shared" ref="I201:I264" si="14">MATCH(H201,$C$8:$C$13,1)</f>
        <v>2</v>
      </c>
      <c r="J201" s="106">
        <f t="shared" si="11"/>
        <v>0.18</v>
      </c>
      <c r="K201" s="106">
        <f t="shared" si="12"/>
        <v>44.739999999999945</v>
      </c>
    </row>
    <row r="202" spans="8:11" ht="17.45" customHeight="1" x14ac:dyDescent="0.3">
      <c r="H202" s="101">
        <f t="shared" si="13"/>
        <v>194</v>
      </c>
      <c r="I202" s="101">
        <f t="shared" si="14"/>
        <v>2</v>
      </c>
      <c r="J202" s="106">
        <f t="shared" ref="J202:J265" si="15">INDEX($E$8:$E$13,I201)</f>
        <v>0.18</v>
      </c>
      <c r="K202" s="106">
        <f t="shared" ref="K202:K265" si="16">K201+J202</f>
        <v>44.919999999999945</v>
      </c>
    </row>
    <row r="203" spans="8:11" ht="17.45" customHeight="1" x14ac:dyDescent="0.3">
      <c r="H203" s="101">
        <f t="shared" si="13"/>
        <v>195</v>
      </c>
      <c r="I203" s="101">
        <f t="shared" si="14"/>
        <v>2</v>
      </c>
      <c r="J203" s="106">
        <f t="shared" si="15"/>
        <v>0.18</v>
      </c>
      <c r="K203" s="106">
        <f t="shared" si="16"/>
        <v>45.099999999999945</v>
      </c>
    </row>
    <row r="204" spans="8:11" ht="17.45" customHeight="1" x14ac:dyDescent="0.3">
      <c r="H204" s="101">
        <f t="shared" si="13"/>
        <v>196</v>
      </c>
      <c r="I204" s="101">
        <f t="shared" si="14"/>
        <v>2</v>
      </c>
      <c r="J204" s="106">
        <f t="shared" si="15"/>
        <v>0.18</v>
      </c>
      <c r="K204" s="106">
        <f t="shared" si="16"/>
        <v>45.279999999999944</v>
      </c>
    </row>
    <row r="205" spans="8:11" ht="17.45" customHeight="1" x14ac:dyDescent="0.3">
      <c r="H205" s="101">
        <f t="shared" si="13"/>
        <v>197</v>
      </c>
      <c r="I205" s="101">
        <f t="shared" si="14"/>
        <v>2</v>
      </c>
      <c r="J205" s="106">
        <f t="shared" si="15"/>
        <v>0.18</v>
      </c>
      <c r="K205" s="106">
        <f t="shared" si="16"/>
        <v>45.459999999999944</v>
      </c>
    </row>
    <row r="206" spans="8:11" ht="17.45" customHeight="1" x14ac:dyDescent="0.3">
      <c r="H206" s="101">
        <f t="shared" si="13"/>
        <v>198</v>
      </c>
      <c r="I206" s="101">
        <f t="shared" si="14"/>
        <v>2</v>
      </c>
      <c r="J206" s="106">
        <f t="shared" si="15"/>
        <v>0.18</v>
      </c>
      <c r="K206" s="106">
        <f t="shared" si="16"/>
        <v>45.639999999999944</v>
      </c>
    </row>
    <row r="207" spans="8:11" ht="17.45" customHeight="1" x14ac:dyDescent="0.3">
      <c r="H207" s="101">
        <f t="shared" si="13"/>
        <v>199</v>
      </c>
      <c r="I207" s="101">
        <f t="shared" si="14"/>
        <v>2</v>
      </c>
      <c r="J207" s="106">
        <f t="shared" si="15"/>
        <v>0.18</v>
      </c>
      <c r="K207" s="106">
        <f t="shared" si="16"/>
        <v>45.819999999999943</v>
      </c>
    </row>
    <row r="208" spans="8:11" ht="17.45" customHeight="1" x14ac:dyDescent="0.3">
      <c r="H208" s="101">
        <f t="shared" si="13"/>
        <v>200</v>
      </c>
      <c r="I208" s="101">
        <f t="shared" si="14"/>
        <v>2</v>
      </c>
      <c r="J208" s="106">
        <f t="shared" si="15"/>
        <v>0.18</v>
      </c>
      <c r="K208" s="106">
        <f t="shared" si="16"/>
        <v>45.999999999999943</v>
      </c>
    </row>
    <row r="209" spans="8:11" ht="17.45" customHeight="1" x14ac:dyDescent="0.3">
      <c r="H209" s="101">
        <f t="shared" si="13"/>
        <v>201</v>
      </c>
      <c r="I209" s="101">
        <f t="shared" si="14"/>
        <v>2</v>
      </c>
      <c r="J209" s="106">
        <f t="shared" si="15"/>
        <v>0.18</v>
      </c>
      <c r="K209" s="106">
        <f t="shared" si="16"/>
        <v>46.179999999999943</v>
      </c>
    </row>
    <row r="210" spans="8:11" ht="17.45" customHeight="1" x14ac:dyDescent="0.3">
      <c r="H210" s="101">
        <f t="shared" si="13"/>
        <v>202</v>
      </c>
      <c r="I210" s="101">
        <f t="shared" si="14"/>
        <v>2</v>
      </c>
      <c r="J210" s="106">
        <f t="shared" si="15"/>
        <v>0.18</v>
      </c>
      <c r="K210" s="106">
        <f t="shared" si="16"/>
        <v>46.359999999999943</v>
      </c>
    </row>
    <row r="211" spans="8:11" ht="17.45" customHeight="1" x14ac:dyDescent="0.3">
      <c r="H211" s="101">
        <f t="shared" si="13"/>
        <v>203</v>
      </c>
      <c r="I211" s="101">
        <f t="shared" si="14"/>
        <v>2</v>
      </c>
      <c r="J211" s="106">
        <f t="shared" si="15"/>
        <v>0.18</v>
      </c>
      <c r="K211" s="106">
        <f t="shared" si="16"/>
        <v>46.539999999999942</v>
      </c>
    </row>
    <row r="212" spans="8:11" ht="17.45" customHeight="1" x14ac:dyDescent="0.3">
      <c r="H212" s="101">
        <f t="shared" si="13"/>
        <v>204</v>
      </c>
      <c r="I212" s="101">
        <f t="shared" si="14"/>
        <v>2</v>
      </c>
      <c r="J212" s="106">
        <f t="shared" si="15"/>
        <v>0.18</v>
      </c>
      <c r="K212" s="106">
        <f t="shared" si="16"/>
        <v>46.719999999999942</v>
      </c>
    </row>
    <row r="213" spans="8:11" ht="17.45" customHeight="1" x14ac:dyDescent="0.3">
      <c r="H213" s="101">
        <f t="shared" si="13"/>
        <v>205</v>
      </c>
      <c r="I213" s="101">
        <f t="shared" si="14"/>
        <v>2</v>
      </c>
      <c r="J213" s="106">
        <f t="shared" si="15"/>
        <v>0.18</v>
      </c>
      <c r="K213" s="106">
        <f t="shared" si="16"/>
        <v>46.899999999999942</v>
      </c>
    </row>
    <row r="214" spans="8:11" ht="17.45" customHeight="1" x14ac:dyDescent="0.3">
      <c r="H214" s="101">
        <f t="shared" si="13"/>
        <v>206</v>
      </c>
      <c r="I214" s="101">
        <f t="shared" si="14"/>
        <v>2</v>
      </c>
      <c r="J214" s="106">
        <f t="shared" si="15"/>
        <v>0.18</v>
      </c>
      <c r="K214" s="106">
        <f t="shared" si="16"/>
        <v>47.079999999999941</v>
      </c>
    </row>
    <row r="215" spans="8:11" ht="17.45" customHeight="1" x14ac:dyDescent="0.3">
      <c r="H215" s="101">
        <f t="shared" ref="H215:H278" si="17">H214+1</f>
        <v>207</v>
      </c>
      <c r="I215" s="101">
        <f t="shared" si="14"/>
        <v>2</v>
      </c>
      <c r="J215" s="106">
        <f t="shared" si="15"/>
        <v>0.18</v>
      </c>
      <c r="K215" s="106">
        <f t="shared" si="16"/>
        <v>47.259999999999941</v>
      </c>
    </row>
    <row r="216" spans="8:11" ht="17.45" customHeight="1" x14ac:dyDescent="0.3">
      <c r="H216" s="101">
        <f t="shared" si="17"/>
        <v>208</v>
      </c>
      <c r="I216" s="101">
        <f t="shared" si="14"/>
        <v>2</v>
      </c>
      <c r="J216" s="106">
        <f t="shared" si="15"/>
        <v>0.18</v>
      </c>
      <c r="K216" s="106">
        <f t="shared" si="16"/>
        <v>47.439999999999941</v>
      </c>
    </row>
    <row r="217" spans="8:11" ht="17.45" customHeight="1" x14ac:dyDescent="0.3">
      <c r="H217" s="101">
        <f t="shared" si="17"/>
        <v>209</v>
      </c>
      <c r="I217" s="101">
        <f t="shared" si="14"/>
        <v>2</v>
      </c>
      <c r="J217" s="106">
        <f t="shared" si="15"/>
        <v>0.18</v>
      </c>
      <c r="K217" s="106">
        <f t="shared" si="16"/>
        <v>47.619999999999941</v>
      </c>
    </row>
    <row r="218" spans="8:11" ht="17.45" customHeight="1" x14ac:dyDescent="0.3">
      <c r="H218" s="101">
        <f t="shared" si="17"/>
        <v>210</v>
      </c>
      <c r="I218" s="101">
        <f t="shared" si="14"/>
        <v>2</v>
      </c>
      <c r="J218" s="106">
        <f t="shared" si="15"/>
        <v>0.18</v>
      </c>
      <c r="K218" s="106">
        <f t="shared" si="16"/>
        <v>47.79999999999994</v>
      </c>
    </row>
    <row r="219" spans="8:11" ht="17.45" customHeight="1" x14ac:dyDescent="0.3">
      <c r="H219" s="101">
        <f t="shared" si="17"/>
        <v>211</v>
      </c>
      <c r="I219" s="101">
        <f t="shared" si="14"/>
        <v>2</v>
      </c>
      <c r="J219" s="106">
        <f t="shared" si="15"/>
        <v>0.18</v>
      </c>
      <c r="K219" s="106">
        <f t="shared" si="16"/>
        <v>47.97999999999994</v>
      </c>
    </row>
    <row r="220" spans="8:11" ht="17.45" customHeight="1" x14ac:dyDescent="0.3">
      <c r="H220" s="101">
        <f t="shared" si="17"/>
        <v>212</v>
      </c>
      <c r="I220" s="101">
        <f t="shared" si="14"/>
        <v>2</v>
      </c>
      <c r="J220" s="106">
        <f t="shared" si="15"/>
        <v>0.18</v>
      </c>
      <c r="K220" s="106">
        <f t="shared" si="16"/>
        <v>48.15999999999994</v>
      </c>
    </row>
    <row r="221" spans="8:11" ht="17.45" customHeight="1" x14ac:dyDescent="0.3">
      <c r="H221" s="101">
        <f t="shared" si="17"/>
        <v>213</v>
      </c>
      <c r="I221" s="101">
        <f t="shared" si="14"/>
        <v>2</v>
      </c>
      <c r="J221" s="106">
        <f t="shared" si="15"/>
        <v>0.18</v>
      </c>
      <c r="K221" s="106">
        <f t="shared" si="16"/>
        <v>48.339999999999939</v>
      </c>
    </row>
    <row r="222" spans="8:11" ht="17.45" customHeight="1" x14ac:dyDescent="0.3">
      <c r="H222" s="101">
        <f t="shared" si="17"/>
        <v>214</v>
      </c>
      <c r="I222" s="101">
        <f t="shared" si="14"/>
        <v>2</v>
      </c>
      <c r="J222" s="106">
        <f t="shared" si="15"/>
        <v>0.18</v>
      </c>
      <c r="K222" s="106">
        <f t="shared" si="16"/>
        <v>48.519999999999939</v>
      </c>
    </row>
    <row r="223" spans="8:11" ht="17.45" customHeight="1" x14ac:dyDescent="0.3">
      <c r="H223" s="101">
        <f t="shared" si="17"/>
        <v>215</v>
      </c>
      <c r="I223" s="101">
        <f t="shared" si="14"/>
        <v>2</v>
      </c>
      <c r="J223" s="106">
        <f t="shared" si="15"/>
        <v>0.18</v>
      </c>
      <c r="K223" s="106">
        <f t="shared" si="16"/>
        <v>48.699999999999939</v>
      </c>
    </row>
    <row r="224" spans="8:11" ht="17.45" customHeight="1" x14ac:dyDescent="0.3">
      <c r="H224" s="101">
        <f t="shared" si="17"/>
        <v>216</v>
      </c>
      <c r="I224" s="101">
        <f t="shared" si="14"/>
        <v>2</v>
      </c>
      <c r="J224" s="106">
        <f t="shared" si="15"/>
        <v>0.18</v>
      </c>
      <c r="K224" s="106">
        <f t="shared" si="16"/>
        <v>48.879999999999939</v>
      </c>
    </row>
    <row r="225" spans="8:11" ht="17.45" customHeight="1" x14ac:dyDescent="0.3">
      <c r="H225" s="101">
        <f t="shared" si="17"/>
        <v>217</v>
      </c>
      <c r="I225" s="101">
        <f t="shared" si="14"/>
        <v>2</v>
      </c>
      <c r="J225" s="106">
        <f t="shared" si="15"/>
        <v>0.18</v>
      </c>
      <c r="K225" s="106">
        <f t="shared" si="16"/>
        <v>49.059999999999938</v>
      </c>
    </row>
    <row r="226" spans="8:11" ht="17.45" customHeight="1" x14ac:dyDescent="0.3">
      <c r="H226" s="101">
        <f t="shared" si="17"/>
        <v>218</v>
      </c>
      <c r="I226" s="101">
        <f t="shared" si="14"/>
        <v>2</v>
      </c>
      <c r="J226" s="106">
        <f t="shared" si="15"/>
        <v>0.18</v>
      </c>
      <c r="K226" s="106">
        <f t="shared" si="16"/>
        <v>49.239999999999938</v>
      </c>
    </row>
    <row r="227" spans="8:11" ht="17.45" customHeight="1" x14ac:dyDescent="0.3">
      <c r="H227" s="101">
        <f t="shared" si="17"/>
        <v>219</v>
      </c>
      <c r="I227" s="101">
        <f t="shared" si="14"/>
        <v>2</v>
      </c>
      <c r="J227" s="106">
        <f t="shared" si="15"/>
        <v>0.18</v>
      </c>
      <c r="K227" s="106">
        <f t="shared" si="16"/>
        <v>49.419999999999938</v>
      </c>
    </row>
    <row r="228" spans="8:11" ht="17.45" customHeight="1" x14ac:dyDescent="0.3">
      <c r="H228" s="101">
        <f t="shared" si="17"/>
        <v>220</v>
      </c>
      <c r="I228" s="101">
        <f t="shared" si="14"/>
        <v>2</v>
      </c>
      <c r="J228" s="106">
        <f t="shared" si="15"/>
        <v>0.18</v>
      </c>
      <c r="K228" s="106">
        <f t="shared" si="16"/>
        <v>49.599999999999937</v>
      </c>
    </row>
    <row r="229" spans="8:11" ht="17.45" customHeight="1" x14ac:dyDescent="0.3">
      <c r="H229" s="101">
        <f t="shared" si="17"/>
        <v>221</v>
      </c>
      <c r="I229" s="101">
        <f t="shared" si="14"/>
        <v>2</v>
      </c>
      <c r="J229" s="106">
        <f t="shared" si="15"/>
        <v>0.18</v>
      </c>
      <c r="K229" s="106">
        <f t="shared" si="16"/>
        <v>49.779999999999937</v>
      </c>
    </row>
    <row r="230" spans="8:11" ht="17.45" customHeight="1" x14ac:dyDescent="0.3">
      <c r="H230" s="101">
        <f t="shared" si="17"/>
        <v>222</v>
      </c>
      <c r="I230" s="101">
        <f t="shared" si="14"/>
        <v>2</v>
      </c>
      <c r="J230" s="106">
        <f t="shared" si="15"/>
        <v>0.18</v>
      </c>
      <c r="K230" s="106">
        <f t="shared" si="16"/>
        <v>49.959999999999937</v>
      </c>
    </row>
    <row r="231" spans="8:11" ht="17.45" customHeight="1" x14ac:dyDescent="0.3">
      <c r="H231" s="101">
        <f t="shared" si="17"/>
        <v>223</v>
      </c>
      <c r="I231" s="101">
        <f t="shared" si="14"/>
        <v>2</v>
      </c>
      <c r="J231" s="106">
        <f t="shared" si="15"/>
        <v>0.18</v>
      </c>
      <c r="K231" s="106">
        <f t="shared" si="16"/>
        <v>50.139999999999937</v>
      </c>
    </row>
    <row r="232" spans="8:11" ht="17.45" customHeight="1" x14ac:dyDescent="0.3">
      <c r="H232" s="101">
        <f t="shared" si="17"/>
        <v>224</v>
      </c>
      <c r="I232" s="101">
        <f t="shared" si="14"/>
        <v>2</v>
      </c>
      <c r="J232" s="106">
        <f t="shared" si="15"/>
        <v>0.18</v>
      </c>
      <c r="K232" s="106">
        <f t="shared" si="16"/>
        <v>50.319999999999936</v>
      </c>
    </row>
    <row r="233" spans="8:11" ht="17.45" customHeight="1" x14ac:dyDescent="0.3">
      <c r="H233" s="101">
        <f t="shared" si="17"/>
        <v>225</v>
      </c>
      <c r="I233" s="101">
        <f t="shared" si="14"/>
        <v>2</v>
      </c>
      <c r="J233" s="106">
        <f t="shared" si="15"/>
        <v>0.18</v>
      </c>
      <c r="K233" s="106">
        <f t="shared" si="16"/>
        <v>50.499999999999936</v>
      </c>
    </row>
    <row r="234" spans="8:11" ht="17.45" customHeight="1" x14ac:dyDescent="0.3">
      <c r="H234" s="101">
        <f t="shared" si="17"/>
        <v>226</v>
      </c>
      <c r="I234" s="101">
        <f t="shared" si="14"/>
        <v>2</v>
      </c>
      <c r="J234" s="106">
        <f t="shared" si="15"/>
        <v>0.18</v>
      </c>
      <c r="K234" s="106">
        <f t="shared" si="16"/>
        <v>50.679999999999936</v>
      </c>
    </row>
    <row r="235" spans="8:11" ht="17.45" customHeight="1" x14ac:dyDescent="0.3">
      <c r="H235" s="101">
        <f t="shared" si="17"/>
        <v>227</v>
      </c>
      <c r="I235" s="101">
        <f t="shared" si="14"/>
        <v>2</v>
      </c>
      <c r="J235" s="106">
        <f t="shared" si="15"/>
        <v>0.18</v>
      </c>
      <c r="K235" s="106">
        <f t="shared" si="16"/>
        <v>50.859999999999935</v>
      </c>
    </row>
    <row r="236" spans="8:11" ht="17.45" customHeight="1" x14ac:dyDescent="0.3">
      <c r="H236" s="101">
        <f t="shared" si="17"/>
        <v>228</v>
      </c>
      <c r="I236" s="101">
        <f t="shared" si="14"/>
        <v>2</v>
      </c>
      <c r="J236" s="106">
        <f t="shared" si="15"/>
        <v>0.18</v>
      </c>
      <c r="K236" s="106">
        <f t="shared" si="16"/>
        <v>51.039999999999935</v>
      </c>
    </row>
    <row r="237" spans="8:11" ht="17.45" customHeight="1" x14ac:dyDescent="0.3">
      <c r="H237" s="101">
        <f t="shared" si="17"/>
        <v>229</v>
      </c>
      <c r="I237" s="101">
        <f t="shared" si="14"/>
        <v>2</v>
      </c>
      <c r="J237" s="106">
        <f t="shared" si="15"/>
        <v>0.18</v>
      </c>
      <c r="K237" s="106">
        <f t="shared" si="16"/>
        <v>51.219999999999935</v>
      </c>
    </row>
    <row r="238" spans="8:11" ht="17.45" customHeight="1" x14ac:dyDescent="0.3">
      <c r="H238" s="101">
        <f t="shared" si="17"/>
        <v>230</v>
      </c>
      <c r="I238" s="101">
        <f t="shared" si="14"/>
        <v>2</v>
      </c>
      <c r="J238" s="106">
        <f t="shared" si="15"/>
        <v>0.18</v>
      </c>
      <c r="K238" s="106">
        <f t="shared" si="16"/>
        <v>51.399999999999935</v>
      </c>
    </row>
    <row r="239" spans="8:11" ht="17.45" customHeight="1" x14ac:dyDescent="0.3">
      <c r="H239" s="101">
        <f t="shared" si="17"/>
        <v>231</v>
      </c>
      <c r="I239" s="101">
        <f t="shared" si="14"/>
        <v>2</v>
      </c>
      <c r="J239" s="106">
        <f t="shared" si="15"/>
        <v>0.18</v>
      </c>
      <c r="K239" s="106">
        <f t="shared" si="16"/>
        <v>51.579999999999934</v>
      </c>
    </row>
    <row r="240" spans="8:11" ht="17.45" customHeight="1" x14ac:dyDescent="0.3">
      <c r="H240" s="101">
        <f t="shared" si="17"/>
        <v>232</v>
      </c>
      <c r="I240" s="101">
        <f t="shared" si="14"/>
        <v>2</v>
      </c>
      <c r="J240" s="106">
        <f t="shared" si="15"/>
        <v>0.18</v>
      </c>
      <c r="K240" s="106">
        <f t="shared" si="16"/>
        <v>51.759999999999934</v>
      </c>
    </row>
    <row r="241" spans="8:11" ht="17.45" customHeight="1" x14ac:dyDescent="0.3">
      <c r="H241" s="101">
        <f t="shared" si="17"/>
        <v>233</v>
      </c>
      <c r="I241" s="101">
        <f t="shared" si="14"/>
        <v>2</v>
      </c>
      <c r="J241" s="106">
        <f t="shared" si="15"/>
        <v>0.18</v>
      </c>
      <c r="K241" s="106">
        <f t="shared" si="16"/>
        <v>51.939999999999934</v>
      </c>
    </row>
    <row r="242" spans="8:11" ht="17.45" customHeight="1" x14ac:dyDescent="0.3">
      <c r="H242" s="101">
        <f t="shared" si="17"/>
        <v>234</v>
      </c>
      <c r="I242" s="101">
        <f t="shared" si="14"/>
        <v>2</v>
      </c>
      <c r="J242" s="106">
        <f t="shared" si="15"/>
        <v>0.18</v>
      </c>
      <c r="K242" s="106">
        <f t="shared" si="16"/>
        <v>52.119999999999933</v>
      </c>
    </row>
    <row r="243" spans="8:11" ht="17.45" customHeight="1" x14ac:dyDescent="0.3">
      <c r="H243" s="101">
        <f t="shared" si="17"/>
        <v>235</v>
      </c>
      <c r="I243" s="101">
        <f t="shared" si="14"/>
        <v>2</v>
      </c>
      <c r="J243" s="106">
        <f t="shared" si="15"/>
        <v>0.18</v>
      </c>
      <c r="K243" s="106">
        <f t="shared" si="16"/>
        <v>52.299999999999933</v>
      </c>
    </row>
    <row r="244" spans="8:11" ht="17.45" customHeight="1" x14ac:dyDescent="0.3">
      <c r="H244" s="101">
        <f t="shared" si="17"/>
        <v>236</v>
      </c>
      <c r="I244" s="101">
        <f t="shared" si="14"/>
        <v>2</v>
      </c>
      <c r="J244" s="106">
        <f t="shared" si="15"/>
        <v>0.18</v>
      </c>
      <c r="K244" s="106">
        <f t="shared" si="16"/>
        <v>52.479999999999933</v>
      </c>
    </row>
    <row r="245" spans="8:11" ht="17.45" customHeight="1" x14ac:dyDescent="0.3">
      <c r="H245" s="101">
        <f t="shared" si="17"/>
        <v>237</v>
      </c>
      <c r="I245" s="101">
        <f t="shared" si="14"/>
        <v>2</v>
      </c>
      <c r="J245" s="106">
        <f t="shared" si="15"/>
        <v>0.18</v>
      </c>
      <c r="K245" s="106">
        <f t="shared" si="16"/>
        <v>52.659999999999933</v>
      </c>
    </row>
    <row r="246" spans="8:11" ht="17.45" customHeight="1" x14ac:dyDescent="0.3">
      <c r="H246" s="101">
        <f t="shared" si="17"/>
        <v>238</v>
      </c>
      <c r="I246" s="101">
        <f t="shared" si="14"/>
        <v>2</v>
      </c>
      <c r="J246" s="106">
        <f t="shared" si="15"/>
        <v>0.18</v>
      </c>
      <c r="K246" s="106">
        <f t="shared" si="16"/>
        <v>52.839999999999932</v>
      </c>
    </row>
    <row r="247" spans="8:11" ht="17.45" customHeight="1" x14ac:dyDescent="0.3">
      <c r="H247" s="101">
        <f t="shared" si="17"/>
        <v>239</v>
      </c>
      <c r="I247" s="101">
        <f t="shared" si="14"/>
        <v>2</v>
      </c>
      <c r="J247" s="106">
        <f t="shared" si="15"/>
        <v>0.18</v>
      </c>
      <c r="K247" s="106">
        <f t="shared" si="16"/>
        <v>53.019999999999932</v>
      </c>
    </row>
    <row r="248" spans="8:11" ht="17.45" customHeight="1" x14ac:dyDescent="0.3">
      <c r="H248" s="101">
        <f t="shared" si="17"/>
        <v>240</v>
      </c>
      <c r="I248" s="101">
        <f t="shared" si="14"/>
        <v>2</v>
      </c>
      <c r="J248" s="106">
        <f t="shared" si="15"/>
        <v>0.18</v>
      </c>
      <c r="K248" s="106">
        <f t="shared" si="16"/>
        <v>53.199999999999932</v>
      </c>
    </row>
    <row r="249" spans="8:11" ht="17.45" customHeight="1" x14ac:dyDescent="0.3">
      <c r="H249" s="101">
        <f t="shared" si="17"/>
        <v>241</v>
      </c>
      <c r="I249" s="101">
        <f t="shared" si="14"/>
        <v>2</v>
      </c>
      <c r="J249" s="106">
        <f t="shared" si="15"/>
        <v>0.18</v>
      </c>
      <c r="K249" s="106">
        <f t="shared" si="16"/>
        <v>53.379999999999932</v>
      </c>
    </row>
    <row r="250" spans="8:11" ht="17.45" customHeight="1" x14ac:dyDescent="0.3">
      <c r="H250" s="101">
        <f t="shared" si="17"/>
        <v>242</v>
      </c>
      <c r="I250" s="101">
        <f t="shared" si="14"/>
        <v>2</v>
      </c>
      <c r="J250" s="106">
        <f t="shared" si="15"/>
        <v>0.18</v>
      </c>
      <c r="K250" s="106">
        <f t="shared" si="16"/>
        <v>53.559999999999931</v>
      </c>
    </row>
    <row r="251" spans="8:11" ht="17.45" customHeight="1" x14ac:dyDescent="0.3">
      <c r="H251" s="101">
        <f t="shared" si="17"/>
        <v>243</v>
      </c>
      <c r="I251" s="101">
        <f t="shared" si="14"/>
        <v>2</v>
      </c>
      <c r="J251" s="106">
        <f t="shared" si="15"/>
        <v>0.18</v>
      </c>
      <c r="K251" s="106">
        <f t="shared" si="16"/>
        <v>53.739999999999931</v>
      </c>
    </row>
    <row r="252" spans="8:11" ht="17.45" customHeight="1" x14ac:dyDescent="0.3">
      <c r="H252" s="101">
        <f t="shared" si="17"/>
        <v>244</v>
      </c>
      <c r="I252" s="101">
        <f t="shared" si="14"/>
        <v>2</v>
      </c>
      <c r="J252" s="106">
        <f t="shared" si="15"/>
        <v>0.18</v>
      </c>
      <c r="K252" s="106">
        <f t="shared" si="16"/>
        <v>53.919999999999931</v>
      </c>
    </row>
    <row r="253" spans="8:11" ht="17.45" customHeight="1" x14ac:dyDescent="0.3">
      <c r="H253" s="101">
        <f t="shared" si="17"/>
        <v>245</v>
      </c>
      <c r="I253" s="101">
        <f t="shared" si="14"/>
        <v>2</v>
      </c>
      <c r="J253" s="106">
        <f t="shared" si="15"/>
        <v>0.18</v>
      </c>
      <c r="K253" s="106">
        <f t="shared" si="16"/>
        <v>54.09999999999993</v>
      </c>
    </row>
    <row r="254" spans="8:11" ht="17.45" customHeight="1" x14ac:dyDescent="0.3">
      <c r="H254" s="101">
        <f t="shared" si="17"/>
        <v>246</v>
      </c>
      <c r="I254" s="101">
        <f t="shared" si="14"/>
        <v>2</v>
      </c>
      <c r="J254" s="106">
        <f t="shared" si="15"/>
        <v>0.18</v>
      </c>
      <c r="K254" s="106">
        <f t="shared" si="16"/>
        <v>54.27999999999993</v>
      </c>
    </row>
    <row r="255" spans="8:11" ht="17.45" customHeight="1" x14ac:dyDescent="0.3">
      <c r="H255" s="101">
        <f t="shared" si="17"/>
        <v>247</v>
      </c>
      <c r="I255" s="101">
        <f t="shared" si="14"/>
        <v>2</v>
      </c>
      <c r="J255" s="106">
        <f t="shared" si="15"/>
        <v>0.18</v>
      </c>
      <c r="K255" s="106">
        <f t="shared" si="16"/>
        <v>54.45999999999993</v>
      </c>
    </row>
    <row r="256" spans="8:11" ht="17.45" customHeight="1" x14ac:dyDescent="0.3">
      <c r="H256" s="101">
        <f t="shared" si="17"/>
        <v>248</v>
      </c>
      <c r="I256" s="101">
        <f t="shared" si="14"/>
        <v>2</v>
      </c>
      <c r="J256" s="106">
        <f t="shared" si="15"/>
        <v>0.18</v>
      </c>
      <c r="K256" s="106">
        <f t="shared" si="16"/>
        <v>54.63999999999993</v>
      </c>
    </row>
    <row r="257" spans="8:11" ht="17.45" customHeight="1" x14ac:dyDescent="0.3">
      <c r="H257" s="101">
        <f t="shared" si="17"/>
        <v>249</v>
      </c>
      <c r="I257" s="101">
        <f t="shared" si="14"/>
        <v>2</v>
      </c>
      <c r="J257" s="106">
        <f t="shared" si="15"/>
        <v>0.18</v>
      </c>
      <c r="K257" s="106">
        <f t="shared" si="16"/>
        <v>54.819999999999929</v>
      </c>
    </row>
    <row r="258" spans="8:11" ht="17.45" customHeight="1" x14ac:dyDescent="0.3">
      <c r="H258" s="101">
        <f t="shared" si="17"/>
        <v>250</v>
      </c>
      <c r="I258" s="101">
        <f t="shared" si="14"/>
        <v>2</v>
      </c>
      <c r="J258" s="106">
        <f t="shared" si="15"/>
        <v>0.18</v>
      </c>
      <c r="K258" s="106">
        <f t="shared" si="16"/>
        <v>54.999999999999929</v>
      </c>
    </row>
    <row r="259" spans="8:11" ht="17.45" customHeight="1" x14ac:dyDescent="0.3">
      <c r="H259" s="101">
        <f t="shared" si="17"/>
        <v>251</v>
      </c>
      <c r="I259" s="101">
        <f t="shared" si="14"/>
        <v>2</v>
      </c>
      <c r="J259" s="106">
        <f t="shared" si="15"/>
        <v>0.18</v>
      </c>
      <c r="K259" s="106">
        <f t="shared" si="16"/>
        <v>55.179999999999929</v>
      </c>
    </row>
    <row r="260" spans="8:11" ht="17.45" customHeight="1" x14ac:dyDescent="0.3">
      <c r="H260" s="101">
        <f t="shared" si="17"/>
        <v>252</v>
      </c>
      <c r="I260" s="101">
        <f t="shared" si="14"/>
        <v>2</v>
      </c>
      <c r="J260" s="106">
        <f t="shared" si="15"/>
        <v>0.18</v>
      </c>
      <c r="K260" s="106">
        <f t="shared" si="16"/>
        <v>55.359999999999928</v>
      </c>
    </row>
    <row r="261" spans="8:11" ht="17.45" customHeight="1" x14ac:dyDescent="0.3">
      <c r="H261" s="101">
        <f t="shared" si="17"/>
        <v>253</v>
      </c>
      <c r="I261" s="101">
        <f t="shared" si="14"/>
        <v>2</v>
      </c>
      <c r="J261" s="106">
        <f t="shared" si="15"/>
        <v>0.18</v>
      </c>
      <c r="K261" s="106">
        <f t="shared" si="16"/>
        <v>55.539999999999928</v>
      </c>
    </row>
    <row r="262" spans="8:11" ht="17.45" customHeight="1" x14ac:dyDescent="0.3">
      <c r="H262" s="101">
        <f t="shared" si="17"/>
        <v>254</v>
      </c>
      <c r="I262" s="101">
        <f t="shared" si="14"/>
        <v>2</v>
      </c>
      <c r="J262" s="106">
        <f t="shared" si="15"/>
        <v>0.18</v>
      </c>
      <c r="K262" s="106">
        <f t="shared" si="16"/>
        <v>55.719999999999928</v>
      </c>
    </row>
    <row r="263" spans="8:11" ht="17.45" customHeight="1" x14ac:dyDescent="0.3">
      <c r="H263" s="101">
        <f t="shared" si="17"/>
        <v>255</v>
      </c>
      <c r="I263" s="101">
        <f t="shared" si="14"/>
        <v>2</v>
      </c>
      <c r="J263" s="106">
        <f t="shared" si="15"/>
        <v>0.18</v>
      </c>
      <c r="K263" s="106">
        <f t="shared" si="16"/>
        <v>55.899999999999928</v>
      </c>
    </row>
    <row r="264" spans="8:11" ht="17.45" customHeight="1" x14ac:dyDescent="0.3">
      <c r="H264" s="101">
        <f t="shared" si="17"/>
        <v>256</v>
      </c>
      <c r="I264" s="101">
        <f t="shared" si="14"/>
        <v>2</v>
      </c>
      <c r="J264" s="106">
        <f t="shared" si="15"/>
        <v>0.18</v>
      </c>
      <c r="K264" s="106">
        <f t="shared" si="16"/>
        <v>56.079999999999927</v>
      </c>
    </row>
    <row r="265" spans="8:11" ht="17.45" customHeight="1" x14ac:dyDescent="0.3">
      <c r="H265" s="101">
        <f t="shared" si="17"/>
        <v>257</v>
      </c>
      <c r="I265" s="101">
        <f t="shared" ref="I265:I328" si="18">MATCH(H265,$C$8:$C$13,1)</f>
        <v>2</v>
      </c>
      <c r="J265" s="106">
        <f t="shared" si="15"/>
        <v>0.18</v>
      </c>
      <c r="K265" s="106">
        <f t="shared" si="16"/>
        <v>56.259999999999927</v>
      </c>
    </row>
    <row r="266" spans="8:11" ht="17.45" customHeight="1" x14ac:dyDescent="0.3">
      <c r="H266" s="101">
        <f t="shared" si="17"/>
        <v>258</v>
      </c>
      <c r="I266" s="101">
        <f t="shared" si="18"/>
        <v>2</v>
      </c>
      <c r="J266" s="106">
        <f t="shared" ref="J266:J329" si="19">INDEX($E$8:$E$13,I265)</f>
        <v>0.18</v>
      </c>
      <c r="K266" s="106">
        <f t="shared" ref="K266:K329" si="20">K265+J266</f>
        <v>56.439999999999927</v>
      </c>
    </row>
    <row r="267" spans="8:11" ht="17.45" customHeight="1" x14ac:dyDescent="0.3">
      <c r="H267" s="101">
        <f t="shared" si="17"/>
        <v>259</v>
      </c>
      <c r="I267" s="101">
        <f t="shared" si="18"/>
        <v>2</v>
      </c>
      <c r="J267" s="106">
        <f t="shared" si="19"/>
        <v>0.18</v>
      </c>
      <c r="K267" s="106">
        <f t="shared" si="20"/>
        <v>56.619999999999926</v>
      </c>
    </row>
    <row r="268" spans="8:11" ht="17.45" customHeight="1" x14ac:dyDescent="0.3">
      <c r="H268" s="101">
        <f t="shared" si="17"/>
        <v>260</v>
      </c>
      <c r="I268" s="101">
        <f t="shared" si="18"/>
        <v>2</v>
      </c>
      <c r="J268" s="106">
        <f t="shared" si="19"/>
        <v>0.18</v>
      </c>
      <c r="K268" s="106">
        <f t="shared" si="20"/>
        <v>56.799999999999926</v>
      </c>
    </row>
    <row r="269" spans="8:11" ht="17.45" customHeight="1" x14ac:dyDescent="0.3">
      <c r="H269" s="101">
        <f t="shared" si="17"/>
        <v>261</v>
      </c>
      <c r="I269" s="101">
        <f t="shared" si="18"/>
        <v>2</v>
      </c>
      <c r="J269" s="106">
        <f t="shared" si="19"/>
        <v>0.18</v>
      </c>
      <c r="K269" s="106">
        <f t="shared" si="20"/>
        <v>56.979999999999926</v>
      </c>
    </row>
    <row r="270" spans="8:11" ht="17.45" customHeight="1" x14ac:dyDescent="0.3">
      <c r="H270" s="101">
        <f t="shared" si="17"/>
        <v>262</v>
      </c>
      <c r="I270" s="101">
        <f t="shared" si="18"/>
        <v>2</v>
      </c>
      <c r="J270" s="106">
        <f t="shared" si="19"/>
        <v>0.18</v>
      </c>
      <c r="K270" s="106">
        <f t="shared" si="20"/>
        <v>57.159999999999926</v>
      </c>
    </row>
    <row r="271" spans="8:11" ht="17.45" customHeight="1" x14ac:dyDescent="0.3">
      <c r="H271" s="101">
        <f t="shared" si="17"/>
        <v>263</v>
      </c>
      <c r="I271" s="101">
        <f t="shared" si="18"/>
        <v>2</v>
      </c>
      <c r="J271" s="106">
        <f t="shared" si="19"/>
        <v>0.18</v>
      </c>
      <c r="K271" s="106">
        <f t="shared" si="20"/>
        <v>57.339999999999925</v>
      </c>
    </row>
    <row r="272" spans="8:11" ht="17.45" customHeight="1" x14ac:dyDescent="0.3">
      <c r="H272" s="101">
        <f t="shared" si="17"/>
        <v>264</v>
      </c>
      <c r="I272" s="101">
        <f t="shared" si="18"/>
        <v>2</v>
      </c>
      <c r="J272" s="106">
        <f t="shared" si="19"/>
        <v>0.18</v>
      </c>
      <c r="K272" s="106">
        <f t="shared" si="20"/>
        <v>57.519999999999925</v>
      </c>
    </row>
    <row r="273" spans="8:11" ht="17.45" customHeight="1" x14ac:dyDescent="0.3">
      <c r="H273" s="101">
        <f t="shared" si="17"/>
        <v>265</v>
      </c>
      <c r="I273" s="101">
        <f t="shared" si="18"/>
        <v>2</v>
      </c>
      <c r="J273" s="106">
        <f t="shared" si="19"/>
        <v>0.18</v>
      </c>
      <c r="K273" s="106">
        <f t="shared" si="20"/>
        <v>57.699999999999925</v>
      </c>
    </row>
    <row r="274" spans="8:11" ht="17.45" customHeight="1" x14ac:dyDescent="0.3">
      <c r="H274" s="101">
        <f t="shared" si="17"/>
        <v>266</v>
      </c>
      <c r="I274" s="101">
        <f t="shared" si="18"/>
        <v>2</v>
      </c>
      <c r="J274" s="106">
        <f t="shared" si="19"/>
        <v>0.18</v>
      </c>
      <c r="K274" s="106">
        <f t="shared" si="20"/>
        <v>57.879999999999924</v>
      </c>
    </row>
    <row r="275" spans="8:11" ht="17.45" customHeight="1" x14ac:dyDescent="0.3">
      <c r="H275" s="101">
        <f t="shared" si="17"/>
        <v>267</v>
      </c>
      <c r="I275" s="101">
        <f t="shared" si="18"/>
        <v>2</v>
      </c>
      <c r="J275" s="106">
        <f t="shared" si="19"/>
        <v>0.18</v>
      </c>
      <c r="K275" s="106">
        <f t="shared" si="20"/>
        <v>58.059999999999924</v>
      </c>
    </row>
    <row r="276" spans="8:11" ht="17.45" customHeight="1" x14ac:dyDescent="0.3">
      <c r="H276" s="101">
        <f t="shared" si="17"/>
        <v>268</v>
      </c>
      <c r="I276" s="101">
        <f t="shared" si="18"/>
        <v>2</v>
      </c>
      <c r="J276" s="106">
        <f t="shared" si="19"/>
        <v>0.18</v>
      </c>
      <c r="K276" s="106">
        <f t="shared" si="20"/>
        <v>58.239999999999924</v>
      </c>
    </row>
    <row r="277" spans="8:11" ht="17.45" customHeight="1" x14ac:dyDescent="0.3">
      <c r="H277" s="101">
        <f t="shared" si="17"/>
        <v>269</v>
      </c>
      <c r="I277" s="101">
        <f t="shared" si="18"/>
        <v>2</v>
      </c>
      <c r="J277" s="106">
        <f t="shared" si="19"/>
        <v>0.18</v>
      </c>
      <c r="K277" s="106">
        <f t="shared" si="20"/>
        <v>58.419999999999924</v>
      </c>
    </row>
    <row r="278" spans="8:11" ht="17.45" customHeight="1" x14ac:dyDescent="0.3">
      <c r="H278" s="101">
        <f t="shared" si="17"/>
        <v>270</v>
      </c>
      <c r="I278" s="101">
        <f t="shared" si="18"/>
        <v>2</v>
      </c>
      <c r="J278" s="106">
        <f t="shared" si="19"/>
        <v>0.18</v>
      </c>
      <c r="K278" s="106">
        <f t="shared" si="20"/>
        <v>58.599999999999923</v>
      </c>
    </row>
    <row r="279" spans="8:11" ht="17.45" customHeight="1" x14ac:dyDescent="0.3">
      <c r="H279" s="101">
        <f t="shared" ref="H279:H342" si="21">H278+1</f>
        <v>271</v>
      </c>
      <c r="I279" s="101">
        <f t="shared" si="18"/>
        <v>2</v>
      </c>
      <c r="J279" s="106">
        <f t="shared" si="19"/>
        <v>0.18</v>
      </c>
      <c r="K279" s="106">
        <f t="shared" si="20"/>
        <v>58.779999999999923</v>
      </c>
    </row>
    <row r="280" spans="8:11" ht="17.45" customHeight="1" x14ac:dyDescent="0.3">
      <c r="H280" s="101">
        <f t="shared" si="21"/>
        <v>272</v>
      </c>
      <c r="I280" s="101">
        <f t="shared" si="18"/>
        <v>2</v>
      </c>
      <c r="J280" s="106">
        <f t="shared" si="19"/>
        <v>0.18</v>
      </c>
      <c r="K280" s="106">
        <f t="shared" si="20"/>
        <v>58.959999999999923</v>
      </c>
    </row>
    <row r="281" spans="8:11" ht="17.45" customHeight="1" x14ac:dyDescent="0.3">
      <c r="H281" s="101">
        <f t="shared" si="21"/>
        <v>273</v>
      </c>
      <c r="I281" s="101">
        <f t="shared" si="18"/>
        <v>2</v>
      </c>
      <c r="J281" s="106">
        <f t="shared" si="19"/>
        <v>0.18</v>
      </c>
      <c r="K281" s="106">
        <f t="shared" si="20"/>
        <v>59.139999999999922</v>
      </c>
    </row>
    <row r="282" spans="8:11" ht="17.45" customHeight="1" x14ac:dyDescent="0.3">
      <c r="H282" s="101">
        <f t="shared" si="21"/>
        <v>274</v>
      </c>
      <c r="I282" s="101">
        <f t="shared" si="18"/>
        <v>2</v>
      </c>
      <c r="J282" s="106">
        <f t="shared" si="19"/>
        <v>0.18</v>
      </c>
      <c r="K282" s="106">
        <f t="shared" si="20"/>
        <v>59.319999999999922</v>
      </c>
    </row>
    <row r="283" spans="8:11" ht="17.45" customHeight="1" x14ac:dyDescent="0.3">
      <c r="H283" s="101">
        <f t="shared" si="21"/>
        <v>275</v>
      </c>
      <c r="I283" s="101">
        <f t="shared" si="18"/>
        <v>2</v>
      </c>
      <c r="J283" s="106">
        <f t="shared" si="19"/>
        <v>0.18</v>
      </c>
      <c r="K283" s="106">
        <f t="shared" si="20"/>
        <v>59.499999999999922</v>
      </c>
    </row>
    <row r="284" spans="8:11" ht="17.45" customHeight="1" x14ac:dyDescent="0.3">
      <c r="H284" s="101">
        <f t="shared" si="21"/>
        <v>276</v>
      </c>
      <c r="I284" s="101">
        <f t="shared" si="18"/>
        <v>2</v>
      </c>
      <c r="J284" s="106">
        <f t="shared" si="19"/>
        <v>0.18</v>
      </c>
      <c r="K284" s="106">
        <f t="shared" si="20"/>
        <v>59.679999999999922</v>
      </c>
    </row>
    <row r="285" spans="8:11" ht="17.45" customHeight="1" x14ac:dyDescent="0.3">
      <c r="H285" s="101">
        <f t="shared" si="21"/>
        <v>277</v>
      </c>
      <c r="I285" s="101">
        <f t="shared" si="18"/>
        <v>2</v>
      </c>
      <c r="J285" s="106">
        <f t="shared" si="19"/>
        <v>0.18</v>
      </c>
      <c r="K285" s="106">
        <f t="shared" si="20"/>
        <v>59.859999999999921</v>
      </c>
    </row>
    <row r="286" spans="8:11" ht="17.45" customHeight="1" x14ac:dyDescent="0.3">
      <c r="H286" s="101">
        <f t="shared" si="21"/>
        <v>278</v>
      </c>
      <c r="I286" s="101">
        <f t="shared" si="18"/>
        <v>2</v>
      </c>
      <c r="J286" s="106">
        <f t="shared" si="19"/>
        <v>0.18</v>
      </c>
      <c r="K286" s="106">
        <f t="shared" si="20"/>
        <v>60.039999999999921</v>
      </c>
    </row>
    <row r="287" spans="8:11" ht="17.45" customHeight="1" x14ac:dyDescent="0.3">
      <c r="H287" s="101">
        <f t="shared" si="21"/>
        <v>279</v>
      </c>
      <c r="I287" s="101">
        <f t="shared" si="18"/>
        <v>2</v>
      </c>
      <c r="J287" s="106">
        <f t="shared" si="19"/>
        <v>0.18</v>
      </c>
      <c r="K287" s="106">
        <f t="shared" si="20"/>
        <v>60.219999999999921</v>
      </c>
    </row>
    <row r="288" spans="8:11" ht="17.45" customHeight="1" x14ac:dyDescent="0.3">
      <c r="H288" s="101">
        <f t="shared" si="21"/>
        <v>280</v>
      </c>
      <c r="I288" s="101">
        <f t="shared" si="18"/>
        <v>2</v>
      </c>
      <c r="J288" s="106">
        <f t="shared" si="19"/>
        <v>0.18</v>
      </c>
      <c r="K288" s="106">
        <f t="shared" si="20"/>
        <v>60.39999999999992</v>
      </c>
    </row>
    <row r="289" spans="8:11" ht="17.45" customHeight="1" x14ac:dyDescent="0.3">
      <c r="H289" s="101">
        <f t="shared" si="21"/>
        <v>281</v>
      </c>
      <c r="I289" s="101">
        <f t="shared" si="18"/>
        <v>2</v>
      </c>
      <c r="J289" s="106">
        <f t="shared" si="19"/>
        <v>0.18</v>
      </c>
      <c r="K289" s="106">
        <f t="shared" si="20"/>
        <v>60.57999999999992</v>
      </c>
    </row>
    <row r="290" spans="8:11" ht="17.45" customHeight="1" x14ac:dyDescent="0.3">
      <c r="H290" s="101">
        <f t="shared" si="21"/>
        <v>282</v>
      </c>
      <c r="I290" s="101">
        <f t="shared" si="18"/>
        <v>2</v>
      </c>
      <c r="J290" s="106">
        <f t="shared" si="19"/>
        <v>0.18</v>
      </c>
      <c r="K290" s="106">
        <f t="shared" si="20"/>
        <v>60.75999999999992</v>
      </c>
    </row>
    <row r="291" spans="8:11" ht="17.45" customHeight="1" x14ac:dyDescent="0.3">
      <c r="H291" s="101">
        <f t="shared" si="21"/>
        <v>283</v>
      </c>
      <c r="I291" s="101">
        <f t="shared" si="18"/>
        <v>2</v>
      </c>
      <c r="J291" s="106">
        <f t="shared" si="19"/>
        <v>0.18</v>
      </c>
      <c r="K291" s="106">
        <f t="shared" si="20"/>
        <v>60.93999999999992</v>
      </c>
    </row>
    <row r="292" spans="8:11" ht="17.45" customHeight="1" x14ac:dyDescent="0.3">
      <c r="H292" s="101">
        <f t="shared" si="21"/>
        <v>284</v>
      </c>
      <c r="I292" s="101">
        <f t="shared" si="18"/>
        <v>2</v>
      </c>
      <c r="J292" s="106">
        <f t="shared" si="19"/>
        <v>0.18</v>
      </c>
      <c r="K292" s="106">
        <f t="shared" si="20"/>
        <v>61.119999999999919</v>
      </c>
    </row>
    <row r="293" spans="8:11" ht="17.45" customHeight="1" x14ac:dyDescent="0.3">
      <c r="H293" s="101">
        <f t="shared" si="21"/>
        <v>285</v>
      </c>
      <c r="I293" s="101">
        <f t="shared" si="18"/>
        <v>2</v>
      </c>
      <c r="J293" s="106">
        <f t="shared" si="19"/>
        <v>0.18</v>
      </c>
      <c r="K293" s="106">
        <f t="shared" si="20"/>
        <v>61.299999999999919</v>
      </c>
    </row>
    <row r="294" spans="8:11" ht="17.45" customHeight="1" x14ac:dyDescent="0.3">
      <c r="H294" s="101">
        <f t="shared" si="21"/>
        <v>286</v>
      </c>
      <c r="I294" s="101">
        <f t="shared" si="18"/>
        <v>2</v>
      </c>
      <c r="J294" s="106">
        <f t="shared" si="19"/>
        <v>0.18</v>
      </c>
      <c r="K294" s="106">
        <f t="shared" si="20"/>
        <v>61.479999999999919</v>
      </c>
    </row>
    <row r="295" spans="8:11" ht="17.45" customHeight="1" x14ac:dyDescent="0.3">
      <c r="H295" s="101">
        <f t="shared" si="21"/>
        <v>287</v>
      </c>
      <c r="I295" s="101">
        <f t="shared" si="18"/>
        <v>2</v>
      </c>
      <c r="J295" s="106">
        <f t="shared" si="19"/>
        <v>0.18</v>
      </c>
      <c r="K295" s="106">
        <f t="shared" si="20"/>
        <v>61.659999999999918</v>
      </c>
    </row>
    <row r="296" spans="8:11" ht="17.45" customHeight="1" x14ac:dyDescent="0.3">
      <c r="H296" s="101">
        <f t="shared" si="21"/>
        <v>288</v>
      </c>
      <c r="I296" s="101">
        <f t="shared" si="18"/>
        <v>2</v>
      </c>
      <c r="J296" s="106">
        <f t="shared" si="19"/>
        <v>0.18</v>
      </c>
      <c r="K296" s="106">
        <f t="shared" si="20"/>
        <v>61.839999999999918</v>
      </c>
    </row>
    <row r="297" spans="8:11" ht="17.45" customHeight="1" x14ac:dyDescent="0.3">
      <c r="H297" s="101">
        <f t="shared" si="21"/>
        <v>289</v>
      </c>
      <c r="I297" s="101">
        <f t="shared" si="18"/>
        <v>2</v>
      </c>
      <c r="J297" s="106">
        <f t="shared" si="19"/>
        <v>0.18</v>
      </c>
      <c r="K297" s="106">
        <f t="shared" si="20"/>
        <v>62.019999999999918</v>
      </c>
    </row>
    <row r="298" spans="8:11" ht="17.45" customHeight="1" x14ac:dyDescent="0.3">
      <c r="H298" s="101">
        <f t="shared" si="21"/>
        <v>290</v>
      </c>
      <c r="I298" s="101">
        <f t="shared" si="18"/>
        <v>2</v>
      </c>
      <c r="J298" s="106">
        <f t="shared" si="19"/>
        <v>0.18</v>
      </c>
      <c r="K298" s="106">
        <f t="shared" si="20"/>
        <v>62.199999999999918</v>
      </c>
    </row>
    <row r="299" spans="8:11" ht="17.45" customHeight="1" x14ac:dyDescent="0.3">
      <c r="H299" s="101">
        <f t="shared" si="21"/>
        <v>291</v>
      </c>
      <c r="I299" s="101">
        <f t="shared" si="18"/>
        <v>2</v>
      </c>
      <c r="J299" s="106">
        <f t="shared" si="19"/>
        <v>0.18</v>
      </c>
      <c r="K299" s="106">
        <f t="shared" si="20"/>
        <v>62.379999999999917</v>
      </c>
    </row>
    <row r="300" spans="8:11" ht="17.45" customHeight="1" x14ac:dyDescent="0.3">
      <c r="H300" s="101">
        <f t="shared" si="21"/>
        <v>292</v>
      </c>
      <c r="I300" s="101">
        <f t="shared" si="18"/>
        <v>2</v>
      </c>
      <c r="J300" s="106">
        <f t="shared" si="19"/>
        <v>0.18</v>
      </c>
      <c r="K300" s="106">
        <f t="shared" si="20"/>
        <v>62.559999999999917</v>
      </c>
    </row>
    <row r="301" spans="8:11" ht="17.45" customHeight="1" x14ac:dyDescent="0.3">
      <c r="H301" s="101">
        <f t="shared" si="21"/>
        <v>293</v>
      </c>
      <c r="I301" s="101">
        <f t="shared" si="18"/>
        <v>2</v>
      </c>
      <c r="J301" s="106">
        <f t="shared" si="19"/>
        <v>0.18</v>
      </c>
      <c r="K301" s="106">
        <f t="shared" si="20"/>
        <v>62.739999999999917</v>
      </c>
    </row>
    <row r="302" spans="8:11" ht="17.45" customHeight="1" x14ac:dyDescent="0.3">
      <c r="H302" s="101">
        <f t="shared" si="21"/>
        <v>294</v>
      </c>
      <c r="I302" s="101">
        <f t="shared" si="18"/>
        <v>2</v>
      </c>
      <c r="J302" s="106">
        <f t="shared" si="19"/>
        <v>0.18</v>
      </c>
      <c r="K302" s="106">
        <f t="shared" si="20"/>
        <v>62.919999999999916</v>
      </c>
    </row>
    <row r="303" spans="8:11" ht="17.45" customHeight="1" x14ac:dyDescent="0.3">
      <c r="H303" s="101">
        <f t="shared" si="21"/>
        <v>295</v>
      </c>
      <c r="I303" s="101">
        <f t="shared" si="18"/>
        <v>2</v>
      </c>
      <c r="J303" s="106">
        <f t="shared" si="19"/>
        <v>0.18</v>
      </c>
      <c r="K303" s="106">
        <f t="shared" si="20"/>
        <v>63.099999999999916</v>
      </c>
    </row>
    <row r="304" spans="8:11" ht="17.45" customHeight="1" x14ac:dyDescent="0.3">
      <c r="H304" s="101">
        <f t="shared" si="21"/>
        <v>296</v>
      </c>
      <c r="I304" s="101">
        <f t="shared" si="18"/>
        <v>2</v>
      </c>
      <c r="J304" s="106">
        <f t="shared" si="19"/>
        <v>0.18</v>
      </c>
      <c r="K304" s="106">
        <f t="shared" si="20"/>
        <v>63.279999999999916</v>
      </c>
    </row>
    <row r="305" spans="8:11" ht="17.45" customHeight="1" x14ac:dyDescent="0.3">
      <c r="H305" s="101">
        <f t="shared" si="21"/>
        <v>297</v>
      </c>
      <c r="I305" s="101">
        <f t="shared" si="18"/>
        <v>2</v>
      </c>
      <c r="J305" s="106">
        <f t="shared" si="19"/>
        <v>0.18</v>
      </c>
      <c r="K305" s="106">
        <f t="shared" si="20"/>
        <v>63.459999999999916</v>
      </c>
    </row>
    <row r="306" spans="8:11" ht="17.45" customHeight="1" x14ac:dyDescent="0.3">
      <c r="H306" s="101">
        <f t="shared" si="21"/>
        <v>298</v>
      </c>
      <c r="I306" s="101">
        <f t="shared" si="18"/>
        <v>2</v>
      </c>
      <c r="J306" s="106">
        <f t="shared" si="19"/>
        <v>0.18</v>
      </c>
      <c r="K306" s="106">
        <f t="shared" si="20"/>
        <v>63.639999999999915</v>
      </c>
    </row>
    <row r="307" spans="8:11" ht="17.45" customHeight="1" x14ac:dyDescent="0.3">
      <c r="H307" s="101">
        <f t="shared" si="21"/>
        <v>299</v>
      </c>
      <c r="I307" s="101">
        <f t="shared" si="18"/>
        <v>2</v>
      </c>
      <c r="J307" s="106">
        <f t="shared" si="19"/>
        <v>0.18</v>
      </c>
      <c r="K307" s="106">
        <f t="shared" si="20"/>
        <v>63.819999999999915</v>
      </c>
    </row>
    <row r="308" spans="8:11" ht="17.45" customHeight="1" x14ac:dyDescent="0.3">
      <c r="H308" s="101">
        <f t="shared" si="21"/>
        <v>300</v>
      </c>
      <c r="I308" s="101">
        <f t="shared" si="18"/>
        <v>2</v>
      </c>
      <c r="J308" s="106">
        <f t="shared" si="19"/>
        <v>0.18</v>
      </c>
      <c r="K308" s="106">
        <f t="shared" si="20"/>
        <v>63.999999999999915</v>
      </c>
    </row>
    <row r="309" spans="8:11" ht="17.45" customHeight="1" x14ac:dyDescent="0.3">
      <c r="H309" s="101">
        <f t="shared" si="21"/>
        <v>301</v>
      </c>
      <c r="I309" s="101">
        <f t="shared" si="18"/>
        <v>2</v>
      </c>
      <c r="J309" s="106">
        <f t="shared" si="19"/>
        <v>0.18</v>
      </c>
      <c r="K309" s="106">
        <f t="shared" si="20"/>
        <v>64.179999999999922</v>
      </c>
    </row>
    <row r="310" spans="8:11" ht="17.45" customHeight="1" x14ac:dyDescent="0.3">
      <c r="H310" s="101">
        <f t="shared" si="21"/>
        <v>302</v>
      </c>
      <c r="I310" s="101">
        <f t="shared" si="18"/>
        <v>2</v>
      </c>
      <c r="J310" s="106">
        <f t="shared" si="19"/>
        <v>0.18</v>
      </c>
      <c r="K310" s="106">
        <f t="shared" si="20"/>
        <v>64.359999999999928</v>
      </c>
    </row>
    <row r="311" spans="8:11" ht="17.45" customHeight="1" x14ac:dyDescent="0.3">
      <c r="H311" s="101">
        <f t="shared" si="21"/>
        <v>303</v>
      </c>
      <c r="I311" s="101">
        <f t="shared" si="18"/>
        <v>2</v>
      </c>
      <c r="J311" s="106">
        <f t="shared" si="19"/>
        <v>0.18</v>
      </c>
      <c r="K311" s="106">
        <f t="shared" si="20"/>
        <v>64.539999999999935</v>
      </c>
    </row>
    <row r="312" spans="8:11" ht="17.45" customHeight="1" x14ac:dyDescent="0.3">
      <c r="H312" s="101">
        <f t="shared" si="21"/>
        <v>304</v>
      </c>
      <c r="I312" s="101">
        <f t="shared" si="18"/>
        <v>2</v>
      </c>
      <c r="J312" s="106">
        <f t="shared" si="19"/>
        <v>0.18</v>
      </c>
      <c r="K312" s="106">
        <f t="shared" si="20"/>
        <v>64.719999999999942</v>
      </c>
    </row>
    <row r="313" spans="8:11" ht="17.45" customHeight="1" x14ac:dyDescent="0.3">
      <c r="H313" s="101">
        <f t="shared" si="21"/>
        <v>305</v>
      </c>
      <c r="I313" s="101">
        <f t="shared" si="18"/>
        <v>2</v>
      </c>
      <c r="J313" s="106">
        <f t="shared" si="19"/>
        <v>0.18</v>
      </c>
      <c r="K313" s="106">
        <f t="shared" si="20"/>
        <v>64.899999999999949</v>
      </c>
    </row>
    <row r="314" spans="8:11" ht="17.45" customHeight="1" x14ac:dyDescent="0.3">
      <c r="H314" s="101">
        <f t="shared" si="21"/>
        <v>306</v>
      </c>
      <c r="I314" s="101">
        <f t="shared" si="18"/>
        <v>2</v>
      </c>
      <c r="J314" s="106">
        <f t="shared" si="19"/>
        <v>0.18</v>
      </c>
      <c r="K314" s="106">
        <f t="shared" si="20"/>
        <v>65.079999999999956</v>
      </c>
    </row>
    <row r="315" spans="8:11" ht="17.45" customHeight="1" x14ac:dyDescent="0.3">
      <c r="H315" s="101">
        <f t="shared" si="21"/>
        <v>307</v>
      </c>
      <c r="I315" s="101">
        <f t="shared" si="18"/>
        <v>2</v>
      </c>
      <c r="J315" s="106">
        <f t="shared" si="19"/>
        <v>0.18</v>
      </c>
      <c r="K315" s="106">
        <f t="shared" si="20"/>
        <v>65.259999999999962</v>
      </c>
    </row>
    <row r="316" spans="8:11" ht="17.45" customHeight="1" x14ac:dyDescent="0.3">
      <c r="H316" s="101">
        <f t="shared" si="21"/>
        <v>308</v>
      </c>
      <c r="I316" s="101">
        <f t="shared" si="18"/>
        <v>2</v>
      </c>
      <c r="J316" s="106">
        <f t="shared" si="19"/>
        <v>0.18</v>
      </c>
      <c r="K316" s="106">
        <f t="shared" si="20"/>
        <v>65.439999999999969</v>
      </c>
    </row>
    <row r="317" spans="8:11" ht="17.45" customHeight="1" x14ac:dyDescent="0.3">
      <c r="H317" s="101">
        <f t="shared" si="21"/>
        <v>309</v>
      </c>
      <c r="I317" s="101">
        <f t="shared" si="18"/>
        <v>2</v>
      </c>
      <c r="J317" s="106">
        <f t="shared" si="19"/>
        <v>0.18</v>
      </c>
      <c r="K317" s="106">
        <f t="shared" si="20"/>
        <v>65.619999999999976</v>
      </c>
    </row>
    <row r="318" spans="8:11" ht="17.45" customHeight="1" x14ac:dyDescent="0.3">
      <c r="H318" s="101">
        <f t="shared" si="21"/>
        <v>310</v>
      </c>
      <c r="I318" s="101">
        <f t="shared" si="18"/>
        <v>2</v>
      </c>
      <c r="J318" s="106">
        <f t="shared" si="19"/>
        <v>0.18</v>
      </c>
      <c r="K318" s="106">
        <f t="shared" si="20"/>
        <v>65.799999999999983</v>
      </c>
    </row>
    <row r="319" spans="8:11" ht="17.45" customHeight="1" x14ac:dyDescent="0.3">
      <c r="H319" s="101">
        <f t="shared" si="21"/>
        <v>311</v>
      </c>
      <c r="I319" s="101">
        <f t="shared" si="18"/>
        <v>2</v>
      </c>
      <c r="J319" s="106">
        <f t="shared" si="19"/>
        <v>0.18</v>
      </c>
      <c r="K319" s="106">
        <f t="shared" si="20"/>
        <v>65.97999999999999</v>
      </c>
    </row>
    <row r="320" spans="8:11" ht="17.45" customHeight="1" x14ac:dyDescent="0.3">
      <c r="H320" s="101">
        <f t="shared" si="21"/>
        <v>312</v>
      </c>
      <c r="I320" s="101">
        <f t="shared" si="18"/>
        <v>2</v>
      </c>
      <c r="J320" s="106">
        <f t="shared" si="19"/>
        <v>0.18</v>
      </c>
      <c r="K320" s="106">
        <f t="shared" si="20"/>
        <v>66.16</v>
      </c>
    </row>
    <row r="321" spans="8:11" ht="17.45" customHeight="1" x14ac:dyDescent="0.3">
      <c r="H321" s="101">
        <f t="shared" si="21"/>
        <v>313</v>
      </c>
      <c r="I321" s="101">
        <f t="shared" si="18"/>
        <v>2</v>
      </c>
      <c r="J321" s="106">
        <f t="shared" si="19"/>
        <v>0.18</v>
      </c>
      <c r="K321" s="106">
        <f t="shared" si="20"/>
        <v>66.34</v>
      </c>
    </row>
    <row r="322" spans="8:11" ht="17.45" customHeight="1" x14ac:dyDescent="0.3">
      <c r="H322" s="101">
        <f t="shared" si="21"/>
        <v>314</v>
      </c>
      <c r="I322" s="101">
        <f t="shared" si="18"/>
        <v>2</v>
      </c>
      <c r="J322" s="106">
        <f t="shared" si="19"/>
        <v>0.18</v>
      </c>
      <c r="K322" s="106">
        <f t="shared" si="20"/>
        <v>66.52000000000001</v>
      </c>
    </row>
    <row r="323" spans="8:11" ht="17.45" customHeight="1" x14ac:dyDescent="0.3">
      <c r="H323" s="101">
        <f t="shared" si="21"/>
        <v>315</v>
      </c>
      <c r="I323" s="101">
        <f t="shared" si="18"/>
        <v>2</v>
      </c>
      <c r="J323" s="106">
        <f t="shared" si="19"/>
        <v>0.18</v>
      </c>
      <c r="K323" s="106">
        <f t="shared" si="20"/>
        <v>66.700000000000017</v>
      </c>
    </row>
    <row r="324" spans="8:11" ht="17.45" customHeight="1" x14ac:dyDescent="0.3">
      <c r="H324" s="101">
        <f t="shared" si="21"/>
        <v>316</v>
      </c>
      <c r="I324" s="101">
        <f t="shared" si="18"/>
        <v>2</v>
      </c>
      <c r="J324" s="106">
        <f t="shared" si="19"/>
        <v>0.18</v>
      </c>
      <c r="K324" s="106">
        <f t="shared" si="20"/>
        <v>66.880000000000024</v>
      </c>
    </row>
    <row r="325" spans="8:11" ht="17.45" customHeight="1" x14ac:dyDescent="0.3">
      <c r="H325" s="101">
        <f t="shared" si="21"/>
        <v>317</v>
      </c>
      <c r="I325" s="101">
        <f t="shared" si="18"/>
        <v>2</v>
      </c>
      <c r="J325" s="106">
        <f t="shared" si="19"/>
        <v>0.18</v>
      </c>
      <c r="K325" s="106">
        <f t="shared" si="20"/>
        <v>67.060000000000031</v>
      </c>
    </row>
    <row r="326" spans="8:11" ht="17.45" customHeight="1" x14ac:dyDescent="0.3">
      <c r="H326" s="101">
        <f t="shared" si="21"/>
        <v>318</v>
      </c>
      <c r="I326" s="101">
        <f t="shared" si="18"/>
        <v>2</v>
      </c>
      <c r="J326" s="106">
        <f t="shared" si="19"/>
        <v>0.18</v>
      </c>
      <c r="K326" s="106">
        <f t="shared" si="20"/>
        <v>67.240000000000038</v>
      </c>
    </row>
    <row r="327" spans="8:11" ht="17.45" customHeight="1" x14ac:dyDescent="0.3">
      <c r="H327" s="101">
        <f t="shared" si="21"/>
        <v>319</v>
      </c>
      <c r="I327" s="101">
        <f t="shared" si="18"/>
        <v>2</v>
      </c>
      <c r="J327" s="106">
        <f t="shared" si="19"/>
        <v>0.18</v>
      </c>
      <c r="K327" s="106">
        <f t="shared" si="20"/>
        <v>67.420000000000044</v>
      </c>
    </row>
    <row r="328" spans="8:11" ht="17.45" customHeight="1" x14ac:dyDescent="0.3">
      <c r="H328" s="101">
        <f t="shared" si="21"/>
        <v>320</v>
      </c>
      <c r="I328" s="101">
        <f t="shared" si="18"/>
        <v>2</v>
      </c>
      <c r="J328" s="106">
        <f t="shared" si="19"/>
        <v>0.18</v>
      </c>
      <c r="K328" s="106">
        <f t="shared" si="20"/>
        <v>67.600000000000051</v>
      </c>
    </row>
    <row r="329" spans="8:11" ht="17.45" customHeight="1" x14ac:dyDescent="0.3">
      <c r="H329" s="101">
        <f t="shared" si="21"/>
        <v>321</v>
      </c>
      <c r="I329" s="101">
        <f t="shared" ref="I329:I392" si="22">MATCH(H329,$C$8:$C$13,1)</f>
        <v>2</v>
      </c>
      <c r="J329" s="106">
        <f t="shared" si="19"/>
        <v>0.18</v>
      </c>
      <c r="K329" s="106">
        <f t="shared" si="20"/>
        <v>67.780000000000058</v>
      </c>
    </row>
    <row r="330" spans="8:11" ht="17.45" customHeight="1" x14ac:dyDescent="0.3">
      <c r="H330" s="101">
        <f t="shared" si="21"/>
        <v>322</v>
      </c>
      <c r="I330" s="101">
        <f t="shared" si="22"/>
        <v>2</v>
      </c>
      <c r="J330" s="106">
        <f t="shared" ref="J330:J393" si="23">INDEX($E$8:$E$13,I329)</f>
        <v>0.18</v>
      </c>
      <c r="K330" s="106">
        <f t="shared" ref="K330:K393" si="24">K329+J330</f>
        <v>67.960000000000065</v>
      </c>
    </row>
    <row r="331" spans="8:11" ht="17.45" customHeight="1" x14ac:dyDescent="0.3">
      <c r="H331" s="101">
        <f t="shared" si="21"/>
        <v>323</v>
      </c>
      <c r="I331" s="101">
        <f t="shared" si="22"/>
        <v>2</v>
      </c>
      <c r="J331" s="106">
        <f t="shared" si="23"/>
        <v>0.18</v>
      </c>
      <c r="K331" s="106">
        <f t="shared" si="24"/>
        <v>68.140000000000072</v>
      </c>
    </row>
    <row r="332" spans="8:11" ht="17.45" customHeight="1" x14ac:dyDescent="0.3">
      <c r="H332" s="101">
        <f t="shared" si="21"/>
        <v>324</v>
      </c>
      <c r="I332" s="101">
        <f t="shared" si="22"/>
        <v>2</v>
      </c>
      <c r="J332" s="106">
        <f t="shared" si="23"/>
        <v>0.18</v>
      </c>
      <c r="K332" s="106">
        <f t="shared" si="24"/>
        <v>68.320000000000078</v>
      </c>
    </row>
    <row r="333" spans="8:11" ht="17.45" customHeight="1" x14ac:dyDescent="0.3">
      <c r="H333" s="101">
        <f t="shared" si="21"/>
        <v>325</v>
      </c>
      <c r="I333" s="101">
        <f t="shared" si="22"/>
        <v>2</v>
      </c>
      <c r="J333" s="106">
        <f t="shared" si="23"/>
        <v>0.18</v>
      </c>
      <c r="K333" s="106">
        <f t="shared" si="24"/>
        <v>68.500000000000085</v>
      </c>
    </row>
    <row r="334" spans="8:11" ht="17.45" customHeight="1" x14ac:dyDescent="0.3">
      <c r="H334" s="101">
        <f t="shared" si="21"/>
        <v>326</v>
      </c>
      <c r="I334" s="101">
        <f t="shared" si="22"/>
        <v>2</v>
      </c>
      <c r="J334" s="106">
        <f t="shared" si="23"/>
        <v>0.18</v>
      </c>
      <c r="K334" s="106">
        <f t="shared" si="24"/>
        <v>68.680000000000092</v>
      </c>
    </row>
    <row r="335" spans="8:11" ht="17.45" customHeight="1" x14ac:dyDescent="0.3">
      <c r="H335" s="101">
        <f t="shared" si="21"/>
        <v>327</v>
      </c>
      <c r="I335" s="101">
        <f t="shared" si="22"/>
        <v>2</v>
      </c>
      <c r="J335" s="106">
        <f t="shared" si="23"/>
        <v>0.18</v>
      </c>
      <c r="K335" s="106">
        <f t="shared" si="24"/>
        <v>68.860000000000099</v>
      </c>
    </row>
    <row r="336" spans="8:11" ht="17.45" customHeight="1" x14ac:dyDescent="0.3">
      <c r="H336" s="101">
        <f t="shared" si="21"/>
        <v>328</v>
      </c>
      <c r="I336" s="101">
        <f t="shared" si="22"/>
        <v>2</v>
      </c>
      <c r="J336" s="106">
        <f t="shared" si="23"/>
        <v>0.18</v>
      </c>
      <c r="K336" s="106">
        <f t="shared" si="24"/>
        <v>69.040000000000106</v>
      </c>
    </row>
    <row r="337" spans="8:11" ht="17.45" customHeight="1" x14ac:dyDescent="0.3">
      <c r="H337" s="101">
        <f t="shared" si="21"/>
        <v>329</v>
      </c>
      <c r="I337" s="101">
        <f t="shared" si="22"/>
        <v>2</v>
      </c>
      <c r="J337" s="106">
        <f t="shared" si="23"/>
        <v>0.18</v>
      </c>
      <c r="K337" s="106">
        <f t="shared" si="24"/>
        <v>69.220000000000113</v>
      </c>
    </row>
    <row r="338" spans="8:11" ht="17.45" customHeight="1" x14ac:dyDescent="0.3">
      <c r="H338" s="101">
        <f t="shared" si="21"/>
        <v>330</v>
      </c>
      <c r="I338" s="101">
        <f t="shared" si="22"/>
        <v>2</v>
      </c>
      <c r="J338" s="106">
        <f t="shared" si="23"/>
        <v>0.18</v>
      </c>
      <c r="K338" s="106">
        <f t="shared" si="24"/>
        <v>69.400000000000119</v>
      </c>
    </row>
    <row r="339" spans="8:11" ht="17.45" customHeight="1" x14ac:dyDescent="0.3">
      <c r="H339" s="101">
        <f t="shared" si="21"/>
        <v>331</v>
      </c>
      <c r="I339" s="101">
        <f t="shared" si="22"/>
        <v>2</v>
      </c>
      <c r="J339" s="106">
        <f t="shared" si="23"/>
        <v>0.18</v>
      </c>
      <c r="K339" s="106">
        <f t="shared" si="24"/>
        <v>69.580000000000126</v>
      </c>
    </row>
    <row r="340" spans="8:11" ht="17.45" customHeight="1" x14ac:dyDescent="0.3">
      <c r="H340" s="101">
        <f t="shared" si="21"/>
        <v>332</v>
      </c>
      <c r="I340" s="101">
        <f t="shared" si="22"/>
        <v>2</v>
      </c>
      <c r="J340" s="106">
        <f t="shared" si="23"/>
        <v>0.18</v>
      </c>
      <c r="K340" s="106">
        <f t="shared" si="24"/>
        <v>69.760000000000133</v>
      </c>
    </row>
    <row r="341" spans="8:11" ht="17.45" customHeight="1" x14ac:dyDescent="0.3">
      <c r="H341" s="101">
        <f t="shared" si="21"/>
        <v>333</v>
      </c>
      <c r="I341" s="101">
        <f t="shared" si="22"/>
        <v>2</v>
      </c>
      <c r="J341" s="106">
        <f t="shared" si="23"/>
        <v>0.18</v>
      </c>
      <c r="K341" s="106">
        <f t="shared" si="24"/>
        <v>69.94000000000014</v>
      </c>
    </row>
    <row r="342" spans="8:11" ht="17.45" customHeight="1" x14ac:dyDescent="0.3">
      <c r="H342" s="101">
        <f t="shared" si="21"/>
        <v>334</v>
      </c>
      <c r="I342" s="101">
        <f t="shared" si="22"/>
        <v>2</v>
      </c>
      <c r="J342" s="106">
        <f t="shared" si="23"/>
        <v>0.18</v>
      </c>
      <c r="K342" s="106">
        <f t="shared" si="24"/>
        <v>70.120000000000147</v>
      </c>
    </row>
    <row r="343" spans="8:11" ht="17.45" customHeight="1" x14ac:dyDescent="0.3">
      <c r="H343" s="101">
        <f t="shared" ref="H343:H406" si="25">H342+1</f>
        <v>335</v>
      </c>
      <c r="I343" s="101">
        <f t="shared" si="22"/>
        <v>2</v>
      </c>
      <c r="J343" s="106">
        <f t="shared" si="23"/>
        <v>0.18</v>
      </c>
      <c r="K343" s="106">
        <f t="shared" si="24"/>
        <v>70.300000000000153</v>
      </c>
    </row>
    <row r="344" spans="8:11" ht="17.45" customHeight="1" x14ac:dyDescent="0.3">
      <c r="H344" s="101">
        <f t="shared" si="25"/>
        <v>336</v>
      </c>
      <c r="I344" s="101">
        <f t="shared" si="22"/>
        <v>2</v>
      </c>
      <c r="J344" s="106">
        <f t="shared" si="23"/>
        <v>0.18</v>
      </c>
      <c r="K344" s="106">
        <f t="shared" si="24"/>
        <v>70.48000000000016</v>
      </c>
    </row>
    <row r="345" spans="8:11" ht="17.45" customHeight="1" x14ac:dyDescent="0.3">
      <c r="H345" s="101">
        <f t="shared" si="25"/>
        <v>337</v>
      </c>
      <c r="I345" s="101">
        <f t="shared" si="22"/>
        <v>2</v>
      </c>
      <c r="J345" s="106">
        <f t="shared" si="23"/>
        <v>0.18</v>
      </c>
      <c r="K345" s="106">
        <f t="shared" si="24"/>
        <v>70.660000000000167</v>
      </c>
    </row>
    <row r="346" spans="8:11" ht="17.45" customHeight="1" x14ac:dyDescent="0.3">
      <c r="H346" s="101">
        <f t="shared" si="25"/>
        <v>338</v>
      </c>
      <c r="I346" s="101">
        <f t="shared" si="22"/>
        <v>2</v>
      </c>
      <c r="J346" s="106">
        <f t="shared" si="23"/>
        <v>0.18</v>
      </c>
      <c r="K346" s="106">
        <f t="shared" si="24"/>
        <v>70.840000000000174</v>
      </c>
    </row>
    <row r="347" spans="8:11" ht="17.45" customHeight="1" x14ac:dyDescent="0.3">
      <c r="H347" s="101">
        <f t="shared" si="25"/>
        <v>339</v>
      </c>
      <c r="I347" s="101">
        <f t="shared" si="22"/>
        <v>2</v>
      </c>
      <c r="J347" s="106">
        <f t="shared" si="23"/>
        <v>0.18</v>
      </c>
      <c r="K347" s="106">
        <f t="shared" si="24"/>
        <v>71.020000000000181</v>
      </c>
    </row>
    <row r="348" spans="8:11" ht="17.45" customHeight="1" x14ac:dyDescent="0.3">
      <c r="H348" s="101">
        <f t="shared" si="25"/>
        <v>340</v>
      </c>
      <c r="I348" s="101">
        <f t="shared" si="22"/>
        <v>2</v>
      </c>
      <c r="J348" s="106">
        <f t="shared" si="23"/>
        <v>0.18</v>
      </c>
      <c r="K348" s="106">
        <f t="shared" si="24"/>
        <v>71.200000000000188</v>
      </c>
    </row>
    <row r="349" spans="8:11" ht="17.45" customHeight="1" x14ac:dyDescent="0.3">
      <c r="H349" s="101">
        <f t="shared" si="25"/>
        <v>341</v>
      </c>
      <c r="I349" s="101">
        <f t="shared" si="22"/>
        <v>2</v>
      </c>
      <c r="J349" s="106">
        <f t="shared" si="23"/>
        <v>0.18</v>
      </c>
      <c r="K349" s="106">
        <f t="shared" si="24"/>
        <v>71.380000000000194</v>
      </c>
    </row>
    <row r="350" spans="8:11" ht="17.45" customHeight="1" x14ac:dyDescent="0.3">
      <c r="H350" s="101">
        <f t="shared" si="25"/>
        <v>342</v>
      </c>
      <c r="I350" s="101">
        <f t="shared" si="22"/>
        <v>2</v>
      </c>
      <c r="J350" s="106">
        <f t="shared" si="23"/>
        <v>0.18</v>
      </c>
      <c r="K350" s="106">
        <f t="shared" si="24"/>
        <v>71.560000000000201</v>
      </c>
    </row>
    <row r="351" spans="8:11" ht="17.45" customHeight="1" x14ac:dyDescent="0.3">
      <c r="H351" s="101">
        <f t="shared" si="25"/>
        <v>343</v>
      </c>
      <c r="I351" s="101">
        <f t="shared" si="22"/>
        <v>2</v>
      </c>
      <c r="J351" s="106">
        <f t="shared" si="23"/>
        <v>0.18</v>
      </c>
      <c r="K351" s="106">
        <f t="shared" si="24"/>
        <v>71.740000000000208</v>
      </c>
    </row>
    <row r="352" spans="8:11" ht="17.45" customHeight="1" x14ac:dyDescent="0.3">
      <c r="H352" s="101">
        <f t="shared" si="25"/>
        <v>344</v>
      </c>
      <c r="I352" s="101">
        <f t="shared" si="22"/>
        <v>2</v>
      </c>
      <c r="J352" s="106">
        <f t="shared" si="23"/>
        <v>0.18</v>
      </c>
      <c r="K352" s="106">
        <f t="shared" si="24"/>
        <v>71.920000000000215</v>
      </c>
    </row>
    <row r="353" spans="8:11" ht="17.45" customHeight="1" x14ac:dyDescent="0.3">
      <c r="H353" s="101">
        <f t="shared" si="25"/>
        <v>345</v>
      </c>
      <c r="I353" s="101">
        <f t="shared" si="22"/>
        <v>2</v>
      </c>
      <c r="J353" s="106">
        <f t="shared" si="23"/>
        <v>0.18</v>
      </c>
      <c r="K353" s="106">
        <f t="shared" si="24"/>
        <v>72.100000000000222</v>
      </c>
    </row>
    <row r="354" spans="8:11" ht="17.45" customHeight="1" x14ac:dyDescent="0.3">
      <c r="H354" s="101">
        <f t="shared" si="25"/>
        <v>346</v>
      </c>
      <c r="I354" s="101">
        <f t="shared" si="22"/>
        <v>2</v>
      </c>
      <c r="J354" s="106">
        <f t="shared" si="23"/>
        <v>0.18</v>
      </c>
      <c r="K354" s="106">
        <f t="shared" si="24"/>
        <v>72.280000000000229</v>
      </c>
    </row>
    <row r="355" spans="8:11" ht="17.45" customHeight="1" x14ac:dyDescent="0.3">
      <c r="H355" s="101">
        <f t="shared" si="25"/>
        <v>347</v>
      </c>
      <c r="I355" s="101">
        <f t="shared" si="22"/>
        <v>2</v>
      </c>
      <c r="J355" s="106">
        <f t="shared" si="23"/>
        <v>0.18</v>
      </c>
      <c r="K355" s="106">
        <f t="shared" si="24"/>
        <v>72.460000000000235</v>
      </c>
    </row>
    <row r="356" spans="8:11" ht="17.45" customHeight="1" x14ac:dyDescent="0.3">
      <c r="H356" s="101">
        <f t="shared" si="25"/>
        <v>348</v>
      </c>
      <c r="I356" s="101">
        <f t="shared" si="22"/>
        <v>2</v>
      </c>
      <c r="J356" s="106">
        <f t="shared" si="23"/>
        <v>0.18</v>
      </c>
      <c r="K356" s="106">
        <f t="shared" si="24"/>
        <v>72.640000000000242</v>
      </c>
    </row>
    <row r="357" spans="8:11" ht="17.45" customHeight="1" x14ac:dyDescent="0.3">
      <c r="H357" s="101">
        <f t="shared" si="25"/>
        <v>349</v>
      </c>
      <c r="I357" s="101">
        <f t="shared" si="22"/>
        <v>2</v>
      </c>
      <c r="J357" s="106">
        <f t="shared" si="23"/>
        <v>0.18</v>
      </c>
      <c r="K357" s="106">
        <f t="shared" si="24"/>
        <v>72.820000000000249</v>
      </c>
    </row>
    <row r="358" spans="8:11" ht="17.45" customHeight="1" x14ac:dyDescent="0.3">
      <c r="H358" s="101">
        <f t="shared" si="25"/>
        <v>350</v>
      </c>
      <c r="I358" s="101">
        <f t="shared" si="22"/>
        <v>2</v>
      </c>
      <c r="J358" s="106">
        <f t="shared" si="23"/>
        <v>0.18</v>
      </c>
      <c r="K358" s="106">
        <f t="shared" si="24"/>
        <v>73.000000000000256</v>
      </c>
    </row>
    <row r="359" spans="8:11" ht="17.45" customHeight="1" x14ac:dyDescent="0.3">
      <c r="H359" s="101">
        <f t="shared" si="25"/>
        <v>351</v>
      </c>
      <c r="I359" s="101">
        <f t="shared" si="22"/>
        <v>2</v>
      </c>
      <c r="J359" s="106">
        <f t="shared" si="23"/>
        <v>0.18</v>
      </c>
      <c r="K359" s="106">
        <f t="shared" si="24"/>
        <v>73.180000000000263</v>
      </c>
    </row>
    <row r="360" spans="8:11" ht="17.45" customHeight="1" x14ac:dyDescent="0.3">
      <c r="H360" s="101">
        <f t="shared" si="25"/>
        <v>352</v>
      </c>
      <c r="I360" s="101">
        <f t="shared" si="22"/>
        <v>2</v>
      </c>
      <c r="J360" s="106">
        <f t="shared" si="23"/>
        <v>0.18</v>
      </c>
      <c r="K360" s="106">
        <f t="shared" si="24"/>
        <v>73.360000000000269</v>
      </c>
    </row>
    <row r="361" spans="8:11" ht="17.45" customHeight="1" x14ac:dyDescent="0.3">
      <c r="H361" s="101">
        <f t="shared" si="25"/>
        <v>353</v>
      </c>
      <c r="I361" s="101">
        <f t="shared" si="22"/>
        <v>2</v>
      </c>
      <c r="J361" s="106">
        <f t="shared" si="23"/>
        <v>0.18</v>
      </c>
      <c r="K361" s="106">
        <f t="shared" si="24"/>
        <v>73.540000000000276</v>
      </c>
    </row>
    <row r="362" spans="8:11" ht="17.45" customHeight="1" x14ac:dyDescent="0.3">
      <c r="H362" s="101">
        <f t="shared" si="25"/>
        <v>354</v>
      </c>
      <c r="I362" s="101">
        <f t="shared" si="22"/>
        <v>2</v>
      </c>
      <c r="J362" s="106">
        <f t="shared" si="23"/>
        <v>0.18</v>
      </c>
      <c r="K362" s="106">
        <f t="shared" si="24"/>
        <v>73.720000000000283</v>
      </c>
    </row>
    <row r="363" spans="8:11" ht="17.45" customHeight="1" x14ac:dyDescent="0.3">
      <c r="H363" s="101">
        <f t="shared" si="25"/>
        <v>355</v>
      </c>
      <c r="I363" s="101">
        <f t="shared" si="22"/>
        <v>2</v>
      </c>
      <c r="J363" s="106">
        <f t="shared" si="23"/>
        <v>0.18</v>
      </c>
      <c r="K363" s="106">
        <f t="shared" si="24"/>
        <v>73.90000000000029</v>
      </c>
    </row>
    <row r="364" spans="8:11" ht="17.45" customHeight="1" x14ac:dyDescent="0.3">
      <c r="H364" s="101">
        <f t="shared" si="25"/>
        <v>356</v>
      </c>
      <c r="I364" s="101">
        <f t="shared" si="22"/>
        <v>2</v>
      </c>
      <c r="J364" s="106">
        <f t="shared" si="23"/>
        <v>0.18</v>
      </c>
      <c r="K364" s="106">
        <f t="shared" si="24"/>
        <v>74.080000000000297</v>
      </c>
    </row>
    <row r="365" spans="8:11" ht="17.45" customHeight="1" x14ac:dyDescent="0.3">
      <c r="H365" s="101">
        <f t="shared" si="25"/>
        <v>357</v>
      </c>
      <c r="I365" s="101">
        <f t="shared" si="22"/>
        <v>2</v>
      </c>
      <c r="J365" s="106">
        <f t="shared" si="23"/>
        <v>0.18</v>
      </c>
      <c r="K365" s="106">
        <f t="shared" si="24"/>
        <v>74.260000000000304</v>
      </c>
    </row>
    <row r="366" spans="8:11" ht="17.45" customHeight="1" x14ac:dyDescent="0.3">
      <c r="H366" s="101">
        <f t="shared" si="25"/>
        <v>358</v>
      </c>
      <c r="I366" s="101">
        <f t="shared" si="22"/>
        <v>2</v>
      </c>
      <c r="J366" s="106">
        <f t="shared" si="23"/>
        <v>0.18</v>
      </c>
      <c r="K366" s="106">
        <f t="shared" si="24"/>
        <v>74.44000000000031</v>
      </c>
    </row>
    <row r="367" spans="8:11" ht="17.45" customHeight="1" x14ac:dyDescent="0.3">
      <c r="H367" s="101">
        <f t="shared" si="25"/>
        <v>359</v>
      </c>
      <c r="I367" s="101">
        <f t="shared" si="22"/>
        <v>2</v>
      </c>
      <c r="J367" s="106">
        <f t="shared" si="23"/>
        <v>0.18</v>
      </c>
      <c r="K367" s="106">
        <f t="shared" si="24"/>
        <v>74.620000000000317</v>
      </c>
    </row>
    <row r="368" spans="8:11" ht="17.45" customHeight="1" x14ac:dyDescent="0.3">
      <c r="H368" s="101">
        <f t="shared" si="25"/>
        <v>360</v>
      </c>
      <c r="I368" s="101">
        <f t="shared" si="22"/>
        <v>2</v>
      </c>
      <c r="J368" s="106">
        <f t="shared" si="23"/>
        <v>0.18</v>
      </c>
      <c r="K368" s="106">
        <f t="shared" si="24"/>
        <v>74.800000000000324</v>
      </c>
    </row>
    <row r="369" spans="8:11" ht="17.45" customHeight="1" x14ac:dyDescent="0.3">
      <c r="H369" s="101">
        <f t="shared" si="25"/>
        <v>361</v>
      </c>
      <c r="I369" s="101">
        <f t="shared" si="22"/>
        <v>2</v>
      </c>
      <c r="J369" s="106">
        <f t="shared" si="23"/>
        <v>0.18</v>
      </c>
      <c r="K369" s="106">
        <f t="shared" si="24"/>
        <v>74.980000000000331</v>
      </c>
    </row>
    <row r="370" spans="8:11" ht="17.45" customHeight="1" x14ac:dyDescent="0.3">
      <c r="H370" s="101">
        <f t="shared" si="25"/>
        <v>362</v>
      </c>
      <c r="I370" s="101">
        <f t="shared" si="22"/>
        <v>2</v>
      </c>
      <c r="J370" s="106">
        <f t="shared" si="23"/>
        <v>0.18</v>
      </c>
      <c r="K370" s="106">
        <f t="shared" si="24"/>
        <v>75.160000000000338</v>
      </c>
    </row>
    <row r="371" spans="8:11" ht="17.45" customHeight="1" x14ac:dyDescent="0.3">
      <c r="H371" s="101">
        <f t="shared" si="25"/>
        <v>363</v>
      </c>
      <c r="I371" s="101">
        <f t="shared" si="22"/>
        <v>2</v>
      </c>
      <c r="J371" s="106">
        <f t="shared" si="23"/>
        <v>0.18</v>
      </c>
      <c r="K371" s="106">
        <f t="shared" si="24"/>
        <v>75.340000000000344</v>
      </c>
    </row>
    <row r="372" spans="8:11" ht="17.45" customHeight="1" x14ac:dyDescent="0.3">
      <c r="H372" s="101">
        <f t="shared" si="25"/>
        <v>364</v>
      </c>
      <c r="I372" s="101">
        <f t="shared" si="22"/>
        <v>2</v>
      </c>
      <c r="J372" s="106">
        <f t="shared" si="23"/>
        <v>0.18</v>
      </c>
      <c r="K372" s="106">
        <f t="shared" si="24"/>
        <v>75.520000000000351</v>
      </c>
    </row>
    <row r="373" spans="8:11" ht="17.45" customHeight="1" x14ac:dyDescent="0.3">
      <c r="H373" s="101">
        <f t="shared" si="25"/>
        <v>365</v>
      </c>
      <c r="I373" s="101">
        <f t="shared" si="22"/>
        <v>2</v>
      </c>
      <c r="J373" s="106">
        <f t="shared" si="23"/>
        <v>0.18</v>
      </c>
      <c r="K373" s="106">
        <f t="shared" si="24"/>
        <v>75.700000000000358</v>
      </c>
    </row>
    <row r="374" spans="8:11" ht="17.45" customHeight="1" x14ac:dyDescent="0.3">
      <c r="H374" s="101">
        <f t="shared" si="25"/>
        <v>366</v>
      </c>
      <c r="I374" s="101">
        <f t="shared" si="22"/>
        <v>2</v>
      </c>
      <c r="J374" s="106">
        <f t="shared" si="23"/>
        <v>0.18</v>
      </c>
      <c r="K374" s="106">
        <f t="shared" si="24"/>
        <v>75.880000000000365</v>
      </c>
    </row>
    <row r="375" spans="8:11" ht="17.45" customHeight="1" x14ac:dyDescent="0.3">
      <c r="H375" s="101">
        <f t="shared" si="25"/>
        <v>367</v>
      </c>
      <c r="I375" s="101">
        <f t="shared" si="22"/>
        <v>2</v>
      </c>
      <c r="J375" s="106">
        <f t="shared" si="23"/>
        <v>0.18</v>
      </c>
      <c r="K375" s="106">
        <f t="shared" si="24"/>
        <v>76.060000000000372</v>
      </c>
    </row>
    <row r="376" spans="8:11" ht="17.45" customHeight="1" x14ac:dyDescent="0.3">
      <c r="H376" s="101">
        <f t="shared" si="25"/>
        <v>368</v>
      </c>
      <c r="I376" s="101">
        <f t="shared" si="22"/>
        <v>2</v>
      </c>
      <c r="J376" s="106">
        <f t="shared" si="23"/>
        <v>0.18</v>
      </c>
      <c r="K376" s="106">
        <f t="shared" si="24"/>
        <v>76.240000000000379</v>
      </c>
    </row>
    <row r="377" spans="8:11" ht="17.45" customHeight="1" x14ac:dyDescent="0.3">
      <c r="H377" s="101">
        <f t="shared" si="25"/>
        <v>369</v>
      </c>
      <c r="I377" s="101">
        <f t="shared" si="22"/>
        <v>2</v>
      </c>
      <c r="J377" s="106">
        <f t="shared" si="23"/>
        <v>0.18</v>
      </c>
      <c r="K377" s="106">
        <f t="shared" si="24"/>
        <v>76.420000000000385</v>
      </c>
    </row>
    <row r="378" spans="8:11" ht="17.45" customHeight="1" x14ac:dyDescent="0.3">
      <c r="H378" s="101">
        <f t="shared" si="25"/>
        <v>370</v>
      </c>
      <c r="I378" s="101">
        <f t="shared" si="22"/>
        <v>2</v>
      </c>
      <c r="J378" s="106">
        <f t="shared" si="23"/>
        <v>0.18</v>
      </c>
      <c r="K378" s="106">
        <f t="shared" si="24"/>
        <v>76.600000000000392</v>
      </c>
    </row>
    <row r="379" spans="8:11" ht="17.45" customHeight="1" x14ac:dyDescent="0.3">
      <c r="H379" s="101">
        <f t="shared" si="25"/>
        <v>371</v>
      </c>
      <c r="I379" s="101">
        <f t="shared" si="22"/>
        <v>2</v>
      </c>
      <c r="J379" s="106">
        <f t="shared" si="23"/>
        <v>0.18</v>
      </c>
      <c r="K379" s="106">
        <f t="shared" si="24"/>
        <v>76.780000000000399</v>
      </c>
    </row>
    <row r="380" spans="8:11" ht="17.45" customHeight="1" x14ac:dyDescent="0.3">
      <c r="H380" s="101">
        <f t="shared" si="25"/>
        <v>372</v>
      </c>
      <c r="I380" s="101">
        <f t="shared" si="22"/>
        <v>2</v>
      </c>
      <c r="J380" s="106">
        <f t="shared" si="23"/>
        <v>0.18</v>
      </c>
      <c r="K380" s="106">
        <f t="shared" si="24"/>
        <v>76.960000000000406</v>
      </c>
    </row>
    <row r="381" spans="8:11" ht="17.45" customHeight="1" x14ac:dyDescent="0.3">
      <c r="H381" s="101">
        <f t="shared" si="25"/>
        <v>373</v>
      </c>
      <c r="I381" s="101">
        <f t="shared" si="22"/>
        <v>2</v>
      </c>
      <c r="J381" s="106">
        <f t="shared" si="23"/>
        <v>0.18</v>
      </c>
      <c r="K381" s="106">
        <f t="shared" si="24"/>
        <v>77.140000000000413</v>
      </c>
    </row>
    <row r="382" spans="8:11" ht="17.45" customHeight="1" x14ac:dyDescent="0.3">
      <c r="H382" s="101">
        <f t="shared" si="25"/>
        <v>374</v>
      </c>
      <c r="I382" s="101">
        <f t="shared" si="22"/>
        <v>2</v>
      </c>
      <c r="J382" s="106">
        <f t="shared" si="23"/>
        <v>0.18</v>
      </c>
      <c r="K382" s="106">
        <f t="shared" si="24"/>
        <v>77.32000000000042</v>
      </c>
    </row>
    <row r="383" spans="8:11" ht="17.45" customHeight="1" x14ac:dyDescent="0.3">
      <c r="H383" s="101">
        <f t="shared" si="25"/>
        <v>375</v>
      </c>
      <c r="I383" s="101">
        <f t="shared" si="22"/>
        <v>2</v>
      </c>
      <c r="J383" s="106">
        <f t="shared" si="23"/>
        <v>0.18</v>
      </c>
      <c r="K383" s="106">
        <f t="shared" si="24"/>
        <v>77.500000000000426</v>
      </c>
    </row>
    <row r="384" spans="8:11" ht="17.45" customHeight="1" x14ac:dyDescent="0.3">
      <c r="H384" s="101">
        <f t="shared" si="25"/>
        <v>376</v>
      </c>
      <c r="I384" s="101">
        <f t="shared" si="22"/>
        <v>2</v>
      </c>
      <c r="J384" s="106">
        <f t="shared" si="23"/>
        <v>0.18</v>
      </c>
      <c r="K384" s="106">
        <f t="shared" si="24"/>
        <v>77.680000000000433</v>
      </c>
    </row>
    <row r="385" spans="8:11" ht="17.45" customHeight="1" x14ac:dyDescent="0.3">
      <c r="H385" s="101">
        <f t="shared" si="25"/>
        <v>377</v>
      </c>
      <c r="I385" s="101">
        <f t="shared" si="22"/>
        <v>2</v>
      </c>
      <c r="J385" s="106">
        <f t="shared" si="23"/>
        <v>0.18</v>
      </c>
      <c r="K385" s="106">
        <f t="shared" si="24"/>
        <v>77.86000000000044</v>
      </c>
    </row>
    <row r="386" spans="8:11" ht="17.45" customHeight="1" x14ac:dyDescent="0.3">
      <c r="H386" s="101">
        <f t="shared" si="25"/>
        <v>378</v>
      </c>
      <c r="I386" s="101">
        <f t="shared" si="22"/>
        <v>2</v>
      </c>
      <c r="J386" s="106">
        <f t="shared" si="23"/>
        <v>0.18</v>
      </c>
      <c r="K386" s="106">
        <f t="shared" si="24"/>
        <v>78.040000000000447</v>
      </c>
    </row>
    <row r="387" spans="8:11" ht="17.45" customHeight="1" x14ac:dyDescent="0.3">
      <c r="H387" s="101">
        <f t="shared" si="25"/>
        <v>379</v>
      </c>
      <c r="I387" s="101">
        <f t="shared" si="22"/>
        <v>2</v>
      </c>
      <c r="J387" s="106">
        <f t="shared" si="23"/>
        <v>0.18</v>
      </c>
      <c r="K387" s="106">
        <f t="shared" si="24"/>
        <v>78.220000000000454</v>
      </c>
    </row>
    <row r="388" spans="8:11" ht="17.45" customHeight="1" x14ac:dyDescent="0.3">
      <c r="H388" s="101">
        <f t="shared" si="25"/>
        <v>380</v>
      </c>
      <c r="I388" s="101">
        <f t="shared" si="22"/>
        <v>2</v>
      </c>
      <c r="J388" s="106">
        <f t="shared" si="23"/>
        <v>0.18</v>
      </c>
      <c r="K388" s="106">
        <f t="shared" si="24"/>
        <v>78.40000000000046</v>
      </c>
    </row>
    <row r="389" spans="8:11" ht="17.45" customHeight="1" x14ac:dyDescent="0.3">
      <c r="H389" s="101">
        <f t="shared" si="25"/>
        <v>381</v>
      </c>
      <c r="I389" s="101">
        <f t="shared" si="22"/>
        <v>2</v>
      </c>
      <c r="J389" s="106">
        <f t="shared" si="23"/>
        <v>0.18</v>
      </c>
      <c r="K389" s="106">
        <f t="shared" si="24"/>
        <v>78.580000000000467</v>
      </c>
    </row>
    <row r="390" spans="8:11" ht="17.45" customHeight="1" x14ac:dyDescent="0.3">
      <c r="H390" s="101">
        <f t="shared" si="25"/>
        <v>382</v>
      </c>
      <c r="I390" s="101">
        <f t="shared" si="22"/>
        <v>2</v>
      </c>
      <c r="J390" s="106">
        <f t="shared" si="23"/>
        <v>0.18</v>
      </c>
      <c r="K390" s="106">
        <f t="shared" si="24"/>
        <v>78.760000000000474</v>
      </c>
    </row>
    <row r="391" spans="8:11" ht="17.45" customHeight="1" x14ac:dyDescent="0.3">
      <c r="H391" s="101">
        <f t="shared" si="25"/>
        <v>383</v>
      </c>
      <c r="I391" s="101">
        <f t="shared" si="22"/>
        <v>2</v>
      </c>
      <c r="J391" s="106">
        <f t="shared" si="23"/>
        <v>0.18</v>
      </c>
      <c r="K391" s="106">
        <f t="shared" si="24"/>
        <v>78.940000000000481</v>
      </c>
    </row>
    <row r="392" spans="8:11" ht="17.45" customHeight="1" x14ac:dyDescent="0.3">
      <c r="H392" s="101">
        <f t="shared" si="25"/>
        <v>384</v>
      </c>
      <c r="I392" s="101">
        <f t="shared" si="22"/>
        <v>2</v>
      </c>
      <c r="J392" s="106">
        <f t="shared" si="23"/>
        <v>0.18</v>
      </c>
      <c r="K392" s="106">
        <f t="shared" si="24"/>
        <v>79.120000000000488</v>
      </c>
    </row>
    <row r="393" spans="8:11" ht="17.45" customHeight="1" x14ac:dyDescent="0.3">
      <c r="H393" s="101">
        <f t="shared" si="25"/>
        <v>385</v>
      </c>
      <c r="I393" s="101">
        <f t="shared" ref="I393:I456" si="26">MATCH(H393,$C$8:$C$13,1)</f>
        <v>2</v>
      </c>
      <c r="J393" s="106">
        <f t="shared" si="23"/>
        <v>0.18</v>
      </c>
      <c r="K393" s="106">
        <f t="shared" si="24"/>
        <v>79.300000000000495</v>
      </c>
    </row>
    <row r="394" spans="8:11" ht="17.45" customHeight="1" x14ac:dyDescent="0.3">
      <c r="H394" s="101">
        <f t="shared" si="25"/>
        <v>386</v>
      </c>
      <c r="I394" s="101">
        <f t="shared" si="26"/>
        <v>2</v>
      </c>
      <c r="J394" s="106">
        <f t="shared" ref="J394:J457" si="27">INDEX($E$8:$E$13,I393)</f>
        <v>0.18</v>
      </c>
      <c r="K394" s="106">
        <f t="shared" ref="K394:K457" si="28">K393+J394</f>
        <v>79.480000000000501</v>
      </c>
    </row>
    <row r="395" spans="8:11" ht="17.45" customHeight="1" x14ac:dyDescent="0.3">
      <c r="H395" s="101">
        <f t="shared" si="25"/>
        <v>387</v>
      </c>
      <c r="I395" s="101">
        <f t="shared" si="26"/>
        <v>2</v>
      </c>
      <c r="J395" s="106">
        <f t="shared" si="27"/>
        <v>0.18</v>
      </c>
      <c r="K395" s="106">
        <f t="shared" si="28"/>
        <v>79.660000000000508</v>
      </c>
    </row>
    <row r="396" spans="8:11" ht="17.45" customHeight="1" x14ac:dyDescent="0.3">
      <c r="H396" s="101">
        <f t="shared" si="25"/>
        <v>388</v>
      </c>
      <c r="I396" s="101">
        <f t="shared" si="26"/>
        <v>2</v>
      </c>
      <c r="J396" s="106">
        <f t="shared" si="27"/>
        <v>0.18</v>
      </c>
      <c r="K396" s="106">
        <f t="shared" si="28"/>
        <v>79.840000000000515</v>
      </c>
    </row>
    <row r="397" spans="8:11" ht="17.45" customHeight="1" x14ac:dyDescent="0.3">
      <c r="H397" s="101">
        <f t="shared" si="25"/>
        <v>389</v>
      </c>
      <c r="I397" s="101">
        <f t="shared" si="26"/>
        <v>2</v>
      </c>
      <c r="J397" s="106">
        <f t="shared" si="27"/>
        <v>0.18</v>
      </c>
      <c r="K397" s="106">
        <f t="shared" si="28"/>
        <v>80.020000000000522</v>
      </c>
    </row>
    <row r="398" spans="8:11" ht="17.45" customHeight="1" x14ac:dyDescent="0.3">
      <c r="H398" s="101">
        <f t="shared" si="25"/>
        <v>390</v>
      </c>
      <c r="I398" s="101">
        <f t="shared" si="26"/>
        <v>2</v>
      </c>
      <c r="J398" s="106">
        <f t="shared" si="27"/>
        <v>0.18</v>
      </c>
      <c r="K398" s="106">
        <f t="shared" si="28"/>
        <v>80.200000000000529</v>
      </c>
    </row>
    <row r="399" spans="8:11" ht="17.45" customHeight="1" x14ac:dyDescent="0.3">
      <c r="H399" s="101">
        <f t="shared" si="25"/>
        <v>391</v>
      </c>
      <c r="I399" s="101">
        <f t="shared" si="26"/>
        <v>2</v>
      </c>
      <c r="J399" s="106">
        <f t="shared" si="27"/>
        <v>0.18</v>
      </c>
      <c r="K399" s="106">
        <f t="shared" si="28"/>
        <v>80.380000000000535</v>
      </c>
    </row>
    <row r="400" spans="8:11" ht="17.45" customHeight="1" x14ac:dyDescent="0.3">
      <c r="H400" s="101">
        <f t="shared" si="25"/>
        <v>392</v>
      </c>
      <c r="I400" s="101">
        <f t="shared" si="26"/>
        <v>2</v>
      </c>
      <c r="J400" s="106">
        <f t="shared" si="27"/>
        <v>0.18</v>
      </c>
      <c r="K400" s="106">
        <f t="shared" si="28"/>
        <v>80.560000000000542</v>
      </c>
    </row>
    <row r="401" spans="8:11" ht="17.45" customHeight="1" x14ac:dyDescent="0.3">
      <c r="H401" s="101">
        <f t="shared" si="25"/>
        <v>393</v>
      </c>
      <c r="I401" s="101">
        <f t="shared" si="26"/>
        <v>2</v>
      </c>
      <c r="J401" s="106">
        <f t="shared" si="27"/>
        <v>0.18</v>
      </c>
      <c r="K401" s="106">
        <f t="shared" si="28"/>
        <v>80.740000000000549</v>
      </c>
    </row>
    <row r="402" spans="8:11" ht="17.45" customHeight="1" x14ac:dyDescent="0.3">
      <c r="H402" s="101">
        <f t="shared" si="25"/>
        <v>394</v>
      </c>
      <c r="I402" s="101">
        <f t="shared" si="26"/>
        <v>2</v>
      </c>
      <c r="J402" s="106">
        <f t="shared" si="27"/>
        <v>0.18</v>
      </c>
      <c r="K402" s="106">
        <f t="shared" si="28"/>
        <v>80.920000000000556</v>
      </c>
    </row>
    <row r="403" spans="8:11" ht="17.45" customHeight="1" x14ac:dyDescent="0.3">
      <c r="H403" s="101">
        <f t="shared" si="25"/>
        <v>395</v>
      </c>
      <c r="I403" s="101">
        <f t="shared" si="26"/>
        <v>2</v>
      </c>
      <c r="J403" s="106">
        <f t="shared" si="27"/>
        <v>0.18</v>
      </c>
      <c r="K403" s="106">
        <f t="shared" si="28"/>
        <v>81.100000000000563</v>
      </c>
    </row>
    <row r="404" spans="8:11" ht="17.45" customHeight="1" x14ac:dyDescent="0.3">
      <c r="H404" s="101">
        <f t="shared" si="25"/>
        <v>396</v>
      </c>
      <c r="I404" s="101">
        <f t="shared" si="26"/>
        <v>2</v>
      </c>
      <c r="J404" s="106">
        <f t="shared" si="27"/>
        <v>0.18</v>
      </c>
      <c r="K404" s="106">
        <f t="shared" si="28"/>
        <v>81.28000000000057</v>
      </c>
    </row>
    <row r="405" spans="8:11" ht="17.45" customHeight="1" x14ac:dyDescent="0.3">
      <c r="H405" s="101">
        <f t="shared" si="25"/>
        <v>397</v>
      </c>
      <c r="I405" s="101">
        <f t="shared" si="26"/>
        <v>2</v>
      </c>
      <c r="J405" s="106">
        <f t="shared" si="27"/>
        <v>0.18</v>
      </c>
      <c r="K405" s="106">
        <f t="shared" si="28"/>
        <v>81.460000000000576</v>
      </c>
    </row>
    <row r="406" spans="8:11" ht="17.45" customHeight="1" x14ac:dyDescent="0.3">
      <c r="H406" s="101">
        <f t="shared" si="25"/>
        <v>398</v>
      </c>
      <c r="I406" s="101">
        <f t="shared" si="26"/>
        <v>2</v>
      </c>
      <c r="J406" s="106">
        <f t="shared" si="27"/>
        <v>0.18</v>
      </c>
      <c r="K406" s="106">
        <f t="shared" si="28"/>
        <v>81.640000000000583</v>
      </c>
    </row>
    <row r="407" spans="8:11" ht="17.45" customHeight="1" x14ac:dyDescent="0.3">
      <c r="H407" s="101">
        <f t="shared" ref="H407:H470" si="29">H406+1</f>
        <v>399</v>
      </c>
      <c r="I407" s="101">
        <f t="shared" si="26"/>
        <v>2</v>
      </c>
      <c r="J407" s="106">
        <f t="shared" si="27"/>
        <v>0.18</v>
      </c>
      <c r="K407" s="106">
        <f t="shared" si="28"/>
        <v>81.82000000000059</v>
      </c>
    </row>
    <row r="408" spans="8:11" ht="17.45" customHeight="1" x14ac:dyDescent="0.3">
      <c r="H408" s="101">
        <f t="shared" si="29"/>
        <v>400</v>
      </c>
      <c r="I408" s="101">
        <f t="shared" si="26"/>
        <v>2</v>
      </c>
      <c r="J408" s="106">
        <f t="shared" si="27"/>
        <v>0.18</v>
      </c>
      <c r="K408" s="106">
        <f t="shared" si="28"/>
        <v>82.000000000000597</v>
      </c>
    </row>
    <row r="409" spans="8:11" ht="17.45" customHeight="1" x14ac:dyDescent="0.3">
      <c r="H409" s="101">
        <f t="shared" si="29"/>
        <v>401</v>
      </c>
      <c r="I409" s="101">
        <f t="shared" si="26"/>
        <v>2</v>
      </c>
      <c r="J409" s="106">
        <f t="shared" si="27"/>
        <v>0.18</v>
      </c>
      <c r="K409" s="106">
        <f t="shared" si="28"/>
        <v>82.180000000000604</v>
      </c>
    </row>
    <row r="410" spans="8:11" ht="17.45" customHeight="1" x14ac:dyDescent="0.3">
      <c r="H410" s="101">
        <f t="shared" si="29"/>
        <v>402</v>
      </c>
      <c r="I410" s="101">
        <f t="shared" si="26"/>
        <v>2</v>
      </c>
      <c r="J410" s="106">
        <f t="shared" si="27"/>
        <v>0.18</v>
      </c>
      <c r="K410" s="106">
        <f t="shared" si="28"/>
        <v>82.36000000000061</v>
      </c>
    </row>
    <row r="411" spans="8:11" ht="17.45" customHeight="1" x14ac:dyDescent="0.3">
      <c r="H411" s="101">
        <f t="shared" si="29"/>
        <v>403</v>
      </c>
      <c r="I411" s="101">
        <f t="shared" si="26"/>
        <v>2</v>
      </c>
      <c r="J411" s="106">
        <f t="shared" si="27"/>
        <v>0.18</v>
      </c>
      <c r="K411" s="106">
        <f t="shared" si="28"/>
        <v>82.540000000000617</v>
      </c>
    </row>
    <row r="412" spans="8:11" ht="17.45" customHeight="1" x14ac:dyDescent="0.3">
      <c r="H412" s="101">
        <f t="shared" si="29"/>
        <v>404</v>
      </c>
      <c r="I412" s="101">
        <f t="shared" si="26"/>
        <v>2</v>
      </c>
      <c r="J412" s="106">
        <f t="shared" si="27"/>
        <v>0.18</v>
      </c>
      <c r="K412" s="106">
        <f t="shared" si="28"/>
        <v>82.720000000000624</v>
      </c>
    </row>
    <row r="413" spans="8:11" ht="17.45" customHeight="1" x14ac:dyDescent="0.3">
      <c r="H413" s="101">
        <f t="shared" si="29"/>
        <v>405</v>
      </c>
      <c r="I413" s="101">
        <f t="shared" si="26"/>
        <v>2</v>
      </c>
      <c r="J413" s="106">
        <f t="shared" si="27"/>
        <v>0.18</v>
      </c>
      <c r="K413" s="106">
        <f t="shared" si="28"/>
        <v>82.900000000000631</v>
      </c>
    </row>
    <row r="414" spans="8:11" ht="17.45" customHeight="1" x14ac:dyDescent="0.3">
      <c r="H414" s="101">
        <f t="shared" si="29"/>
        <v>406</v>
      </c>
      <c r="I414" s="101">
        <f t="shared" si="26"/>
        <v>2</v>
      </c>
      <c r="J414" s="106">
        <f t="shared" si="27"/>
        <v>0.18</v>
      </c>
      <c r="K414" s="106">
        <f t="shared" si="28"/>
        <v>83.080000000000638</v>
      </c>
    </row>
    <row r="415" spans="8:11" ht="17.45" customHeight="1" x14ac:dyDescent="0.3">
      <c r="H415" s="101">
        <f t="shared" si="29"/>
        <v>407</v>
      </c>
      <c r="I415" s="101">
        <f t="shared" si="26"/>
        <v>2</v>
      </c>
      <c r="J415" s="106">
        <f t="shared" si="27"/>
        <v>0.18</v>
      </c>
      <c r="K415" s="106">
        <f t="shared" si="28"/>
        <v>83.260000000000645</v>
      </c>
    </row>
    <row r="416" spans="8:11" ht="17.45" customHeight="1" x14ac:dyDescent="0.3">
      <c r="H416" s="101">
        <f t="shared" si="29"/>
        <v>408</v>
      </c>
      <c r="I416" s="101">
        <f t="shared" si="26"/>
        <v>2</v>
      </c>
      <c r="J416" s="106">
        <f t="shared" si="27"/>
        <v>0.18</v>
      </c>
      <c r="K416" s="106">
        <f t="shared" si="28"/>
        <v>83.440000000000651</v>
      </c>
    </row>
    <row r="417" spans="8:11" ht="17.45" customHeight="1" x14ac:dyDescent="0.3">
      <c r="H417" s="101">
        <f t="shared" si="29"/>
        <v>409</v>
      </c>
      <c r="I417" s="101">
        <f t="shared" si="26"/>
        <v>2</v>
      </c>
      <c r="J417" s="106">
        <f t="shared" si="27"/>
        <v>0.18</v>
      </c>
      <c r="K417" s="106">
        <f t="shared" si="28"/>
        <v>83.620000000000658</v>
      </c>
    </row>
    <row r="418" spans="8:11" ht="17.45" customHeight="1" x14ac:dyDescent="0.3">
      <c r="H418" s="101">
        <f t="shared" si="29"/>
        <v>410</v>
      </c>
      <c r="I418" s="101">
        <f t="shared" si="26"/>
        <v>2</v>
      </c>
      <c r="J418" s="106">
        <f t="shared" si="27"/>
        <v>0.18</v>
      </c>
      <c r="K418" s="106">
        <f t="shared" si="28"/>
        <v>83.800000000000665</v>
      </c>
    </row>
    <row r="419" spans="8:11" ht="17.45" customHeight="1" x14ac:dyDescent="0.3">
      <c r="H419" s="101">
        <f t="shared" si="29"/>
        <v>411</v>
      </c>
      <c r="I419" s="101">
        <f t="shared" si="26"/>
        <v>2</v>
      </c>
      <c r="J419" s="106">
        <f t="shared" si="27"/>
        <v>0.18</v>
      </c>
      <c r="K419" s="106">
        <f t="shared" si="28"/>
        <v>83.980000000000672</v>
      </c>
    </row>
    <row r="420" spans="8:11" ht="17.45" customHeight="1" x14ac:dyDescent="0.3">
      <c r="H420" s="101">
        <f t="shared" si="29"/>
        <v>412</v>
      </c>
      <c r="I420" s="101">
        <f t="shared" si="26"/>
        <v>2</v>
      </c>
      <c r="J420" s="106">
        <f t="shared" si="27"/>
        <v>0.18</v>
      </c>
      <c r="K420" s="106">
        <f t="shared" si="28"/>
        <v>84.160000000000679</v>
      </c>
    </row>
    <row r="421" spans="8:11" ht="17.45" customHeight="1" x14ac:dyDescent="0.3">
      <c r="H421" s="101">
        <f t="shared" si="29"/>
        <v>413</v>
      </c>
      <c r="I421" s="101">
        <f t="shared" si="26"/>
        <v>2</v>
      </c>
      <c r="J421" s="106">
        <f t="shared" si="27"/>
        <v>0.18</v>
      </c>
      <c r="K421" s="106">
        <f t="shared" si="28"/>
        <v>84.340000000000686</v>
      </c>
    </row>
    <row r="422" spans="8:11" ht="17.45" customHeight="1" x14ac:dyDescent="0.3">
      <c r="H422" s="101">
        <f t="shared" si="29"/>
        <v>414</v>
      </c>
      <c r="I422" s="101">
        <f t="shared" si="26"/>
        <v>2</v>
      </c>
      <c r="J422" s="106">
        <f t="shared" si="27"/>
        <v>0.18</v>
      </c>
      <c r="K422" s="106">
        <f t="shared" si="28"/>
        <v>84.520000000000692</v>
      </c>
    </row>
    <row r="423" spans="8:11" ht="17.45" customHeight="1" x14ac:dyDescent="0.3">
      <c r="H423" s="101">
        <f t="shared" si="29"/>
        <v>415</v>
      </c>
      <c r="I423" s="101">
        <f t="shared" si="26"/>
        <v>2</v>
      </c>
      <c r="J423" s="106">
        <f t="shared" si="27"/>
        <v>0.18</v>
      </c>
      <c r="K423" s="106">
        <f t="shared" si="28"/>
        <v>84.700000000000699</v>
      </c>
    </row>
    <row r="424" spans="8:11" ht="17.45" customHeight="1" x14ac:dyDescent="0.3">
      <c r="H424" s="101">
        <f t="shared" si="29"/>
        <v>416</v>
      </c>
      <c r="I424" s="101">
        <f t="shared" si="26"/>
        <v>2</v>
      </c>
      <c r="J424" s="106">
        <f t="shared" si="27"/>
        <v>0.18</v>
      </c>
      <c r="K424" s="106">
        <f t="shared" si="28"/>
        <v>84.880000000000706</v>
      </c>
    </row>
    <row r="425" spans="8:11" ht="17.45" customHeight="1" x14ac:dyDescent="0.3">
      <c r="H425" s="101">
        <f t="shared" si="29"/>
        <v>417</v>
      </c>
      <c r="I425" s="101">
        <f t="shared" si="26"/>
        <v>2</v>
      </c>
      <c r="J425" s="106">
        <f t="shared" si="27"/>
        <v>0.18</v>
      </c>
      <c r="K425" s="106">
        <f t="shared" si="28"/>
        <v>85.060000000000713</v>
      </c>
    </row>
    <row r="426" spans="8:11" ht="17.45" customHeight="1" x14ac:dyDescent="0.3">
      <c r="H426" s="101">
        <f t="shared" si="29"/>
        <v>418</v>
      </c>
      <c r="I426" s="101">
        <f t="shared" si="26"/>
        <v>2</v>
      </c>
      <c r="J426" s="106">
        <f t="shared" si="27"/>
        <v>0.18</v>
      </c>
      <c r="K426" s="106">
        <f t="shared" si="28"/>
        <v>85.24000000000072</v>
      </c>
    </row>
    <row r="427" spans="8:11" ht="17.45" customHeight="1" x14ac:dyDescent="0.3">
      <c r="H427" s="101">
        <f t="shared" si="29"/>
        <v>419</v>
      </c>
      <c r="I427" s="101">
        <f t="shared" si="26"/>
        <v>2</v>
      </c>
      <c r="J427" s="106">
        <f t="shared" si="27"/>
        <v>0.18</v>
      </c>
      <c r="K427" s="106">
        <f t="shared" si="28"/>
        <v>85.420000000000726</v>
      </c>
    </row>
    <row r="428" spans="8:11" ht="17.45" customHeight="1" x14ac:dyDescent="0.3">
      <c r="H428" s="101">
        <f t="shared" si="29"/>
        <v>420</v>
      </c>
      <c r="I428" s="101">
        <f t="shared" si="26"/>
        <v>2</v>
      </c>
      <c r="J428" s="106">
        <f t="shared" si="27"/>
        <v>0.18</v>
      </c>
      <c r="K428" s="106">
        <f t="shared" si="28"/>
        <v>85.600000000000733</v>
      </c>
    </row>
    <row r="429" spans="8:11" ht="17.45" customHeight="1" x14ac:dyDescent="0.3">
      <c r="H429" s="101">
        <f t="shared" si="29"/>
        <v>421</v>
      </c>
      <c r="I429" s="101">
        <f t="shared" si="26"/>
        <v>2</v>
      </c>
      <c r="J429" s="106">
        <f t="shared" si="27"/>
        <v>0.18</v>
      </c>
      <c r="K429" s="106">
        <f t="shared" si="28"/>
        <v>85.78000000000074</v>
      </c>
    </row>
    <row r="430" spans="8:11" ht="17.45" customHeight="1" x14ac:dyDescent="0.3">
      <c r="H430" s="101">
        <f t="shared" si="29"/>
        <v>422</v>
      </c>
      <c r="I430" s="101">
        <f t="shared" si="26"/>
        <v>2</v>
      </c>
      <c r="J430" s="106">
        <f t="shared" si="27"/>
        <v>0.18</v>
      </c>
      <c r="K430" s="106">
        <f t="shared" si="28"/>
        <v>85.960000000000747</v>
      </c>
    </row>
    <row r="431" spans="8:11" ht="17.45" customHeight="1" x14ac:dyDescent="0.3">
      <c r="H431" s="101">
        <f t="shared" si="29"/>
        <v>423</v>
      </c>
      <c r="I431" s="101">
        <f t="shared" si="26"/>
        <v>2</v>
      </c>
      <c r="J431" s="106">
        <f t="shared" si="27"/>
        <v>0.18</v>
      </c>
      <c r="K431" s="106">
        <f t="shared" si="28"/>
        <v>86.140000000000754</v>
      </c>
    </row>
    <row r="432" spans="8:11" ht="17.45" customHeight="1" x14ac:dyDescent="0.3">
      <c r="H432" s="101">
        <f t="shared" si="29"/>
        <v>424</v>
      </c>
      <c r="I432" s="101">
        <f t="shared" si="26"/>
        <v>2</v>
      </c>
      <c r="J432" s="106">
        <f t="shared" si="27"/>
        <v>0.18</v>
      </c>
      <c r="K432" s="106">
        <f t="shared" si="28"/>
        <v>86.320000000000761</v>
      </c>
    </row>
    <row r="433" spans="8:11" ht="17.45" customHeight="1" x14ac:dyDescent="0.3">
      <c r="H433" s="101">
        <f t="shared" si="29"/>
        <v>425</v>
      </c>
      <c r="I433" s="101">
        <f t="shared" si="26"/>
        <v>2</v>
      </c>
      <c r="J433" s="106">
        <f t="shared" si="27"/>
        <v>0.18</v>
      </c>
      <c r="K433" s="106">
        <f t="shared" si="28"/>
        <v>86.500000000000767</v>
      </c>
    </row>
    <row r="434" spans="8:11" ht="17.45" customHeight="1" x14ac:dyDescent="0.3">
      <c r="H434" s="101">
        <f t="shared" si="29"/>
        <v>426</v>
      </c>
      <c r="I434" s="101">
        <f t="shared" si="26"/>
        <v>2</v>
      </c>
      <c r="J434" s="106">
        <f t="shared" si="27"/>
        <v>0.18</v>
      </c>
      <c r="K434" s="106">
        <f t="shared" si="28"/>
        <v>86.680000000000774</v>
      </c>
    </row>
    <row r="435" spans="8:11" ht="17.45" customHeight="1" x14ac:dyDescent="0.3">
      <c r="H435" s="101">
        <f t="shared" si="29"/>
        <v>427</v>
      </c>
      <c r="I435" s="101">
        <f t="shared" si="26"/>
        <v>2</v>
      </c>
      <c r="J435" s="106">
        <f t="shared" si="27"/>
        <v>0.18</v>
      </c>
      <c r="K435" s="106">
        <f t="shared" si="28"/>
        <v>86.860000000000781</v>
      </c>
    </row>
    <row r="436" spans="8:11" ht="17.45" customHeight="1" x14ac:dyDescent="0.3">
      <c r="H436" s="101">
        <f t="shared" si="29"/>
        <v>428</v>
      </c>
      <c r="I436" s="101">
        <f t="shared" si="26"/>
        <v>2</v>
      </c>
      <c r="J436" s="106">
        <f t="shared" si="27"/>
        <v>0.18</v>
      </c>
      <c r="K436" s="106">
        <f t="shared" si="28"/>
        <v>87.040000000000788</v>
      </c>
    </row>
    <row r="437" spans="8:11" ht="17.45" customHeight="1" x14ac:dyDescent="0.3">
      <c r="H437" s="101">
        <f t="shared" si="29"/>
        <v>429</v>
      </c>
      <c r="I437" s="101">
        <f t="shared" si="26"/>
        <v>2</v>
      </c>
      <c r="J437" s="106">
        <f t="shared" si="27"/>
        <v>0.18</v>
      </c>
      <c r="K437" s="106">
        <f t="shared" si="28"/>
        <v>87.220000000000795</v>
      </c>
    </row>
    <row r="438" spans="8:11" ht="17.45" customHeight="1" x14ac:dyDescent="0.3">
      <c r="H438" s="101">
        <f t="shared" si="29"/>
        <v>430</v>
      </c>
      <c r="I438" s="101">
        <f t="shared" si="26"/>
        <v>2</v>
      </c>
      <c r="J438" s="106">
        <f t="shared" si="27"/>
        <v>0.18</v>
      </c>
      <c r="K438" s="106">
        <f t="shared" si="28"/>
        <v>87.400000000000801</v>
      </c>
    </row>
    <row r="439" spans="8:11" ht="17.45" customHeight="1" x14ac:dyDescent="0.3">
      <c r="H439" s="101">
        <f t="shared" si="29"/>
        <v>431</v>
      </c>
      <c r="I439" s="101">
        <f t="shared" si="26"/>
        <v>2</v>
      </c>
      <c r="J439" s="106">
        <f t="shared" si="27"/>
        <v>0.18</v>
      </c>
      <c r="K439" s="106">
        <f t="shared" si="28"/>
        <v>87.580000000000808</v>
      </c>
    </row>
    <row r="440" spans="8:11" ht="17.45" customHeight="1" x14ac:dyDescent="0.3">
      <c r="H440" s="101">
        <f t="shared" si="29"/>
        <v>432</v>
      </c>
      <c r="I440" s="101">
        <f t="shared" si="26"/>
        <v>2</v>
      </c>
      <c r="J440" s="106">
        <f t="shared" si="27"/>
        <v>0.18</v>
      </c>
      <c r="K440" s="106">
        <f t="shared" si="28"/>
        <v>87.760000000000815</v>
      </c>
    </row>
    <row r="441" spans="8:11" ht="17.45" customHeight="1" x14ac:dyDescent="0.3">
      <c r="H441" s="101">
        <f t="shared" si="29"/>
        <v>433</v>
      </c>
      <c r="I441" s="101">
        <f t="shared" si="26"/>
        <v>2</v>
      </c>
      <c r="J441" s="106">
        <f t="shared" si="27"/>
        <v>0.18</v>
      </c>
      <c r="K441" s="106">
        <f t="shared" si="28"/>
        <v>87.940000000000822</v>
      </c>
    </row>
    <row r="442" spans="8:11" ht="17.45" customHeight="1" x14ac:dyDescent="0.3">
      <c r="H442" s="101">
        <f t="shared" si="29"/>
        <v>434</v>
      </c>
      <c r="I442" s="101">
        <f t="shared" si="26"/>
        <v>2</v>
      </c>
      <c r="J442" s="106">
        <f t="shared" si="27"/>
        <v>0.18</v>
      </c>
      <c r="K442" s="106">
        <f t="shared" si="28"/>
        <v>88.120000000000829</v>
      </c>
    </row>
    <row r="443" spans="8:11" ht="17.45" customHeight="1" x14ac:dyDescent="0.3">
      <c r="H443" s="101">
        <f t="shared" si="29"/>
        <v>435</v>
      </c>
      <c r="I443" s="101">
        <f t="shared" si="26"/>
        <v>2</v>
      </c>
      <c r="J443" s="106">
        <f t="shared" si="27"/>
        <v>0.18</v>
      </c>
      <c r="K443" s="106">
        <f t="shared" si="28"/>
        <v>88.300000000000836</v>
      </c>
    </row>
    <row r="444" spans="8:11" ht="17.45" customHeight="1" x14ac:dyDescent="0.3">
      <c r="H444" s="101">
        <f t="shared" si="29"/>
        <v>436</v>
      </c>
      <c r="I444" s="101">
        <f t="shared" si="26"/>
        <v>2</v>
      </c>
      <c r="J444" s="106">
        <f t="shared" si="27"/>
        <v>0.18</v>
      </c>
      <c r="K444" s="106">
        <f t="shared" si="28"/>
        <v>88.480000000000842</v>
      </c>
    </row>
    <row r="445" spans="8:11" ht="17.45" customHeight="1" x14ac:dyDescent="0.3">
      <c r="H445" s="101">
        <f t="shared" si="29"/>
        <v>437</v>
      </c>
      <c r="I445" s="101">
        <f t="shared" si="26"/>
        <v>2</v>
      </c>
      <c r="J445" s="106">
        <f t="shared" si="27"/>
        <v>0.18</v>
      </c>
      <c r="K445" s="106">
        <f t="shared" si="28"/>
        <v>88.660000000000849</v>
      </c>
    </row>
    <row r="446" spans="8:11" ht="17.45" customHeight="1" x14ac:dyDescent="0.3">
      <c r="H446" s="101">
        <f t="shared" si="29"/>
        <v>438</v>
      </c>
      <c r="I446" s="101">
        <f t="shared" si="26"/>
        <v>2</v>
      </c>
      <c r="J446" s="106">
        <f t="shared" si="27"/>
        <v>0.18</v>
      </c>
      <c r="K446" s="106">
        <f t="shared" si="28"/>
        <v>88.840000000000856</v>
      </c>
    </row>
    <row r="447" spans="8:11" ht="17.45" customHeight="1" x14ac:dyDescent="0.3">
      <c r="H447" s="101">
        <f t="shared" si="29"/>
        <v>439</v>
      </c>
      <c r="I447" s="101">
        <f t="shared" si="26"/>
        <v>2</v>
      </c>
      <c r="J447" s="106">
        <f t="shared" si="27"/>
        <v>0.18</v>
      </c>
      <c r="K447" s="106">
        <f t="shared" si="28"/>
        <v>89.020000000000863</v>
      </c>
    </row>
    <row r="448" spans="8:11" ht="17.45" customHeight="1" x14ac:dyDescent="0.3">
      <c r="H448" s="101">
        <f t="shared" si="29"/>
        <v>440</v>
      </c>
      <c r="I448" s="101">
        <f t="shared" si="26"/>
        <v>2</v>
      </c>
      <c r="J448" s="106">
        <f t="shared" si="27"/>
        <v>0.18</v>
      </c>
      <c r="K448" s="106">
        <f t="shared" si="28"/>
        <v>89.20000000000087</v>
      </c>
    </row>
    <row r="449" spans="8:11" ht="17.45" customHeight="1" x14ac:dyDescent="0.3">
      <c r="H449" s="101">
        <f t="shared" si="29"/>
        <v>441</v>
      </c>
      <c r="I449" s="101">
        <f t="shared" si="26"/>
        <v>2</v>
      </c>
      <c r="J449" s="106">
        <f t="shared" si="27"/>
        <v>0.18</v>
      </c>
      <c r="K449" s="106">
        <f t="shared" si="28"/>
        <v>89.380000000000877</v>
      </c>
    </row>
    <row r="450" spans="8:11" ht="17.45" customHeight="1" x14ac:dyDescent="0.3">
      <c r="H450" s="101">
        <f t="shared" si="29"/>
        <v>442</v>
      </c>
      <c r="I450" s="101">
        <f t="shared" si="26"/>
        <v>2</v>
      </c>
      <c r="J450" s="106">
        <f t="shared" si="27"/>
        <v>0.18</v>
      </c>
      <c r="K450" s="106">
        <f t="shared" si="28"/>
        <v>89.560000000000883</v>
      </c>
    </row>
    <row r="451" spans="8:11" ht="17.45" customHeight="1" x14ac:dyDescent="0.3">
      <c r="H451" s="101">
        <f t="shared" si="29"/>
        <v>443</v>
      </c>
      <c r="I451" s="101">
        <f t="shared" si="26"/>
        <v>2</v>
      </c>
      <c r="J451" s="106">
        <f t="shared" si="27"/>
        <v>0.18</v>
      </c>
      <c r="K451" s="106">
        <f t="shared" si="28"/>
        <v>89.74000000000089</v>
      </c>
    </row>
    <row r="452" spans="8:11" ht="17.45" customHeight="1" x14ac:dyDescent="0.3">
      <c r="H452" s="101">
        <f t="shared" si="29"/>
        <v>444</v>
      </c>
      <c r="I452" s="101">
        <f t="shared" si="26"/>
        <v>2</v>
      </c>
      <c r="J452" s="106">
        <f t="shared" si="27"/>
        <v>0.18</v>
      </c>
      <c r="K452" s="106">
        <f t="shared" si="28"/>
        <v>89.920000000000897</v>
      </c>
    </row>
    <row r="453" spans="8:11" ht="17.45" customHeight="1" x14ac:dyDescent="0.3">
      <c r="H453" s="101">
        <f t="shared" si="29"/>
        <v>445</v>
      </c>
      <c r="I453" s="101">
        <f t="shared" si="26"/>
        <v>2</v>
      </c>
      <c r="J453" s="106">
        <f t="shared" si="27"/>
        <v>0.18</v>
      </c>
      <c r="K453" s="106">
        <f t="shared" si="28"/>
        <v>90.100000000000904</v>
      </c>
    </row>
    <row r="454" spans="8:11" ht="17.45" customHeight="1" x14ac:dyDescent="0.3">
      <c r="H454" s="101">
        <f t="shared" si="29"/>
        <v>446</v>
      </c>
      <c r="I454" s="101">
        <f t="shared" si="26"/>
        <v>2</v>
      </c>
      <c r="J454" s="106">
        <f t="shared" si="27"/>
        <v>0.18</v>
      </c>
      <c r="K454" s="106">
        <f t="shared" si="28"/>
        <v>90.280000000000911</v>
      </c>
    </row>
    <row r="455" spans="8:11" ht="17.45" customHeight="1" x14ac:dyDescent="0.3">
      <c r="H455" s="101">
        <f t="shared" si="29"/>
        <v>447</v>
      </c>
      <c r="I455" s="101">
        <f t="shared" si="26"/>
        <v>2</v>
      </c>
      <c r="J455" s="106">
        <f t="shared" si="27"/>
        <v>0.18</v>
      </c>
      <c r="K455" s="106">
        <f t="shared" si="28"/>
        <v>90.460000000000917</v>
      </c>
    </row>
    <row r="456" spans="8:11" ht="17.45" customHeight="1" x14ac:dyDescent="0.3">
      <c r="H456" s="101">
        <f t="shared" si="29"/>
        <v>448</v>
      </c>
      <c r="I456" s="101">
        <f t="shared" si="26"/>
        <v>2</v>
      </c>
      <c r="J456" s="106">
        <f t="shared" si="27"/>
        <v>0.18</v>
      </c>
      <c r="K456" s="106">
        <f t="shared" si="28"/>
        <v>90.640000000000924</v>
      </c>
    </row>
    <row r="457" spans="8:11" ht="17.45" customHeight="1" x14ac:dyDescent="0.3">
      <c r="H457" s="101">
        <f t="shared" si="29"/>
        <v>449</v>
      </c>
      <c r="I457" s="101">
        <f t="shared" ref="I457:I520" si="30">MATCH(H457,$C$8:$C$13,1)</f>
        <v>2</v>
      </c>
      <c r="J457" s="106">
        <f t="shared" si="27"/>
        <v>0.18</v>
      </c>
      <c r="K457" s="106">
        <f t="shared" si="28"/>
        <v>90.820000000000931</v>
      </c>
    </row>
    <row r="458" spans="8:11" ht="17.45" customHeight="1" x14ac:dyDescent="0.3">
      <c r="H458" s="101">
        <f t="shared" si="29"/>
        <v>450</v>
      </c>
      <c r="I458" s="101">
        <f t="shared" si="30"/>
        <v>2</v>
      </c>
      <c r="J458" s="106">
        <f t="shared" ref="J458:J521" si="31">INDEX($E$8:$E$13,I457)</f>
        <v>0.18</v>
      </c>
      <c r="K458" s="106">
        <f t="shared" ref="K458:K521" si="32">K457+J458</f>
        <v>91.000000000000938</v>
      </c>
    </row>
    <row r="459" spans="8:11" ht="17.45" customHeight="1" x14ac:dyDescent="0.3">
      <c r="H459" s="101">
        <f t="shared" si="29"/>
        <v>451</v>
      </c>
      <c r="I459" s="101">
        <f t="shared" si="30"/>
        <v>2</v>
      </c>
      <c r="J459" s="106">
        <f t="shared" si="31"/>
        <v>0.18</v>
      </c>
      <c r="K459" s="106">
        <f t="shared" si="32"/>
        <v>91.180000000000945</v>
      </c>
    </row>
    <row r="460" spans="8:11" ht="17.45" customHeight="1" x14ac:dyDescent="0.3">
      <c r="H460" s="101">
        <f t="shared" si="29"/>
        <v>452</v>
      </c>
      <c r="I460" s="101">
        <f t="shared" si="30"/>
        <v>2</v>
      </c>
      <c r="J460" s="106">
        <f t="shared" si="31"/>
        <v>0.18</v>
      </c>
      <c r="K460" s="106">
        <f t="shared" si="32"/>
        <v>91.360000000000952</v>
      </c>
    </row>
    <row r="461" spans="8:11" ht="17.45" customHeight="1" x14ac:dyDescent="0.3">
      <c r="H461" s="101">
        <f t="shared" si="29"/>
        <v>453</v>
      </c>
      <c r="I461" s="101">
        <f t="shared" si="30"/>
        <v>2</v>
      </c>
      <c r="J461" s="106">
        <f t="shared" si="31"/>
        <v>0.18</v>
      </c>
      <c r="K461" s="106">
        <f t="shared" si="32"/>
        <v>91.540000000000958</v>
      </c>
    </row>
    <row r="462" spans="8:11" ht="17.45" customHeight="1" x14ac:dyDescent="0.3">
      <c r="H462" s="101">
        <f t="shared" si="29"/>
        <v>454</v>
      </c>
      <c r="I462" s="101">
        <f t="shared" si="30"/>
        <v>2</v>
      </c>
      <c r="J462" s="106">
        <f t="shared" si="31"/>
        <v>0.18</v>
      </c>
      <c r="K462" s="106">
        <f t="shared" si="32"/>
        <v>91.720000000000965</v>
      </c>
    </row>
    <row r="463" spans="8:11" ht="17.45" customHeight="1" x14ac:dyDescent="0.3">
      <c r="H463" s="101">
        <f t="shared" si="29"/>
        <v>455</v>
      </c>
      <c r="I463" s="101">
        <f t="shared" si="30"/>
        <v>2</v>
      </c>
      <c r="J463" s="106">
        <f t="shared" si="31"/>
        <v>0.18</v>
      </c>
      <c r="K463" s="106">
        <f t="shared" si="32"/>
        <v>91.900000000000972</v>
      </c>
    </row>
    <row r="464" spans="8:11" ht="17.45" customHeight="1" x14ac:dyDescent="0.3">
      <c r="H464" s="101">
        <f t="shared" si="29"/>
        <v>456</v>
      </c>
      <c r="I464" s="101">
        <f t="shared" si="30"/>
        <v>2</v>
      </c>
      <c r="J464" s="106">
        <f t="shared" si="31"/>
        <v>0.18</v>
      </c>
      <c r="K464" s="106">
        <f t="shared" si="32"/>
        <v>92.080000000000979</v>
      </c>
    </row>
    <row r="465" spans="8:11" ht="17.45" customHeight="1" x14ac:dyDescent="0.3">
      <c r="H465" s="101">
        <f t="shared" si="29"/>
        <v>457</v>
      </c>
      <c r="I465" s="101">
        <f t="shared" si="30"/>
        <v>2</v>
      </c>
      <c r="J465" s="106">
        <f t="shared" si="31"/>
        <v>0.18</v>
      </c>
      <c r="K465" s="106">
        <f t="shared" si="32"/>
        <v>92.260000000000986</v>
      </c>
    </row>
    <row r="466" spans="8:11" ht="17.45" customHeight="1" x14ac:dyDescent="0.3">
      <c r="H466" s="101">
        <f t="shared" si="29"/>
        <v>458</v>
      </c>
      <c r="I466" s="101">
        <f t="shared" si="30"/>
        <v>2</v>
      </c>
      <c r="J466" s="106">
        <f t="shared" si="31"/>
        <v>0.18</v>
      </c>
      <c r="K466" s="106">
        <f t="shared" si="32"/>
        <v>92.440000000000992</v>
      </c>
    </row>
    <row r="467" spans="8:11" ht="17.45" customHeight="1" x14ac:dyDescent="0.3">
      <c r="H467" s="101">
        <f t="shared" si="29"/>
        <v>459</v>
      </c>
      <c r="I467" s="101">
        <f t="shared" si="30"/>
        <v>2</v>
      </c>
      <c r="J467" s="106">
        <f t="shared" si="31"/>
        <v>0.18</v>
      </c>
      <c r="K467" s="106">
        <f t="shared" si="32"/>
        <v>92.620000000000999</v>
      </c>
    </row>
    <row r="468" spans="8:11" ht="17.45" customHeight="1" x14ac:dyDescent="0.3">
      <c r="H468" s="101">
        <f t="shared" si="29"/>
        <v>460</v>
      </c>
      <c r="I468" s="101">
        <f t="shared" si="30"/>
        <v>2</v>
      </c>
      <c r="J468" s="106">
        <f t="shared" si="31"/>
        <v>0.18</v>
      </c>
      <c r="K468" s="106">
        <f t="shared" si="32"/>
        <v>92.800000000001006</v>
      </c>
    </row>
    <row r="469" spans="8:11" ht="17.45" customHeight="1" x14ac:dyDescent="0.3">
      <c r="H469" s="101">
        <f t="shared" si="29"/>
        <v>461</v>
      </c>
      <c r="I469" s="101">
        <f t="shared" si="30"/>
        <v>2</v>
      </c>
      <c r="J469" s="106">
        <f t="shared" si="31"/>
        <v>0.18</v>
      </c>
      <c r="K469" s="106">
        <f t="shared" si="32"/>
        <v>92.980000000001013</v>
      </c>
    </row>
    <row r="470" spans="8:11" ht="17.45" customHeight="1" x14ac:dyDescent="0.3">
      <c r="H470" s="101">
        <f t="shared" si="29"/>
        <v>462</v>
      </c>
      <c r="I470" s="101">
        <f t="shared" si="30"/>
        <v>2</v>
      </c>
      <c r="J470" s="106">
        <f t="shared" si="31"/>
        <v>0.18</v>
      </c>
      <c r="K470" s="106">
        <f t="shared" si="32"/>
        <v>93.16000000000102</v>
      </c>
    </row>
    <row r="471" spans="8:11" ht="17.45" customHeight="1" x14ac:dyDescent="0.3">
      <c r="H471" s="101">
        <f t="shared" ref="H471:H534" si="33">H470+1</f>
        <v>463</v>
      </c>
      <c r="I471" s="101">
        <f t="shared" si="30"/>
        <v>2</v>
      </c>
      <c r="J471" s="106">
        <f t="shared" si="31"/>
        <v>0.18</v>
      </c>
      <c r="K471" s="106">
        <f t="shared" si="32"/>
        <v>93.340000000001027</v>
      </c>
    </row>
    <row r="472" spans="8:11" ht="17.45" customHeight="1" x14ac:dyDescent="0.3">
      <c r="H472" s="101">
        <f t="shared" si="33"/>
        <v>464</v>
      </c>
      <c r="I472" s="101">
        <f t="shared" si="30"/>
        <v>2</v>
      </c>
      <c r="J472" s="106">
        <f t="shared" si="31"/>
        <v>0.18</v>
      </c>
      <c r="K472" s="106">
        <f t="shared" si="32"/>
        <v>93.520000000001033</v>
      </c>
    </row>
    <row r="473" spans="8:11" ht="17.45" customHeight="1" x14ac:dyDescent="0.3">
      <c r="H473" s="101">
        <f t="shared" si="33"/>
        <v>465</v>
      </c>
      <c r="I473" s="101">
        <f t="shared" si="30"/>
        <v>2</v>
      </c>
      <c r="J473" s="106">
        <f t="shared" si="31"/>
        <v>0.18</v>
      </c>
      <c r="K473" s="106">
        <f t="shared" si="32"/>
        <v>93.70000000000104</v>
      </c>
    </row>
    <row r="474" spans="8:11" ht="17.45" customHeight="1" x14ac:dyDescent="0.3">
      <c r="H474" s="101">
        <f t="shared" si="33"/>
        <v>466</v>
      </c>
      <c r="I474" s="101">
        <f t="shared" si="30"/>
        <v>2</v>
      </c>
      <c r="J474" s="106">
        <f t="shared" si="31"/>
        <v>0.18</v>
      </c>
      <c r="K474" s="106">
        <f t="shared" si="32"/>
        <v>93.880000000001047</v>
      </c>
    </row>
    <row r="475" spans="8:11" ht="17.45" customHeight="1" x14ac:dyDescent="0.3">
      <c r="H475" s="101">
        <f t="shared" si="33"/>
        <v>467</v>
      </c>
      <c r="I475" s="101">
        <f t="shared" si="30"/>
        <v>2</v>
      </c>
      <c r="J475" s="106">
        <f t="shared" si="31"/>
        <v>0.18</v>
      </c>
      <c r="K475" s="106">
        <f t="shared" si="32"/>
        <v>94.060000000001054</v>
      </c>
    </row>
    <row r="476" spans="8:11" ht="17.45" customHeight="1" x14ac:dyDescent="0.3">
      <c r="H476" s="101">
        <f t="shared" si="33"/>
        <v>468</v>
      </c>
      <c r="I476" s="101">
        <f t="shared" si="30"/>
        <v>2</v>
      </c>
      <c r="J476" s="106">
        <f t="shared" si="31"/>
        <v>0.18</v>
      </c>
      <c r="K476" s="106">
        <f t="shared" si="32"/>
        <v>94.240000000001061</v>
      </c>
    </row>
    <row r="477" spans="8:11" ht="17.45" customHeight="1" x14ac:dyDescent="0.3">
      <c r="H477" s="101">
        <f t="shared" si="33"/>
        <v>469</v>
      </c>
      <c r="I477" s="101">
        <f t="shared" si="30"/>
        <v>2</v>
      </c>
      <c r="J477" s="106">
        <f t="shared" si="31"/>
        <v>0.18</v>
      </c>
      <c r="K477" s="106">
        <f t="shared" si="32"/>
        <v>94.420000000001068</v>
      </c>
    </row>
    <row r="478" spans="8:11" ht="17.45" customHeight="1" x14ac:dyDescent="0.3">
      <c r="H478" s="101">
        <f t="shared" si="33"/>
        <v>470</v>
      </c>
      <c r="I478" s="101">
        <f t="shared" si="30"/>
        <v>2</v>
      </c>
      <c r="J478" s="106">
        <f t="shared" si="31"/>
        <v>0.18</v>
      </c>
      <c r="K478" s="106">
        <f t="shared" si="32"/>
        <v>94.600000000001074</v>
      </c>
    </row>
    <row r="479" spans="8:11" ht="17.45" customHeight="1" x14ac:dyDescent="0.3">
      <c r="H479" s="101">
        <f t="shared" si="33"/>
        <v>471</v>
      </c>
      <c r="I479" s="101">
        <f t="shared" si="30"/>
        <v>2</v>
      </c>
      <c r="J479" s="106">
        <f t="shared" si="31"/>
        <v>0.18</v>
      </c>
      <c r="K479" s="106">
        <f t="shared" si="32"/>
        <v>94.780000000001081</v>
      </c>
    </row>
    <row r="480" spans="8:11" ht="17.45" customHeight="1" x14ac:dyDescent="0.3">
      <c r="H480" s="101">
        <f t="shared" si="33"/>
        <v>472</v>
      </c>
      <c r="I480" s="101">
        <f t="shared" si="30"/>
        <v>2</v>
      </c>
      <c r="J480" s="106">
        <f t="shared" si="31"/>
        <v>0.18</v>
      </c>
      <c r="K480" s="106">
        <f t="shared" si="32"/>
        <v>94.960000000001088</v>
      </c>
    </row>
    <row r="481" spans="8:11" ht="17.45" customHeight="1" x14ac:dyDescent="0.3">
      <c r="H481" s="101">
        <f t="shared" si="33"/>
        <v>473</v>
      </c>
      <c r="I481" s="101">
        <f t="shared" si="30"/>
        <v>2</v>
      </c>
      <c r="J481" s="106">
        <f t="shared" si="31"/>
        <v>0.18</v>
      </c>
      <c r="K481" s="106">
        <f t="shared" si="32"/>
        <v>95.140000000001095</v>
      </c>
    </row>
    <row r="482" spans="8:11" ht="17.45" customHeight="1" x14ac:dyDescent="0.3">
      <c r="H482" s="101">
        <f t="shared" si="33"/>
        <v>474</v>
      </c>
      <c r="I482" s="101">
        <f t="shared" si="30"/>
        <v>2</v>
      </c>
      <c r="J482" s="106">
        <f t="shared" si="31"/>
        <v>0.18</v>
      </c>
      <c r="K482" s="106">
        <f t="shared" si="32"/>
        <v>95.320000000001102</v>
      </c>
    </row>
    <row r="483" spans="8:11" ht="17.45" customHeight="1" x14ac:dyDescent="0.3">
      <c r="H483" s="101">
        <f t="shared" si="33"/>
        <v>475</v>
      </c>
      <c r="I483" s="101">
        <f t="shared" si="30"/>
        <v>2</v>
      </c>
      <c r="J483" s="106">
        <f t="shared" si="31"/>
        <v>0.18</v>
      </c>
      <c r="K483" s="106">
        <f t="shared" si="32"/>
        <v>95.500000000001108</v>
      </c>
    </row>
    <row r="484" spans="8:11" ht="17.45" customHeight="1" x14ac:dyDescent="0.3">
      <c r="H484" s="101">
        <f t="shared" si="33"/>
        <v>476</v>
      </c>
      <c r="I484" s="101">
        <f t="shared" si="30"/>
        <v>2</v>
      </c>
      <c r="J484" s="106">
        <f t="shared" si="31"/>
        <v>0.18</v>
      </c>
      <c r="K484" s="106">
        <f t="shared" si="32"/>
        <v>95.680000000001115</v>
      </c>
    </row>
    <row r="485" spans="8:11" ht="17.45" customHeight="1" x14ac:dyDescent="0.3">
      <c r="H485" s="101">
        <f t="shared" si="33"/>
        <v>477</v>
      </c>
      <c r="I485" s="101">
        <f t="shared" si="30"/>
        <v>2</v>
      </c>
      <c r="J485" s="106">
        <f t="shared" si="31"/>
        <v>0.18</v>
      </c>
      <c r="K485" s="106">
        <f t="shared" si="32"/>
        <v>95.860000000001122</v>
      </c>
    </row>
    <row r="486" spans="8:11" ht="17.45" customHeight="1" x14ac:dyDescent="0.3">
      <c r="H486" s="101">
        <f t="shared" si="33"/>
        <v>478</v>
      </c>
      <c r="I486" s="101">
        <f t="shared" si="30"/>
        <v>2</v>
      </c>
      <c r="J486" s="106">
        <f t="shared" si="31"/>
        <v>0.18</v>
      </c>
      <c r="K486" s="106">
        <f t="shared" si="32"/>
        <v>96.040000000001129</v>
      </c>
    </row>
    <row r="487" spans="8:11" ht="17.45" customHeight="1" x14ac:dyDescent="0.3">
      <c r="H487" s="101">
        <f t="shared" si="33"/>
        <v>479</v>
      </c>
      <c r="I487" s="101">
        <f t="shared" si="30"/>
        <v>2</v>
      </c>
      <c r="J487" s="106">
        <f t="shared" si="31"/>
        <v>0.18</v>
      </c>
      <c r="K487" s="106">
        <f t="shared" si="32"/>
        <v>96.220000000001136</v>
      </c>
    </row>
    <row r="488" spans="8:11" ht="17.45" customHeight="1" x14ac:dyDescent="0.3">
      <c r="H488" s="101">
        <f t="shared" si="33"/>
        <v>480</v>
      </c>
      <c r="I488" s="101">
        <f t="shared" si="30"/>
        <v>2</v>
      </c>
      <c r="J488" s="106">
        <f t="shared" si="31"/>
        <v>0.18</v>
      </c>
      <c r="K488" s="106">
        <f t="shared" si="32"/>
        <v>96.400000000001143</v>
      </c>
    </row>
    <row r="489" spans="8:11" ht="17.45" customHeight="1" x14ac:dyDescent="0.3">
      <c r="H489" s="101">
        <f t="shared" si="33"/>
        <v>481</v>
      </c>
      <c r="I489" s="101">
        <f t="shared" si="30"/>
        <v>2</v>
      </c>
      <c r="J489" s="106">
        <f t="shared" si="31"/>
        <v>0.18</v>
      </c>
      <c r="K489" s="106">
        <f t="shared" si="32"/>
        <v>96.580000000001149</v>
      </c>
    </row>
    <row r="490" spans="8:11" ht="17.45" customHeight="1" x14ac:dyDescent="0.3">
      <c r="H490" s="101">
        <f t="shared" si="33"/>
        <v>482</v>
      </c>
      <c r="I490" s="101">
        <f t="shared" si="30"/>
        <v>2</v>
      </c>
      <c r="J490" s="106">
        <f t="shared" si="31"/>
        <v>0.18</v>
      </c>
      <c r="K490" s="106">
        <f t="shared" si="32"/>
        <v>96.760000000001156</v>
      </c>
    </row>
    <row r="491" spans="8:11" ht="17.45" customHeight="1" x14ac:dyDescent="0.3">
      <c r="H491" s="101">
        <f t="shared" si="33"/>
        <v>483</v>
      </c>
      <c r="I491" s="101">
        <f t="shared" si="30"/>
        <v>2</v>
      </c>
      <c r="J491" s="106">
        <f t="shared" si="31"/>
        <v>0.18</v>
      </c>
      <c r="K491" s="106">
        <f t="shared" si="32"/>
        <v>96.940000000001163</v>
      </c>
    </row>
    <row r="492" spans="8:11" ht="17.45" customHeight="1" x14ac:dyDescent="0.3">
      <c r="H492" s="101">
        <f t="shared" si="33"/>
        <v>484</v>
      </c>
      <c r="I492" s="101">
        <f t="shared" si="30"/>
        <v>2</v>
      </c>
      <c r="J492" s="106">
        <f t="shared" si="31"/>
        <v>0.18</v>
      </c>
      <c r="K492" s="106">
        <f t="shared" si="32"/>
        <v>97.12000000000117</v>
      </c>
    </row>
    <row r="493" spans="8:11" ht="17.45" customHeight="1" x14ac:dyDescent="0.3">
      <c r="H493" s="101">
        <f t="shared" si="33"/>
        <v>485</v>
      </c>
      <c r="I493" s="101">
        <f t="shared" si="30"/>
        <v>2</v>
      </c>
      <c r="J493" s="106">
        <f t="shared" si="31"/>
        <v>0.18</v>
      </c>
      <c r="K493" s="106">
        <f t="shared" si="32"/>
        <v>97.300000000001177</v>
      </c>
    </row>
    <row r="494" spans="8:11" ht="17.45" customHeight="1" x14ac:dyDescent="0.3">
      <c r="H494" s="101">
        <f t="shared" si="33"/>
        <v>486</v>
      </c>
      <c r="I494" s="101">
        <f t="shared" si="30"/>
        <v>2</v>
      </c>
      <c r="J494" s="106">
        <f t="shared" si="31"/>
        <v>0.18</v>
      </c>
      <c r="K494" s="106">
        <f t="shared" si="32"/>
        <v>97.480000000001183</v>
      </c>
    </row>
    <row r="495" spans="8:11" ht="17.45" customHeight="1" x14ac:dyDescent="0.3">
      <c r="H495" s="101">
        <f t="shared" si="33"/>
        <v>487</v>
      </c>
      <c r="I495" s="101">
        <f t="shared" si="30"/>
        <v>2</v>
      </c>
      <c r="J495" s="106">
        <f t="shared" si="31"/>
        <v>0.18</v>
      </c>
      <c r="K495" s="106">
        <f t="shared" si="32"/>
        <v>97.66000000000119</v>
      </c>
    </row>
    <row r="496" spans="8:11" ht="17.45" customHeight="1" x14ac:dyDescent="0.3">
      <c r="H496" s="101">
        <f t="shared" si="33"/>
        <v>488</v>
      </c>
      <c r="I496" s="101">
        <f t="shared" si="30"/>
        <v>2</v>
      </c>
      <c r="J496" s="106">
        <f t="shared" si="31"/>
        <v>0.18</v>
      </c>
      <c r="K496" s="106">
        <f t="shared" si="32"/>
        <v>97.840000000001197</v>
      </c>
    </row>
    <row r="497" spans="8:11" ht="17.45" customHeight="1" x14ac:dyDescent="0.3">
      <c r="H497" s="101">
        <f t="shared" si="33"/>
        <v>489</v>
      </c>
      <c r="I497" s="101">
        <f t="shared" si="30"/>
        <v>2</v>
      </c>
      <c r="J497" s="106">
        <f t="shared" si="31"/>
        <v>0.18</v>
      </c>
      <c r="K497" s="106">
        <f t="shared" si="32"/>
        <v>98.020000000001204</v>
      </c>
    </row>
    <row r="498" spans="8:11" ht="17.45" customHeight="1" x14ac:dyDescent="0.3">
      <c r="H498" s="101">
        <f t="shared" si="33"/>
        <v>490</v>
      </c>
      <c r="I498" s="101">
        <f t="shared" si="30"/>
        <v>2</v>
      </c>
      <c r="J498" s="106">
        <f t="shared" si="31"/>
        <v>0.18</v>
      </c>
      <c r="K498" s="106">
        <f t="shared" si="32"/>
        <v>98.200000000001211</v>
      </c>
    </row>
    <row r="499" spans="8:11" ht="17.45" customHeight="1" x14ac:dyDescent="0.3">
      <c r="H499" s="101">
        <f t="shared" si="33"/>
        <v>491</v>
      </c>
      <c r="I499" s="101">
        <f t="shared" si="30"/>
        <v>2</v>
      </c>
      <c r="J499" s="106">
        <f t="shared" si="31"/>
        <v>0.18</v>
      </c>
      <c r="K499" s="106">
        <f t="shared" si="32"/>
        <v>98.380000000001218</v>
      </c>
    </row>
    <row r="500" spans="8:11" ht="17.45" customHeight="1" x14ac:dyDescent="0.3">
      <c r="H500" s="101">
        <f t="shared" si="33"/>
        <v>492</v>
      </c>
      <c r="I500" s="101">
        <f t="shared" si="30"/>
        <v>2</v>
      </c>
      <c r="J500" s="106">
        <f t="shared" si="31"/>
        <v>0.18</v>
      </c>
      <c r="K500" s="106">
        <f t="shared" si="32"/>
        <v>98.560000000001224</v>
      </c>
    </row>
    <row r="501" spans="8:11" ht="17.45" customHeight="1" x14ac:dyDescent="0.3">
      <c r="H501" s="101">
        <f t="shared" si="33"/>
        <v>493</v>
      </c>
      <c r="I501" s="101">
        <f t="shared" si="30"/>
        <v>2</v>
      </c>
      <c r="J501" s="106">
        <f t="shared" si="31"/>
        <v>0.18</v>
      </c>
      <c r="K501" s="106">
        <f t="shared" si="32"/>
        <v>98.740000000001231</v>
      </c>
    </row>
    <row r="502" spans="8:11" ht="17.45" customHeight="1" x14ac:dyDescent="0.3">
      <c r="H502" s="101">
        <f t="shared" si="33"/>
        <v>494</v>
      </c>
      <c r="I502" s="101">
        <f t="shared" si="30"/>
        <v>2</v>
      </c>
      <c r="J502" s="106">
        <f t="shared" si="31"/>
        <v>0.18</v>
      </c>
      <c r="K502" s="106">
        <f t="shared" si="32"/>
        <v>98.920000000001238</v>
      </c>
    </row>
    <row r="503" spans="8:11" ht="17.45" customHeight="1" x14ac:dyDescent="0.3">
      <c r="H503" s="101">
        <f t="shared" si="33"/>
        <v>495</v>
      </c>
      <c r="I503" s="101">
        <f t="shared" si="30"/>
        <v>2</v>
      </c>
      <c r="J503" s="106">
        <f t="shared" si="31"/>
        <v>0.18</v>
      </c>
      <c r="K503" s="106">
        <f t="shared" si="32"/>
        <v>99.100000000001245</v>
      </c>
    </row>
    <row r="504" spans="8:11" ht="17.45" customHeight="1" x14ac:dyDescent="0.3">
      <c r="H504" s="101">
        <f t="shared" si="33"/>
        <v>496</v>
      </c>
      <c r="I504" s="101">
        <f t="shared" si="30"/>
        <v>2</v>
      </c>
      <c r="J504" s="106">
        <f t="shared" si="31"/>
        <v>0.18</v>
      </c>
      <c r="K504" s="106">
        <f t="shared" si="32"/>
        <v>99.280000000001252</v>
      </c>
    </row>
    <row r="505" spans="8:11" ht="17.45" customHeight="1" x14ac:dyDescent="0.3">
      <c r="H505" s="101">
        <f t="shared" si="33"/>
        <v>497</v>
      </c>
      <c r="I505" s="101">
        <f t="shared" si="30"/>
        <v>2</v>
      </c>
      <c r="J505" s="106">
        <f t="shared" si="31"/>
        <v>0.18</v>
      </c>
      <c r="K505" s="106">
        <f t="shared" si="32"/>
        <v>99.460000000001259</v>
      </c>
    </row>
    <row r="506" spans="8:11" ht="17.45" customHeight="1" x14ac:dyDescent="0.3">
      <c r="H506" s="101">
        <f t="shared" si="33"/>
        <v>498</v>
      </c>
      <c r="I506" s="101">
        <f t="shared" si="30"/>
        <v>2</v>
      </c>
      <c r="J506" s="106">
        <f t="shared" si="31"/>
        <v>0.18</v>
      </c>
      <c r="K506" s="106">
        <f t="shared" si="32"/>
        <v>99.640000000001265</v>
      </c>
    </row>
    <row r="507" spans="8:11" ht="17.45" customHeight="1" x14ac:dyDescent="0.3">
      <c r="H507" s="101">
        <f t="shared" si="33"/>
        <v>499</v>
      </c>
      <c r="I507" s="101">
        <f t="shared" si="30"/>
        <v>2</v>
      </c>
      <c r="J507" s="106">
        <f t="shared" si="31"/>
        <v>0.18</v>
      </c>
      <c r="K507" s="106">
        <f t="shared" si="32"/>
        <v>99.820000000001272</v>
      </c>
    </row>
    <row r="508" spans="8:11" ht="17.45" customHeight="1" x14ac:dyDescent="0.3">
      <c r="H508" s="101">
        <f t="shared" si="33"/>
        <v>500</v>
      </c>
      <c r="I508" s="101">
        <f t="shared" si="30"/>
        <v>3</v>
      </c>
      <c r="J508" s="106">
        <f t="shared" si="31"/>
        <v>0.18</v>
      </c>
      <c r="K508" s="106">
        <f t="shared" si="32"/>
        <v>100.00000000000128</v>
      </c>
    </row>
    <row r="509" spans="8:11" ht="17.45" customHeight="1" x14ac:dyDescent="0.3">
      <c r="H509" s="101">
        <f t="shared" si="33"/>
        <v>501</v>
      </c>
      <c r="I509" s="101">
        <f t="shared" si="30"/>
        <v>3</v>
      </c>
      <c r="J509" s="106">
        <f t="shared" si="31"/>
        <v>-0.2</v>
      </c>
      <c r="K509" s="106">
        <f t="shared" si="32"/>
        <v>99.800000000001276</v>
      </c>
    </row>
    <row r="510" spans="8:11" ht="17.45" customHeight="1" x14ac:dyDescent="0.3">
      <c r="H510" s="101">
        <f t="shared" si="33"/>
        <v>502</v>
      </c>
      <c r="I510" s="101">
        <f t="shared" si="30"/>
        <v>3</v>
      </c>
      <c r="J510" s="106">
        <f t="shared" si="31"/>
        <v>-0.2</v>
      </c>
      <c r="K510" s="106">
        <f t="shared" si="32"/>
        <v>99.600000000001273</v>
      </c>
    </row>
    <row r="511" spans="8:11" ht="17.45" customHeight="1" x14ac:dyDescent="0.3">
      <c r="H511" s="101">
        <f t="shared" si="33"/>
        <v>503</v>
      </c>
      <c r="I511" s="101">
        <f t="shared" si="30"/>
        <v>3</v>
      </c>
      <c r="J511" s="106">
        <f t="shared" si="31"/>
        <v>-0.2</v>
      </c>
      <c r="K511" s="106">
        <f t="shared" si="32"/>
        <v>99.40000000000127</v>
      </c>
    </row>
    <row r="512" spans="8:11" ht="17.45" customHeight="1" x14ac:dyDescent="0.3">
      <c r="H512" s="101">
        <f t="shared" si="33"/>
        <v>504</v>
      </c>
      <c r="I512" s="101">
        <f t="shared" si="30"/>
        <v>3</v>
      </c>
      <c r="J512" s="106">
        <f t="shared" si="31"/>
        <v>-0.2</v>
      </c>
      <c r="K512" s="106">
        <f t="shared" si="32"/>
        <v>99.200000000001268</v>
      </c>
    </row>
    <row r="513" spans="8:11" ht="17.45" customHeight="1" x14ac:dyDescent="0.3">
      <c r="H513" s="101">
        <f t="shared" si="33"/>
        <v>505</v>
      </c>
      <c r="I513" s="101">
        <f t="shared" si="30"/>
        <v>3</v>
      </c>
      <c r="J513" s="106">
        <f t="shared" si="31"/>
        <v>-0.2</v>
      </c>
      <c r="K513" s="106">
        <f t="shared" si="32"/>
        <v>99.000000000001265</v>
      </c>
    </row>
    <row r="514" spans="8:11" ht="17.45" customHeight="1" x14ac:dyDescent="0.3">
      <c r="H514" s="101">
        <f t="shared" si="33"/>
        <v>506</v>
      </c>
      <c r="I514" s="101">
        <f t="shared" si="30"/>
        <v>3</v>
      </c>
      <c r="J514" s="106">
        <f t="shared" si="31"/>
        <v>-0.2</v>
      </c>
      <c r="K514" s="106">
        <f t="shared" si="32"/>
        <v>98.800000000001262</v>
      </c>
    </row>
    <row r="515" spans="8:11" ht="17.45" customHeight="1" x14ac:dyDescent="0.3">
      <c r="H515" s="101">
        <f t="shared" si="33"/>
        <v>507</v>
      </c>
      <c r="I515" s="101">
        <f t="shared" si="30"/>
        <v>3</v>
      </c>
      <c r="J515" s="106">
        <f t="shared" si="31"/>
        <v>-0.2</v>
      </c>
      <c r="K515" s="106">
        <f t="shared" si="32"/>
        <v>98.600000000001259</v>
      </c>
    </row>
    <row r="516" spans="8:11" ht="17.45" customHeight="1" x14ac:dyDescent="0.3">
      <c r="H516" s="101">
        <f t="shared" si="33"/>
        <v>508</v>
      </c>
      <c r="I516" s="101">
        <f t="shared" si="30"/>
        <v>3</v>
      </c>
      <c r="J516" s="106">
        <f t="shared" si="31"/>
        <v>-0.2</v>
      </c>
      <c r="K516" s="106">
        <f t="shared" si="32"/>
        <v>98.400000000001256</v>
      </c>
    </row>
    <row r="517" spans="8:11" ht="17.45" customHeight="1" x14ac:dyDescent="0.3">
      <c r="H517" s="101">
        <f t="shared" si="33"/>
        <v>509</v>
      </c>
      <c r="I517" s="101">
        <f t="shared" si="30"/>
        <v>3</v>
      </c>
      <c r="J517" s="106">
        <f t="shared" si="31"/>
        <v>-0.2</v>
      </c>
      <c r="K517" s="106">
        <f t="shared" si="32"/>
        <v>98.200000000001253</v>
      </c>
    </row>
    <row r="518" spans="8:11" ht="17.45" customHeight="1" x14ac:dyDescent="0.3">
      <c r="H518" s="101">
        <f t="shared" si="33"/>
        <v>510</v>
      </c>
      <c r="I518" s="101">
        <f t="shared" si="30"/>
        <v>3</v>
      </c>
      <c r="J518" s="106">
        <f t="shared" si="31"/>
        <v>-0.2</v>
      </c>
      <c r="K518" s="106">
        <f t="shared" si="32"/>
        <v>98.000000000001251</v>
      </c>
    </row>
    <row r="519" spans="8:11" ht="17.45" customHeight="1" x14ac:dyDescent="0.3">
      <c r="H519" s="101">
        <f t="shared" si="33"/>
        <v>511</v>
      </c>
      <c r="I519" s="101">
        <f t="shared" si="30"/>
        <v>3</v>
      </c>
      <c r="J519" s="106">
        <f t="shared" si="31"/>
        <v>-0.2</v>
      </c>
      <c r="K519" s="106">
        <f t="shared" si="32"/>
        <v>97.800000000001248</v>
      </c>
    </row>
    <row r="520" spans="8:11" ht="17.45" customHeight="1" x14ac:dyDescent="0.3">
      <c r="H520" s="101">
        <f t="shared" si="33"/>
        <v>512</v>
      </c>
      <c r="I520" s="101">
        <f t="shared" si="30"/>
        <v>3</v>
      </c>
      <c r="J520" s="106">
        <f t="shared" si="31"/>
        <v>-0.2</v>
      </c>
      <c r="K520" s="106">
        <f t="shared" si="32"/>
        <v>97.600000000001245</v>
      </c>
    </row>
    <row r="521" spans="8:11" ht="17.45" customHeight="1" x14ac:dyDescent="0.3">
      <c r="H521" s="101">
        <f t="shared" si="33"/>
        <v>513</v>
      </c>
      <c r="I521" s="101">
        <f t="shared" ref="I521:I584" si="34">MATCH(H521,$C$8:$C$13,1)</f>
        <v>3</v>
      </c>
      <c r="J521" s="106">
        <f t="shared" si="31"/>
        <v>-0.2</v>
      </c>
      <c r="K521" s="106">
        <f t="shared" si="32"/>
        <v>97.400000000001242</v>
      </c>
    </row>
    <row r="522" spans="8:11" ht="17.45" customHeight="1" x14ac:dyDescent="0.3">
      <c r="H522" s="101">
        <f t="shared" si="33"/>
        <v>514</v>
      </c>
      <c r="I522" s="101">
        <f t="shared" si="34"/>
        <v>3</v>
      </c>
      <c r="J522" s="106">
        <f t="shared" ref="J522:J585" si="35">INDEX($E$8:$E$13,I521)</f>
        <v>-0.2</v>
      </c>
      <c r="K522" s="106">
        <f t="shared" ref="K522:K585" si="36">K521+J522</f>
        <v>97.200000000001239</v>
      </c>
    </row>
    <row r="523" spans="8:11" ht="17.45" customHeight="1" x14ac:dyDescent="0.3">
      <c r="H523" s="101">
        <f t="shared" si="33"/>
        <v>515</v>
      </c>
      <c r="I523" s="101">
        <f t="shared" si="34"/>
        <v>3</v>
      </c>
      <c r="J523" s="106">
        <f t="shared" si="35"/>
        <v>-0.2</v>
      </c>
      <c r="K523" s="106">
        <f t="shared" si="36"/>
        <v>97.000000000001236</v>
      </c>
    </row>
    <row r="524" spans="8:11" ht="17.45" customHeight="1" x14ac:dyDescent="0.3">
      <c r="H524" s="101">
        <f t="shared" si="33"/>
        <v>516</v>
      </c>
      <c r="I524" s="101">
        <f t="shared" si="34"/>
        <v>3</v>
      </c>
      <c r="J524" s="106">
        <f t="shared" si="35"/>
        <v>-0.2</v>
      </c>
      <c r="K524" s="106">
        <f t="shared" si="36"/>
        <v>96.800000000001234</v>
      </c>
    </row>
    <row r="525" spans="8:11" ht="17.45" customHeight="1" x14ac:dyDescent="0.3">
      <c r="H525" s="101">
        <f t="shared" si="33"/>
        <v>517</v>
      </c>
      <c r="I525" s="101">
        <f t="shared" si="34"/>
        <v>3</v>
      </c>
      <c r="J525" s="106">
        <f t="shared" si="35"/>
        <v>-0.2</v>
      </c>
      <c r="K525" s="106">
        <f t="shared" si="36"/>
        <v>96.600000000001231</v>
      </c>
    </row>
    <row r="526" spans="8:11" ht="17.45" customHeight="1" x14ac:dyDescent="0.3">
      <c r="H526" s="101">
        <f t="shared" si="33"/>
        <v>518</v>
      </c>
      <c r="I526" s="101">
        <f t="shared" si="34"/>
        <v>3</v>
      </c>
      <c r="J526" s="106">
        <f t="shared" si="35"/>
        <v>-0.2</v>
      </c>
      <c r="K526" s="106">
        <f t="shared" si="36"/>
        <v>96.400000000001228</v>
      </c>
    </row>
    <row r="527" spans="8:11" ht="17.45" customHeight="1" x14ac:dyDescent="0.3">
      <c r="H527" s="101">
        <f t="shared" si="33"/>
        <v>519</v>
      </c>
      <c r="I527" s="101">
        <f t="shared" si="34"/>
        <v>3</v>
      </c>
      <c r="J527" s="106">
        <f t="shared" si="35"/>
        <v>-0.2</v>
      </c>
      <c r="K527" s="106">
        <f t="shared" si="36"/>
        <v>96.200000000001225</v>
      </c>
    </row>
    <row r="528" spans="8:11" ht="17.45" customHeight="1" x14ac:dyDescent="0.3">
      <c r="H528" s="101">
        <f t="shared" si="33"/>
        <v>520</v>
      </c>
      <c r="I528" s="101">
        <f t="shared" si="34"/>
        <v>3</v>
      </c>
      <c r="J528" s="106">
        <f t="shared" si="35"/>
        <v>-0.2</v>
      </c>
      <c r="K528" s="106">
        <f t="shared" si="36"/>
        <v>96.000000000001222</v>
      </c>
    </row>
    <row r="529" spans="8:11" ht="17.45" customHeight="1" x14ac:dyDescent="0.3">
      <c r="H529" s="101">
        <f t="shared" si="33"/>
        <v>521</v>
      </c>
      <c r="I529" s="101">
        <f t="shared" si="34"/>
        <v>3</v>
      </c>
      <c r="J529" s="106">
        <f t="shared" si="35"/>
        <v>-0.2</v>
      </c>
      <c r="K529" s="106">
        <f t="shared" si="36"/>
        <v>95.800000000001219</v>
      </c>
    </row>
    <row r="530" spans="8:11" ht="17.45" customHeight="1" x14ac:dyDescent="0.3">
      <c r="H530" s="101">
        <f t="shared" si="33"/>
        <v>522</v>
      </c>
      <c r="I530" s="101">
        <f t="shared" si="34"/>
        <v>3</v>
      </c>
      <c r="J530" s="106">
        <f t="shared" si="35"/>
        <v>-0.2</v>
      </c>
      <c r="K530" s="106">
        <f t="shared" si="36"/>
        <v>95.600000000001216</v>
      </c>
    </row>
    <row r="531" spans="8:11" ht="17.45" customHeight="1" x14ac:dyDescent="0.3">
      <c r="H531" s="101">
        <f t="shared" si="33"/>
        <v>523</v>
      </c>
      <c r="I531" s="101">
        <f t="shared" si="34"/>
        <v>3</v>
      </c>
      <c r="J531" s="106">
        <f t="shared" si="35"/>
        <v>-0.2</v>
      </c>
      <c r="K531" s="106">
        <f t="shared" si="36"/>
        <v>95.400000000001214</v>
      </c>
    </row>
    <row r="532" spans="8:11" ht="17.45" customHeight="1" x14ac:dyDescent="0.3">
      <c r="H532" s="101">
        <f t="shared" si="33"/>
        <v>524</v>
      </c>
      <c r="I532" s="101">
        <f t="shared" si="34"/>
        <v>3</v>
      </c>
      <c r="J532" s="106">
        <f t="shared" si="35"/>
        <v>-0.2</v>
      </c>
      <c r="K532" s="106">
        <f t="shared" si="36"/>
        <v>95.200000000001211</v>
      </c>
    </row>
    <row r="533" spans="8:11" ht="17.45" customHeight="1" x14ac:dyDescent="0.3">
      <c r="H533" s="101">
        <f t="shared" si="33"/>
        <v>525</v>
      </c>
      <c r="I533" s="101">
        <f t="shared" si="34"/>
        <v>3</v>
      </c>
      <c r="J533" s="106">
        <f t="shared" si="35"/>
        <v>-0.2</v>
      </c>
      <c r="K533" s="106">
        <f t="shared" si="36"/>
        <v>95.000000000001208</v>
      </c>
    </row>
    <row r="534" spans="8:11" ht="17.45" customHeight="1" x14ac:dyDescent="0.3">
      <c r="H534" s="101">
        <f t="shared" si="33"/>
        <v>526</v>
      </c>
      <c r="I534" s="101">
        <f t="shared" si="34"/>
        <v>3</v>
      </c>
      <c r="J534" s="106">
        <f t="shared" si="35"/>
        <v>-0.2</v>
      </c>
      <c r="K534" s="106">
        <f t="shared" si="36"/>
        <v>94.800000000001205</v>
      </c>
    </row>
    <row r="535" spans="8:11" ht="17.45" customHeight="1" x14ac:dyDescent="0.3">
      <c r="H535" s="101">
        <f t="shared" ref="H535:H598" si="37">H534+1</f>
        <v>527</v>
      </c>
      <c r="I535" s="101">
        <f t="shared" si="34"/>
        <v>3</v>
      </c>
      <c r="J535" s="106">
        <f t="shared" si="35"/>
        <v>-0.2</v>
      </c>
      <c r="K535" s="106">
        <f t="shared" si="36"/>
        <v>94.600000000001202</v>
      </c>
    </row>
    <row r="536" spans="8:11" ht="17.45" customHeight="1" x14ac:dyDescent="0.3">
      <c r="H536" s="101">
        <f t="shared" si="37"/>
        <v>528</v>
      </c>
      <c r="I536" s="101">
        <f t="shared" si="34"/>
        <v>3</v>
      </c>
      <c r="J536" s="106">
        <f t="shared" si="35"/>
        <v>-0.2</v>
      </c>
      <c r="K536" s="106">
        <f t="shared" si="36"/>
        <v>94.400000000001199</v>
      </c>
    </row>
    <row r="537" spans="8:11" ht="17.45" customHeight="1" x14ac:dyDescent="0.3">
      <c r="H537" s="101">
        <f t="shared" si="37"/>
        <v>529</v>
      </c>
      <c r="I537" s="101">
        <f t="shared" si="34"/>
        <v>3</v>
      </c>
      <c r="J537" s="106">
        <f t="shared" si="35"/>
        <v>-0.2</v>
      </c>
      <c r="K537" s="106">
        <f t="shared" si="36"/>
        <v>94.200000000001197</v>
      </c>
    </row>
    <row r="538" spans="8:11" ht="17.45" customHeight="1" x14ac:dyDescent="0.3">
      <c r="H538" s="101">
        <f t="shared" si="37"/>
        <v>530</v>
      </c>
      <c r="I538" s="101">
        <f t="shared" si="34"/>
        <v>3</v>
      </c>
      <c r="J538" s="106">
        <f t="shared" si="35"/>
        <v>-0.2</v>
      </c>
      <c r="K538" s="106">
        <f t="shared" si="36"/>
        <v>94.000000000001194</v>
      </c>
    </row>
    <row r="539" spans="8:11" ht="17.45" customHeight="1" x14ac:dyDescent="0.3">
      <c r="H539" s="101">
        <f t="shared" si="37"/>
        <v>531</v>
      </c>
      <c r="I539" s="101">
        <f t="shared" si="34"/>
        <v>3</v>
      </c>
      <c r="J539" s="106">
        <f t="shared" si="35"/>
        <v>-0.2</v>
      </c>
      <c r="K539" s="106">
        <f t="shared" si="36"/>
        <v>93.800000000001191</v>
      </c>
    </row>
    <row r="540" spans="8:11" ht="17.45" customHeight="1" x14ac:dyDescent="0.3">
      <c r="H540" s="101">
        <f t="shared" si="37"/>
        <v>532</v>
      </c>
      <c r="I540" s="101">
        <f t="shared" si="34"/>
        <v>3</v>
      </c>
      <c r="J540" s="106">
        <f t="shared" si="35"/>
        <v>-0.2</v>
      </c>
      <c r="K540" s="106">
        <f t="shared" si="36"/>
        <v>93.600000000001188</v>
      </c>
    </row>
    <row r="541" spans="8:11" ht="17.45" customHeight="1" x14ac:dyDescent="0.3">
      <c r="H541" s="101">
        <f t="shared" si="37"/>
        <v>533</v>
      </c>
      <c r="I541" s="101">
        <f t="shared" si="34"/>
        <v>3</v>
      </c>
      <c r="J541" s="106">
        <f t="shared" si="35"/>
        <v>-0.2</v>
      </c>
      <c r="K541" s="106">
        <f t="shared" si="36"/>
        <v>93.400000000001185</v>
      </c>
    </row>
    <row r="542" spans="8:11" ht="17.45" customHeight="1" x14ac:dyDescent="0.3">
      <c r="H542" s="101">
        <f t="shared" si="37"/>
        <v>534</v>
      </c>
      <c r="I542" s="101">
        <f t="shared" si="34"/>
        <v>3</v>
      </c>
      <c r="J542" s="106">
        <f t="shared" si="35"/>
        <v>-0.2</v>
      </c>
      <c r="K542" s="106">
        <f t="shared" si="36"/>
        <v>93.200000000001182</v>
      </c>
    </row>
    <row r="543" spans="8:11" ht="17.45" customHeight="1" x14ac:dyDescent="0.3">
      <c r="H543" s="101">
        <f t="shared" si="37"/>
        <v>535</v>
      </c>
      <c r="I543" s="101">
        <f t="shared" si="34"/>
        <v>3</v>
      </c>
      <c r="J543" s="106">
        <f t="shared" si="35"/>
        <v>-0.2</v>
      </c>
      <c r="K543" s="106">
        <f t="shared" si="36"/>
        <v>93.00000000000118</v>
      </c>
    </row>
    <row r="544" spans="8:11" ht="17.45" customHeight="1" x14ac:dyDescent="0.3">
      <c r="H544" s="101">
        <f t="shared" si="37"/>
        <v>536</v>
      </c>
      <c r="I544" s="101">
        <f t="shared" si="34"/>
        <v>3</v>
      </c>
      <c r="J544" s="106">
        <f t="shared" si="35"/>
        <v>-0.2</v>
      </c>
      <c r="K544" s="106">
        <f t="shared" si="36"/>
        <v>92.800000000001177</v>
      </c>
    </row>
    <row r="545" spans="8:11" ht="17.45" customHeight="1" x14ac:dyDescent="0.3">
      <c r="H545" s="101">
        <f t="shared" si="37"/>
        <v>537</v>
      </c>
      <c r="I545" s="101">
        <f t="shared" si="34"/>
        <v>3</v>
      </c>
      <c r="J545" s="106">
        <f t="shared" si="35"/>
        <v>-0.2</v>
      </c>
      <c r="K545" s="106">
        <f t="shared" si="36"/>
        <v>92.600000000001174</v>
      </c>
    </row>
    <row r="546" spans="8:11" ht="17.45" customHeight="1" x14ac:dyDescent="0.3">
      <c r="H546" s="101">
        <f t="shared" si="37"/>
        <v>538</v>
      </c>
      <c r="I546" s="101">
        <f t="shared" si="34"/>
        <v>3</v>
      </c>
      <c r="J546" s="106">
        <f t="shared" si="35"/>
        <v>-0.2</v>
      </c>
      <c r="K546" s="106">
        <f t="shared" si="36"/>
        <v>92.400000000001171</v>
      </c>
    </row>
    <row r="547" spans="8:11" ht="17.45" customHeight="1" x14ac:dyDescent="0.3">
      <c r="H547" s="101">
        <f t="shared" si="37"/>
        <v>539</v>
      </c>
      <c r="I547" s="101">
        <f t="shared" si="34"/>
        <v>3</v>
      </c>
      <c r="J547" s="106">
        <f t="shared" si="35"/>
        <v>-0.2</v>
      </c>
      <c r="K547" s="106">
        <f t="shared" si="36"/>
        <v>92.200000000001168</v>
      </c>
    </row>
    <row r="548" spans="8:11" ht="17.45" customHeight="1" x14ac:dyDescent="0.3">
      <c r="H548" s="101">
        <f t="shared" si="37"/>
        <v>540</v>
      </c>
      <c r="I548" s="101">
        <f t="shared" si="34"/>
        <v>3</v>
      </c>
      <c r="J548" s="106">
        <f t="shared" si="35"/>
        <v>-0.2</v>
      </c>
      <c r="K548" s="106">
        <f t="shared" si="36"/>
        <v>92.000000000001165</v>
      </c>
    </row>
    <row r="549" spans="8:11" ht="17.45" customHeight="1" x14ac:dyDescent="0.3">
      <c r="H549" s="101">
        <f t="shared" si="37"/>
        <v>541</v>
      </c>
      <c r="I549" s="101">
        <f t="shared" si="34"/>
        <v>3</v>
      </c>
      <c r="J549" s="106">
        <f t="shared" si="35"/>
        <v>-0.2</v>
      </c>
      <c r="K549" s="106">
        <f t="shared" si="36"/>
        <v>91.800000000001162</v>
      </c>
    </row>
    <row r="550" spans="8:11" ht="17.45" customHeight="1" x14ac:dyDescent="0.3">
      <c r="H550" s="101">
        <f t="shared" si="37"/>
        <v>542</v>
      </c>
      <c r="I550" s="101">
        <f t="shared" si="34"/>
        <v>3</v>
      </c>
      <c r="J550" s="106">
        <f t="shared" si="35"/>
        <v>-0.2</v>
      </c>
      <c r="K550" s="106">
        <f t="shared" si="36"/>
        <v>91.60000000000116</v>
      </c>
    </row>
    <row r="551" spans="8:11" ht="17.45" customHeight="1" x14ac:dyDescent="0.3">
      <c r="H551" s="101">
        <f t="shared" si="37"/>
        <v>543</v>
      </c>
      <c r="I551" s="101">
        <f t="shared" si="34"/>
        <v>3</v>
      </c>
      <c r="J551" s="106">
        <f t="shared" si="35"/>
        <v>-0.2</v>
      </c>
      <c r="K551" s="106">
        <f t="shared" si="36"/>
        <v>91.400000000001157</v>
      </c>
    </row>
    <row r="552" spans="8:11" ht="17.45" customHeight="1" x14ac:dyDescent="0.3">
      <c r="H552" s="101">
        <f t="shared" si="37"/>
        <v>544</v>
      </c>
      <c r="I552" s="101">
        <f t="shared" si="34"/>
        <v>3</v>
      </c>
      <c r="J552" s="106">
        <f t="shared" si="35"/>
        <v>-0.2</v>
      </c>
      <c r="K552" s="106">
        <f t="shared" si="36"/>
        <v>91.200000000001154</v>
      </c>
    </row>
    <row r="553" spans="8:11" ht="17.45" customHeight="1" x14ac:dyDescent="0.3">
      <c r="H553" s="101">
        <f t="shared" si="37"/>
        <v>545</v>
      </c>
      <c r="I553" s="101">
        <f t="shared" si="34"/>
        <v>3</v>
      </c>
      <c r="J553" s="106">
        <f t="shared" si="35"/>
        <v>-0.2</v>
      </c>
      <c r="K553" s="106">
        <f t="shared" si="36"/>
        <v>91.000000000001151</v>
      </c>
    </row>
    <row r="554" spans="8:11" ht="17.45" customHeight="1" x14ac:dyDescent="0.3">
      <c r="H554" s="101">
        <f t="shared" si="37"/>
        <v>546</v>
      </c>
      <c r="I554" s="101">
        <f t="shared" si="34"/>
        <v>3</v>
      </c>
      <c r="J554" s="106">
        <f t="shared" si="35"/>
        <v>-0.2</v>
      </c>
      <c r="K554" s="106">
        <f t="shared" si="36"/>
        <v>90.800000000001148</v>
      </c>
    </row>
    <row r="555" spans="8:11" ht="17.45" customHeight="1" x14ac:dyDescent="0.3">
      <c r="H555" s="101">
        <f t="shared" si="37"/>
        <v>547</v>
      </c>
      <c r="I555" s="101">
        <f t="shared" si="34"/>
        <v>3</v>
      </c>
      <c r="J555" s="106">
        <f t="shared" si="35"/>
        <v>-0.2</v>
      </c>
      <c r="K555" s="106">
        <f t="shared" si="36"/>
        <v>90.600000000001145</v>
      </c>
    </row>
    <row r="556" spans="8:11" ht="17.45" customHeight="1" x14ac:dyDescent="0.3">
      <c r="H556" s="101">
        <f t="shared" si="37"/>
        <v>548</v>
      </c>
      <c r="I556" s="101">
        <f t="shared" si="34"/>
        <v>3</v>
      </c>
      <c r="J556" s="106">
        <f t="shared" si="35"/>
        <v>-0.2</v>
      </c>
      <c r="K556" s="106">
        <f t="shared" si="36"/>
        <v>90.400000000001143</v>
      </c>
    </row>
    <row r="557" spans="8:11" ht="17.45" customHeight="1" x14ac:dyDescent="0.3">
      <c r="H557" s="101">
        <f t="shared" si="37"/>
        <v>549</v>
      </c>
      <c r="I557" s="101">
        <f t="shared" si="34"/>
        <v>3</v>
      </c>
      <c r="J557" s="106">
        <f t="shared" si="35"/>
        <v>-0.2</v>
      </c>
      <c r="K557" s="106">
        <f t="shared" si="36"/>
        <v>90.20000000000114</v>
      </c>
    </row>
    <row r="558" spans="8:11" ht="17.45" customHeight="1" x14ac:dyDescent="0.3">
      <c r="H558" s="101">
        <f t="shared" si="37"/>
        <v>550</v>
      </c>
      <c r="I558" s="101">
        <f t="shared" si="34"/>
        <v>3</v>
      </c>
      <c r="J558" s="106">
        <f t="shared" si="35"/>
        <v>-0.2</v>
      </c>
      <c r="K558" s="106">
        <f t="shared" si="36"/>
        <v>90.000000000001137</v>
      </c>
    </row>
    <row r="559" spans="8:11" ht="17.45" customHeight="1" x14ac:dyDescent="0.3">
      <c r="H559" s="101">
        <f t="shared" si="37"/>
        <v>551</v>
      </c>
      <c r="I559" s="101">
        <f t="shared" si="34"/>
        <v>3</v>
      </c>
      <c r="J559" s="106">
        <f t="shared" si="35"/>
        <v>-0.2</v>
      </c>
      <c r="K559" s="106">
        <f t="shared" si="36"/>
        <v>89.800000000001134</v>
      </c>
    </row>
    <row r="560" spans="8:11" ht="17.45" customHeight="1" x14ac:dyDescent="0.3">
      <c r="H560" s="101">
        <f t="shared" si="37"/>
        <v>552</v>
      </c>
      <c r="I560" s="101">
        <f t="shared" si="34"/>
        <v>3</v>
      </c>
      <c r="J560" s="106">
        <f t="shared" si="35"/>
        <v>-0.2</v>
      </c>
      <c r="K560" s="106">
        <f t="shared" si="36"/>
        <v>89.600000000001131</v>
      </c>
    </row>
    <row r="561" spans="8:11" ht="17.45" customHeight="1" x14ac:dyDescent="0.3">
      <c r="H561" s="101">
        <f t="shared" si="37"/>
        <v>553</v>
      </c>
      <c r="I561" s="101">
        <f t="shared" si="34"/>
        <v>3</v>
      </c>
      <c r="J561" s="106">
        <f t="shared" si="35"/>
        <v>-0.2</v>
      </c>
      <c r="K561" s="106">
        <f t="shared" si="36"/>
        <v>89.400000000001128</v>
      </c>
    </row>
    <row r="562" spans="8:11" ht="17.45" customHeight="1" x14ac:dyDescent="0.3">
      <c r="H562" s="101">
        <f t="shared" si="37"/>
        <v>554</v>
      </c>
      <c r="I562" s="101">
        <f t="shared" si="34"/>
        <v>3</v>
      </c>
      <c r="J562" s="106">
        <f t="shared" si="35"/>
        <v>-0.2</v>
      </c>
      <c r="K562" s="106">
        <f t="shared" si="36"/>
        <v>89.200000000001125</v>
      </c>
    </row>
    <row r="563" spans="8:11" ht="17.45" customHeight="1" x14ac:dyDescent="0.3">
      <c r="H563" s="101">
        <f t="shared" si="37"/>
        <v>555</v>
      </c>
      <c r="I563" s="101">
        <f t="shared" si="34"/>
        <v>3</v>
      </c>
      <c r="J563" s="106">
        <f t="shared" si="35"/>
        <v>-0.2</v>
      </c>
      <c r="K563" s="106">
        <f t="shared" si="36"/>
        <v>89.000000000001123</v>
      </c>
    </row>
    <row r="564" spans="8:11" ht="17.45" customHeight="1" x14ac:dyDescent="0.3">
      <c r="H564" s="101">
        <f t="shared" si="37"/>
        <v>556</v>
      </c>
      <c r="I564" s="101">
        <f t="shared" si="34"/>
        <v>3</v>
      </c>
      <c r="J564" s="106">
        <f t="shared" si="35"/>
        <v>-0.2</v>
      </c>
      <c r="K564" s="106">
        <f t="shared" si="36"/>
        <v>88.80000000000112</v>
      </c>
    </row>
    <row r="565" spans="8:11" ht="17.45" customHeight="1" x14ac:dyDescent="0.3">
      <c r="H565" s="101">
        <f t="shared" si="37"/>
        <v>557</v>
      </c>
      <c r="I565" s="101">
        <f t="shared" si="34"/>
        <v>3</v>
      </c>
      <c r="J565" s="106">
        <f t="shared" si="35"/>
        <v>-0.2</v>
      </c>
      <c r="K565" s="106">
        <f t="shared" si="36"/>
        <v>88.600000000001117</v>
      </c>
    </row>
    <row r="566" spans="8:11" ht="17.45" customHeight="1" x14ac:dyDescent="0.3">
      <c r="H566" s="101">
        <f t="shared" si="37"/>
        <v>558</v>
      </c>
      <c r="I566" s="101">
        <f t="shared" si="34"/>
        <v>3</v>
      </c>
      <c r="J566" s="106">
        <f t="shared" si="35"/>
        <v>-0.2</v>
      </c>
      <c r="K566" s="106">
        <f t="shared" si="36"/>
        <v>88.400000000001114</v>
      </c>
    </row>
    <row r="567" spans="8:11" ht="17.45" customHeight="1" x14ac:dyDescent="0.3">
      <c r="H567" s="101">
        <f t="shared" si="37"/>
        <v>559</v>
      </c>
      <c r="I567" s="101">
        <f t="shared" si="34"/>
        <v>3</v>
      </c>
      <c r="J567" s="106">
        <f t="shared" si="35"/>
        <v>-0.2</v>
      </c>
      <c r="K567" s="106">
        <f t="shared" si="36"/>
        <v>88.200000000001111</v>
      </c>
    </row>
    <row r="568" spans="8:11" ht="17.45" customHeight="1" x14ac:dyDescent="0.3">
      <c r="H568" s="101">
        <f t="shared" si="37"/>
        <v>560</v>
      </c>
      <c r="I568" s="101">
        <f t="shared" si="34"/>
        <v>3</v>
      </c>
      <c r="J568" s="106">
        <f t="shared" si="35"/>
        <v>-0.2</v>
      </c>
      <c r="K568" s="106">
        <f t="shared" si="36"/>
        <v>88.000000000001108</v>
      </c>
    </row>
    <row r="569" spans="8:11" ht="17.45" customHeight="1" x14ac:dyDescent="0.3">
      <c r="H569" s="101">
        <f t="shared" si="37"/>
        <v>561</v>
      </c>
      <c r="I569" s="101">
        <f t="shared" si="34"/>
        <v>3</v>
      </c>
      <c r="J569" s="106">
        <f t="shared" si="35"/>
        <v>-0.2</v>
      </c>
      <c r="K569" s="106">
        <f t="shared" si="36"/>
        <v>87.800000000001106</v>
      </c>
    </row>
    <row r="570" spans="8:11" ht="17.45" customHeight="1" x14ac:dyDescent="0.3">
      <c r="H570" s="101">
        <f t="shared" si="37"/>
        <v>562</v>
      </c>
      <c r="I570" s="101">
        <f t="shared" si="34"/>
        <v>3</v>
      </c>
      <c r="J570" s="106">
        <f t="shared" si="35"/>
        <v>-0.2</v>
      </c>
      <c r="K570" s="106">
        <f t="shared" si="36"/>
        <v>87.600000000001103</v>
      </c>
    </row>
    <row r="571" spans="8:11" ht="17.45" customHeight="1" x14ac:dyDescent="0.3">
      <c r="H571" s="101">
        <f t="shared" si="37"/>
        <v>563</v>
      </c>
      <c r="I571" s="101">
        <f t="shared" si="34"/>
        <v>3</v>
      </c>
      <c r="J571" s="106">
        <f t="shared" si="35"/>
        <v>-0.2</v>
      </c>
      <c r="K571" s="106">
        <f t="shared" si="36"/>
        <v>87.4000000000011</v>
      </c>
    </row>
    <row r="572" spans="8:11" ht="17.45" customHeight="1" x14ac:dyDescent="0.3">
      <c r="H572" s="101">
        <f t="shared" si="37"/>
        <v>564</v>
      </c>
      <c r="I572" s="101">
        <f t="shared" si="34"/>
        <v>3</v>
      </c>
      <c r="J572" s="106">
        <f t="shared" si="35"/>
        <v>-0.2</v>
      </c>
      <c r="K572" s="106">
        <f t="shared" si="36"/>
        <v>87.200000000001097</v>
      </c>
    </row>
    <row r="573" spans="8:11" ht="17.45" customHeight="1" x14ac:dyDescent="0.3">
      <c r="H573" s="101">
        <f t="shared" si="37"/>
        <v>565</v>
      </c>
      <c r="I573" s="101">
        <f t="shared" si="34"/>
        <v>3</v>
      </c>
      <c r="J573" s="106">
        <f t="shared" si="35"/>
        <v>-0.2</v>
      </c>
      <c r="K573" s="106">
        <f t="shared" si="36"/>
        <v>87.000000000001094</v>
      </c>
    </row>
    <row r="574" spans="8:11" ht="17.45" customHeight="1" x14ac:dyDescent="0.3">
      <c r="H574" s="101">
        <f t="shared" si="37"/>
        <v>566</v>
      </c>
      <c r="I574" s="101">
        <f t="shared" si="34"/>
        <v>3</v>
      </c>
      <c r="J574" s="106">
        <f t="shared" si="35"/>
        <v>-0.2</v>
      </c>
      <c r="K574" s="106">
        <f t="shared" si="36"/>
        <v>86.800000000001091</v>
      </c>
    </row>
    <row r="575" spans="8:11" ht="17.45" customHeight="1" x14ac:dyDescent="0.3">
      <c r="H575" s="101">
        <f t="shared" si="37"/>
        <v>567</v>
      </c>
      <c r="I575" s="101">
        <f t="shared" si="34"/>
        <v>3</v>
      </c>
      <c r="J575" s="106">
        <f t="shared" si="35"/>
        <v>-0.2</v>
      </c>
      <c r="K575" s="106">
        <f t="shared" si="36"/>
        <v>86.600000000001089</v>
      </c>
    </row>
    <row r="576" spans="8:11" ht="17.45" customHeight="1" x14ac:dyDescent="0.3">
      <c r="H576" s="101">
        <f t="shared" si="37"/>
        <v>568</v>
      </c>
      <c r="I576" s="101">
        <f t="shared" si="34"/>
        <v>3</v>
      </c>
      <c r="J576" s="106">
        <f t="shared" si="35"/>
        <v>-0.2</v>
      </c>
      <c r="K576" s="106">
        <f t="shared" si="36"/>
        <v>86.400000000001086</v>
      </c>
    </row>
    <row r="577" spans="8:11" ht="17.45" customHeight="1" x14ac:dyDescent="0.3">
      <c r="H577" s="101">
        <f t="shared" si="37"/>
        <v>569</v>
      </c>
      <c r="I577" s="101">
        <f t="shared" si="34"/>
        <v>3</v>
      </c>
      <c r="J577" s="106">
        <f t="shared" si="35"/>
        <v>-0.2</v>
      </c>
      <c r="K577" s="106">
        <f t="shared" si="36"/>
        <v>86.200000000001083</v>
      </c>
    </row>
    <row r="578" spans="8:11" ht="17.45" customHeight="1" x14ac:dyDescent="0.3">
      <c r="H578" s="101">
        <f t="shared" si="37"/>
        <v>570</v>
      </c>
      <c r="I578" s="101">
        <f t="shared" si="34"/>
        <v>3</v>
      </c>
      <c r="J578" s="106">
        <f t="shared" si="35"/>
        <v>-0.2</v>
      </c>
      <c r="K578" s="106">
        <f t="shared" si="36"/>
        <v>86.00000000000108</v>
      </c>
    </row>
    <row r="579" spans="8:11" ht="17.45" customHeight="1" x14ac:dyDescent="0.3">
      <c r="H579" s="101">
        <f t="shared" si="37"/>
        <v>571</v>
      </c>
      <c r="I579" s="101">
        <f t="shared" si="34"/>
        <v>3</v>
      </c>
      <c r="J579" s="106">
        <f t="shared" si="35"/>
        <v>-0.2</v>
      </c>
      <c r="K579" s="106">
        <f t="shared" si="36"/>
        <v>85.800000000001077</v>
      </c>
    </row>
    <row r="580" spans="8:11" ht="17.45" customHeight="1" x14ac:dyDescent="0.3">
      <c r="H580" s="101">
        <f t="shared" si="37"/>
        <v>572</v>
      </c>
      <c r="I580" s="101">
        <f t="shared" si="34"/>
        <v>3</v>
      </c>
      <c r="J580" s="106">
        <f t="shared" si="35"/>
        <v>-0.2</v>
      </c>
      <c r="K580" s="106">
        <f t="shared" si="36"/>
        <v>85.600000000001074</v>
      </c>
    </row>
    <row r="581" spans="8:11" ht="17.45" customHeight="1" x14ac:dyDescent="0.3">
      <c r="H581" s="101">
        <f t="shared" si="37"/>
        <v>573</v>
      </c>
      <c r="I581" s="101">
        <f t="shared" si="34"/>
        <v>3</v>
      </c>
      <c r="J581" s="106">
        <f t="shared" si="35"/>
        <v>-0.2</v>
      </c>
      <c r="K581" s="106">
        <f t="shared" si="36"/>
        <v>85.400000000001071</v>
      </c>
    </row>
    <row r="582" spans="8:11" ht="17.45" customHeight="1" x14ac:dyDescent="0.3">
      <c r="H582" s="101">
        <f t="shared" si="37"/>
        <v>574</v>
      </c>
      <c r="I582" s="101">
        <f t="shared" si="34"/>
        <v>3</v>
      </c>
      <c r="J582" s="106">
        <f t="shared" si="35"/>
        <v>-0.2</v>
      </c>
      <c r="K582" s="106">
        <f t="shared" si="36"/>
        <v>85.200000000001069</v>
      </c>
    </row>
    <row r="583" spans="8:11" ht="17.45" customHeight="1" x14ac:dyDescent="0.3">
      <c r="H583" s="101">
        <f t="shared" si="37"/>
        <v>575</v>
      </c>
      <c r="I583" s="101">
        <f t="shared" si="34"/>
        <v>3</v>
      </c>
      <c r="J583" s="106">
        <f t="shared" si="35"/>
        <v>-0.2</v>
      </c>
      <c r="K583" s="106">
        <f t="shared" si="36"/>
        <v>85.000000000001066</v>
      </c>
    </row>
    <row r="584" spans="8:11" ht="17.45" customHeight="1" x14ac:dyDescent="0.3">
      <c r="H584" s="101">
        <f t="shared" si="37"/>
        <v>576</v>
      </c>
      <c r="I584" s="101">
        <f t="shared" si="34"/>
        <v>3</v>
      </c>
      <c r="J584" s="106">
        <f t="shared" si="35"/>
        <v>-0.2</v>
      </c>
      <c r="K584" s="106">
        <f t="shared" si="36"/>
        <v>84.800000000001063</v>
      </c>
    </row>
    <row r="585" spans="8:11" ht="17.45" customHeight="1" x14ac:dyDescent="0.3">
      <c r="H585" s="101">
        <f t="shared" si="37"/>
        <v>577</v>
      </c>
      <c r="I585" s="101">
        <f t="shared" ref="I585:I648" si="38">MATCH(H585,$C$8:$C$13,1)</f>
        <v>3</v>
      </c>
      <c r="J585" s="106">
        <f t="shared" si="35"/>
        <v>-0.2</v>
      </c>
      <c r="K585" s="106">
        <f t="shared" si="36"/>
        <v>84.60000000000106</v>
      </c>
    </row>
    <row r="586" spans="8:11" ht="17.45" customHeight="1" x14ac:dyDescent="0.3">
      <c r="H586" s="101">
        <f t="shared" si="37"/>
        <v>578</v>
      </c>
      <c r="I586" s="101">
        <f t="shared" si="38"/>
        <v>3</v>
      </c>
      <c r="J586" s="106">
        <f t="shared" ref="J586:J649" si="39">INDEX($E$8:$E$13,I585)</f>
        <v>-0.2</v>
      </c>
      <c r="K586" s="106">
        <f t="shared" ref="K586:K649" si="40">K585+J586</f>
        <v>84.400000000001057</v>
      </c>
    </row>
    <row r="587" spans="8:11" ht="17.45" customHeight="1" x14ac:dyDescent="0.3">
      <c r="H587" s="101">
        <f t="shared" si="37"/>
        <v>579</v>
      </c>
      <c r="I587" s="101">
        <f t="shared" si="38"/>
        <v>3</v>
      </c>
      <c r="J587" s="106">
        <f t="shared" si="39"/>
        <v>-0.2</v>
      </c>
      <c r="K587" s="106">
        <f t="shared" si="40"/>
        <v>84.200000000001054</v>
      </c>
    </row>
    <row r="588" spans="8:11" ht="17.45" customHeight="1" x14ac:dyDescent="0.3">
      <c r="H588" s="101">
        <f t="shared" si="37"/>
        <v>580</v>
      </c>
      <c r="I588" s="101">
        <f t="shared" si="38"/>
        <v>3</v>
      </c>
      <c r="J588" s="106">
        <f t="shared" si="39"/>
        <v>-0.2</v>
      </c>
      <c r="K588" s="106">
        <f t="shared" si="40"/>
        <v>84.000000000001052</v>
      </c>
    </row>
    <row r="589" spans="8:11" ht="17.45" customHeight="1" x14ac:dyDescent="0.3">
      <c r="H589" s="101">
        <f t="shared" si="37"/>
        <v>581</v>
      </c>
      <c r="I589" s="101">
        <f t="shared" si="38"/>
        <v>3</v>
      </c>
      <c r="J589" s="106">
        <f t="shared" si="39"/>
        <v>-0.2</v>
      </c>
      <c r="K589" s="106">
        <f t="shared" si="40"/>
        <v>83.800000000001049</v>
      </c>
    </row>
    <row r="590" spans="8:11" ht="17.45" customHeight="1" x14ac:dyDescent="0.3">
      <c r="H590" s="101">
        <f t="shared" si="37"/>
        <v>582</v>
      </c>
      <c r="I590" s="101">
        <f t="shared" si="38"/>
        <v>3</v>
      </c>
      <c r="J590" s="106">
        <f t="shared" si="39"/>
        <v>-0.2</v>
      </c>
      <c r="K590" s="106">
        <f t="shared" si="40"/>
        <v>83.600000000001046</v>
      </c>
    </row>
    <row r="591" spans="8:11" ht="17.45" customHeight="1" x14ac:dyDescent="0.3">
      <c r="H591" s="101">
        <f t="shared" si="37"/>
        <v>583</v>
      </c>
      <c r="I591" s="101">
        <f t="shared" si="38"/>
        <v>3</v>
      </c>
      <c r="J591" s="106">
        <f t="shared" si="39"/>
        <v>-0.2</v>
      </c>
      <c r="K591" s="106">
        <f t="shared" si="40"/>
        <v>83.400000000001043</v>
      </c>
    </row>
    <row r="592" spans="8:11" ht="17.45" customHeight="1" x14ac:dyDescent="0.3">
      <c r="H592" s="101">
        <f t="shared" si="37"/>
        <v>584</v>
      </c>
      <c r="I592" s="101">
        <f t="shared" si="38"/>
        <v>3</v>
      </c>
      <c r="J592" s="106">
        <f t="shared" si="39"/>
        <v>-0.2</v>
      </c>
      <c r="K592" s="106">
        <f t="shared" si="40"/>
        <v>83.20000000000104</v>
      </c>
    </row>
    <row r="593" spans="8:11" ht="17.45" customHeight="1" x14ac:dyDescent="0.3">
      <c r="H593" s="101">
        <f t="shared" si="37"/>
        <v>585</v>
      </c>
      <c r="I593" s="101">
        <f t="shared" si="38"/>
        <v>3</v>
      </c>
      <c r="J593" s="106">
        <f t="shared" si="39"/>
        <v>-0.2</v>
      </c>
      <c r="K593" s="106">
        <f t="shared" si="40"/>
        <v>83.000000000001037</v>
      </c>
    </row>
    <row r="594" spans="8:11" ht="17.45" customHeight="1" x14ac:dyDescent="0.3">
      <c r="H594" s="101">
        <f t="shared" si="37"/>
        <v>586</v>
      </c>
      <c r="I594" s="101">
        <f t="shared" si="38"/>
        <v>3</v>
      </c>
      <c r="J594" s="106">
        <f t="shared" si="39"/>
        <v>-0.2</v>
      </c>
      <c r="K594" s="106">
        <f t="shared" si="40"/>
        <v>82.800000000001035</v>
      </c>
    </row>
    <row r="595" spans="8:11" ht="17.45" customHeight="1" x14ac:dyDescent="0.3">
      <c r="H595" s="101">
        <f t="shared" si="37"/>
        <v>587</v>
      </c>
      <c r="I595" s="101">
        <f t="shared" si="38"/>
        <v>3</v>
      </c>
      <c r="J595" s="106">
        <f t="shared" si="39"/>
        <v>-0.2</v>
      </c>
      <c r="K595" s="106">
        <f t="shared" si="40"/>
        <v>82.600000000001032</v>
      </c>
    </row>
    <row r="596" spans="8:11" ht="17.45" customHeight="1" x14ac:dyDescent="0.3">
      <c r="H596" s="101">
        <f t="shared" si="37"/>
        <v>588</v>
      </c>
      <c r="I596" s="101">
        <f t="shared" si="38"/>
        <v>3</v>
      </c>
      <c r="J596" s="106">
        <f t="shared" si="39"/>
        <v>-0.2</v>
      </c>
      <c r="K596" s="106">
        <f t="shared" si="40"/>
        <v>82.400000000001029</v>
      </c>
    </row>
    <row r="597" spans="8:11" ht="17.45" customHeight="1" x14ac:dyDescent="0.3">
      <c r="H597" s="101">
        <f t="shared" si="37"/>
        <v>589</v>
      </c>
      <c r="I597" s="101">
        <f t="shared" si="38"/>
        <v>3</v>
      </c>
      <c r="J597" s="106">
        <f t="shared" si="39"/>
        <v>-0.2</v>
      </c>
      <c r="K597" s="106">
        <f t="shared" si="40"/>
        <v>82.200000000001026</v>
      </c>
    </row>
    <row r="598" spans="8:11" ht="17.45" customHeight="1" x14ac:dyDescent="0.3">
      <c r="H598" s="101">
        <f t="shared" si="37"/>
        <v>590</v>
      </c>
      <c r="I598" s="101">
        <f t="shared" si="38"/>
        <v>3</v>
      </c>
      <c r="J598" s="106">
        <f t="shared" si="39"/>
        <v>-0.2</v>
      </c>
      <c r="K598" s="106">
        <f t="shared" si="40"/>
        <v>82.000000000001023</v>
      </c>
    </row>
    <row r="599" spans="8:11" ht="17.45" customHeight="1" x14ac:dyDescent="0.3">
      <c r="H599" s="101">
        <f t="shared" ref="H599:H662" si="41">H598+1</f>
        <v>591</v>
      </c>
      <c r="I599" s="101">
        <f t="shared" si="38"/>
        <v>3</v>
      </c>
      <c r="J599" s="106">
        <f t="shared" si="39"/>
        <v>-0.2</v>
      </c>
      <c r="K599" s="106">
        <f t="shared" si="40"/>
        <v>81.80000000000102</v>
      </c>
    </row>
    <row r="600" spans="8:11" ht="17.45" customHeight="1" x14ac:dyDescent="0.3">
      <c r="H600" s="101">
        <f t="shared" si="41"/>
        <v>592</v>
      </c>
      <c r="I600" s="101">
        <f t="shared" si="38"/>
        <v>3</v>
      </c>
      <c r="J600" s="106">
        <f t="shared" si="39"/>
        <v>-0.2</v>
      </c>
      <c r="K600" s="106">
        <f t="shared" si="40"/>
        <v>81.600000000001017</v>
      </c>
    </row>
    <row r="601" spans="8:11" ht="17.45" customHeight="1" x14ac:dyDescent="0.3">
      <c r="H601" s="101">
        <f t="shared" si="41"/>
        <v>593</v>
      </c>
      <c r="I601" s="101">
        <f t="shared" si="38"/>
        <v>3</v>
      </c>
      <c r="J601" s="106">
        <f t="shared" si="39"/>
        <v>-0.2</v>
      </c>
      <c r="K601" s="106">
        <f t="shared" si="40"/>
        <v>81.400000000001015</v>
      </c>
    </row>
    <row r="602" spans="8:11" ht="17.45" customHeight="1" x14ac:dyDescent="0.3">
      <c r="H602" s="101">
        <f t="shared" si="41"/>
        <v>594</v>
      </c>
      <c r="I602" s="101">
        <f t="shared" si="38"/>
        <v>3</v>
      </c>
      <c r="J602" s="106">
        <f t="shared" si="39"/>
        <v>-0.2</v>
      </c>
      <c r="K602" s="106">
        <f t="shared" si="40"/>
        <v>81.200000000001012</v>
      </c>
    </row>
    <row r="603" spans="8:11" ht="17.45" customHeight="1" x14ac:dyDescent="0.3">
      <c r="H603" s="101">
        <f t="shared" si="41"/>
        <v>595</v>
      </c>
      <c r="I603" s="101">
        <f t="shared" si="38"/>
        <v>3</v>
      </c>
      <c r="J603" s="106">
        <f t="shared" si="39"/>
        <v>-0.2</v>
      </c>
      <c r="K603" s="106">
        <f t="shared" si="40"/>
        <v>81.000000000001009</v>
      </c>
    </row>
    <row r="604" spans="8:11" ht="17.45" customHeight="1" x14ac:dyDescent="0.3">
      <c r="H604" s="101">
        <f t="shared" si="41"/>
        <v>596</v>
      </c>
      <c r="I604" s="101">
        <f t="shared" si="38"/>
        <v>3</v>
      </c>
      <c r="J604" s="106">
        <f t="shared" si="39"/>
        <v>-0.2</v>
      </c>
      <c r="K604" s="106">
        <f t="shared" si="40"/>
        <v>80.800000000001006</v>
      </c>
    </row>
    <row r="605" spans="8:11" ht="17.45" customHeight="1" x14ac:dyDescent="0.3">
      <c r="H605" s="101">
        <f t="shared" si="41"/>
        <v>597</v>
      </c>
      <c r="I605" s="101">
        <f t="shared" si="38"/>
        <v>3</v>
      </c>
      <c r="J605" s="106">
        <f t="shared" si="39"/>
        <v>-0.2</v>
      </c>
      <c r="K605" s="106">
        <f t="shared" si="40"/>
        <v>80.600000000001003</v>
      </c>
    </row>
    <row r="606" spans="8:11" ht="17.45" customHeight="1" x14ac:dyDescent="0.3">
      <c r="H606" s="101">
        <f t="shared" si="41"/>
        <v>598</v>
      </c>
      <c r="I606" s="101">
        <f t="shared" si="38"/>
        <v>3</v>
      </c>
      <c r="J606" s="106">
        <f t="shared" si="39"/>
        <v>-0.2</v>
      </c>
      <c r="K606" s="106">
        <f t="shared" si="40"/>
        <v>80.400000000001</v>
      </c>
    </row>
    <row r="607" spans="8:11" ht="17.45" customHeight="1" x14ac:dyDescent="0.3">
      <c r="H607" s="101">
        <f t="shared" si="41"/>
        <v>599</v>
      </c>
      <c r="I607" s="101">
        <f t="shared" si="38"/>
        <v>3</v>
      </c>
      <c r="J607" s="106">
        <f t="shared" si="39"/>
        <v>-0.2</v>
      </c>
      <c r="K607" s="106">
        <f t="shared" si="40"/>
        <v>80.200000000000998</v>
      </c>
    </row>
    <row r="608" spans="8:11" ht="17.45" customHeight="1" x14ac:dyDescent="0.3">
      <c r="H608" s="101">
        <f t="shared" si="41"/>
        <v>600</v>
      </c>
      <c r="I608" s="101">
        <f t="shared" si="38"/>
        <v>3</v>
      </c>
      <c r="J608" s="106">
        <f t="shared" si="39"/>
        <v>-0.2</v>
      </c>
      <c r="K608" s="106">
        <f t="shared" si="40"/>
        <v>80.000000000000995</v>
      </c>
    </row>
    <row r="609" spans="8:11" ht="17.45" customHeight="1" x14ac:dyDescent="0.3">
      <c r="H609" s="101">
        <f t="shared" si="41"/>
        <v>601</v>
      </c>
      <c r="I609" s="101">
        <f t="shared" si="38"/>
        <v>3</v>
      </c>
      <c r="J609" s="106">
        <f t="shared" si="39"/>
        <v>-0.2</v>
      </c>
      <c r="K609" s="106">
        <f t="shared" si="40"/>
        <v>79.800000000000992</v>
      </c>
    </row>
    <row r="610" spans="8:11" ht="17.45" customHeight="1" x14ac:dyDescent="0.3">
      <c r="H610" s="101">
        <f t="shared" si="41"/>
        <v>602</v>
      </c>
      <c r="I610" s="101">
        <f t="shared" si="38"/>
        <v>3</v>
      </c>
      <c r="J610" s="106">
        <f t="shared" si="39"/>
        <v>-0.2</v>
      </c>
      <c r="K610" s="106">
        <f t="shared" si="40"/>
        <v>79.600000000000989</v>
      </c>
    </row>
    <row r="611" spans="8:11" ht="17.45" customHeight="1" x14ac:dyDescent="0.3">
      <c r="H611" s="101">
        <f t="shared" si="41"/>
        <v>603</v>
      </c>
      <c r="I611" s="101">
        <f t="shared" si="38"/>
        <v>3</v>
      </c>
      <c r="J611" s="106">
        <f t="shared" si="39"/>
        <v>-0.2</v>
      </c>
      <c r="K611" s="106">
        <f t="shared" si="40"/>
        <v>79.400000000000986</v>
      </c>
    </row>
    <row r="612" spans="8:11" ht="17.45" customHeight="1" x14ac:dyDescent="0.3">
      <c r="H612" s="101">
        <f t="shared" si="41"/>
        <v>604</v>
      </c>
      <c r="I612" s="101">
        <f t="shared" si="38"/>
        <v>3</v>
      </c>
      <c r="J612" s="106">
        <f t="shared" si="39"/>
        <v>-0.2</v>
      </c>
      <c r="K612" s="106">
        <f t="shared" si="40"/>
        <v>79.200000000000983</v>
      </c>
    </row>
    <row r="613" spans="8:11" ht="17.45" customHeight="1" x14ac:dyDescent="0.3">
      <c r="H613" s="101">
        <f t="shared" si="41"/>
        <v>605</v>
      </c>
      <c r="I613" s="101">
        <f t="shared" si="38"/>
        <v>3</v>
      </c>
      <c r="J613" s="106">
        <f t="shared" si="39"/>
        <v>-0.2</v>
      </c>
      <c r="K613" s="106">
        <f t="shared" si="40"/>
        <v>79.000000000000981</v>
      </c>
    </row>
    <row r="614" spans="8:11" ht="17.45" customHeight="1" x14ac:dyDescent="0.3">
      <c r="H614" s="101">
        <f t="shared" si="41"/>
        <v>606</v>
      </c>
      <c r="I614" s="101">
        <f t="shared" si="38"/>
        <v>3</v>
      </c>
      <c r="J614" s="106">
        <f t="shared" si="39"/>
        <v>-0.2</v>
      </c>
      <c r="K614" s="106">
        <f t="shared" si="40"/>
        <v>78.800000000000978</v>
      </c>
    </row>
    <row r="615" spans="8:11" ht="17.45" customHeight="1" x14ac:dyDescent="0.3">
      <c r="H615" s="101">
        <f t="shared" si="41"/>
        <v>607</v>
      </c>
      <c r="I615" s="101">
        <f t="shared" si="38"/>
        <v>3</v>
      </c>
      <c r="J615" s="106">
        <f t="shared" si="39"/>
        <v>-0.2</v>
      </c>
      <c r="K615" s="106">
        <f t="shared" si="40"/>
        <v>78.600000000000975</v>
      </c>
    </row>
    <row r="616" spans="8:11" ht="17.45" customHeight="1" x14ac:dyDescent="0.3">
      <c r="H616" s="101">
        <f t="shared" si="41"/>
        <v>608</v>
      </c>
      <c r="I616" s="101">
        <f t="shared" si="38"/>
        <v>3</v>
      </c>
      <c r="J616" s="106">
        <f t="shared" si="39"/>
        <v>-0.2</v>
      </c>
      <c r="K616" s="106">
        <f t="shared" si="40"/>
        <v>78.400000000000972</v>
      </c>
    </row>
    <row r="617" spans="8:11" ht="17.45" customHeight="1" x14ac:dyDescent="0.3">
      <c r="H617" s="101">
        <f t="shared" si="41"/>
        <v>609</v>
      </c>
      <c r="I617" s="101">
        <f t="shared" si="38"/>
        <v>3</v>
      </c>
      <c r="J617" s="106">
        <f t="shared" si="39"/>
        <v>-0.2</v>
      </c>
      <c r="K617" s="106">
        <f t="shared" si="40"/>
        <v>78.200000000000969</v>
      </c>
    </row>
    <row r="618" spans="8:11" ht="17.45" customHeight="1" x14ac:dyDescent="0.3">
      <c r="H618" s="101">
        <f t="shared" si="41"/>
        <v>610</v>
      </c>
      <c r="I618" s="101">
        <f t="shared" si="38"/>
        <v>3</v>
      </c>
      <c r="J618" s="106">
        <f t="shared" si="39"/>
        <v>-0.2</v>
      </c>
      <c r="K618" s="106">
        <f t="shared" si="40"/>
        <v>78.000000000000966</v>
      </c>
    </row>
    <row r="619" spans="8:11" ht="17.45" customHeight="1" x14ac:dyDescent="0.3">
      <c r="H619" s="101">
        <f t="shared" si="41"/>
        <v>611</v>
      </c>
      <c r="I619" s="101">
        <f t="shared" si="38"/>
        <v>3</v>
      </c>
      <c r="J619" s="106">
        <f t="shared" si="39"/>
        <v>-0.2</v>
      </c>
      <c r="K619" s="106">
        <f t="shared" si="40"/>
        <v>77.800000000000963</v>
      </c>
    </row>
    <row r="620" spans="8:11" ht="17.45" customHeight="1" x14ac:dyDescent="0.3">
      <c r="H620" s="101">
        <f t="shared" si="41"/>
        <v>612</v>
      </c>
      <c r="I620" s="101">
        <f t="shared" si="38"/>
        <v>3</v>
      </c>
      <c r="J620" s="106">
        <f t="shared" si="39"/>
        <v>-0.2</v>
      </c>
      <c r="K620" s="106">
        <f t="shared" si="40"/>
        <v>77.600000000000961</v>
      </c>
    </row>
    <row r="621" spans="8:11" ht="17.45" customHeight="1" x14ac:dyDescent="0.3">
      <c r="H621" s="101">
        <f t="shared" si="41"/>
        <v>613</v>
      </c>
      <c r="I621" s="101">
        <f t="shared" si="38"/>
        <v>3</v>
      </c>
      <c r="J621" s="106">
        <f t="shared" si="39"/>
        <v>-0.2</v>
      </c>
      <c r="K621" s="106">
        <f t="shared" si="40"/>
        <v>77.400000000000958</v>
      </c>
    </row>
    <row r="622" spans="8:11" ht="17.45" customHeight="1" x14ac:dyDescent="0.3">
      <c r="H622" s="101">
        <f t="shared" si="41"/>
        <v>614</v>
      </c>
      <c r="I622" s="101">
        <f t="shared" si="38"/>
        <v>3</v>
      </c>
      <c r="J622" s="106">
        <f t="shared" si="39"/>
        <v>-0.2</v>
      </c>
      <c r="K622" s="106">
        <f t="shared" si="40"/>
        <v>77.200000000000955</v>
      </c>
    </row>
    <row r="623" spans="8:11" ht="17.45" customHeight="1" x14ac:dyDescent="0.3">
      <c r="H623" s="101">
        <f t="shared" si="41"/>
        <v>615</v>
      </c>
      <c r="I623" s="101">
        <f t="shared" si="38"/>
        <v>3</v>
      </c>
      <c r="J623" s="106">
        <f t="shared" si="39"/>
        <v>-0.2</v>
      </c>
      <c r="K623" s="106">
        <f t="shared" si="40"/>
        <v>77.000000000000952</v>
      </c>
    </row>
    <row r="624" spans="8:11" ht="17.45" customHeight="1" x14ac:dyDescent="0.3">
      <c r="H624" s="101">
        <f t="shared" si="41"/>
        <v>616</v>
      </c>
      <c r="I624" s="101">
        <f t="shared" si="38"/>
        <v>3</v>
      </c>
      <c r="J624" s="106">
        <f t="shared" si="39"/>
        <v>-0.2</v>
      </c>
      <c r="K624" s="106">
        <f t="shared" si="40"/>
        <v>76.800000000000949</v>
      </c>
    </row>
    <row r="625" spans="8:11" ht="17.45" customHeight="1" x14ac:dyDescent="0.3">
      <c r="H625" s="101">
        <f t="shared" si="41"/>
        <v>617</v>
      </c>
      <c r="I625" s="101">
        <f t="shared" si="38"/>
        <v>3</v>
      </c>
      <c r="J625" s="106">
        <f t="shared" si="39"/>
        <v>-0.2</v>
      </c>
      <c r="K625" s="106">
        <f t="shared" si="40"/>
        <v>76.600000000000946</v>
      </c>
    </row>
    <row r="626" spans="8:11" ht="17.45" customHeight="1" x14ac:dyDescent="0.3">
      <c r="H626" s="101">
        <f t="shared" si="41"/>
        <v>618</v>
      </c>
      <c r="I626" s="101">
        <f t="shared" si="38"/>
        <v>3</v>
      </c>
      <c r="J626" s="106">
        <f t="shared" si="39"/>
        <v>-0.2</v>
      </c>
      <c r="K626" s="106">
        <f t="shared" si="40"/>
        <v>76.400000000000944</v>
      </c>
    </row>
    <row r="627" spans="8:11" ht="17.45" customHeight="1" x14ac:dyDescent="0.3">
      <c r="H627" s="101">
        <f t="shared" si="41"/>
        <v>619</v>
      </c>
      <c r="I627" s="101">
        <f t="shared" si="38"/>
        <v>3</v>
      </c>
      <c r="J627" s="106">
        <f t="shared" si="39"/>
        <v>-0.2</v>
      </c>
      <c r="K627" s="106">
        <f t="shared" si="40"/>
        <v>76.200000000000941</v>
      </c>
    </row>
    <row r="628" spans="8:11" ht="17.45" customHeight="1" x14ac:dyDescent="0.3">
      <c r="H628" s="101">
        <f t="shared" si="41"/>
        <v>620</v>
      </c>
      <c r="I628" s="101">
        <f t="shared" si="38"/>
        <v>3</v>
      </c>
      <c r="J628" s="106">
        <f t="shared" si="39"/>
        <v>-0.2</v>
      </c>
      <c r="K628" s="106">
        <f t="shared" si="40"/>
        <v>76.000000000000938</v>
      </c>
    </row>
    <row r="629" spans="8:11" ht="17.45" customHeight="1" x14ac:dyDescent="0.3">
      <c r="H629" s="101">
        <f t="shared" si="41"/>
        <v>621</v>
      </c>
      <c r="I629" s="101">
        <f t="shared" si="38"/>
        <v>3</v>
      </c>
      <c r="J629" s="106">
        <f t="shared" si="39"/>
        <v>-0.2</v>
      </c>
      <c r="K629" s="106">
        <f t="shared" si="40"/>
        <v>75.800000000000935</v>
      </c>
    </row>
    <row r="630" spans="8:11" ht="17.45" customHeight="1" x14ac:dyDescent="0.3">
      <c r="H630" s="101">
        <f t="shared" si="41"/>
        <v>622</v>
      </c>
      <c r="I630" s="101">
        <f t="shared" si="38"/>
        <v>3</v>
      </c>
      <c r="J630" s="106">
        <f t="shared" si="39"/>
        <v>-0.2</v>
      </c>
      <c r="K630" s="106">
        <f t="shared" si="40"/>
        <v>75.600000000000932</v>
      </c>
    </row>
    <row r="631" spans="8:11" ht="17.45" customHeight="1" x14ac:dyDescent="0.3">
      <c r="H631" s="101">
        <f t="shared" si="41"/>
        <v>623</v>
      </c>
      <c r="I631" s="101">
        <f t="shared" si="38"/>
        <v>3</v>
      </c>
      <c r="J631" s="106">
        <f t="shared" si="39"/>
        <v>-0.2</v>
      </c>
      <c r="K631" s="106">
        <f t="shared" si="40"/>
        <v>75.400000000000929</v>
      </c>
    </row>
    <row r="632" spans="8:11" ht="17.45" customHeight="1" x14ac:dyDescent="0.3">
      <c r="H632" s="101">
        <f t="shared" si="41"/>
        <v>624</v>
      </c>
      <c r="I632" s="101">
        <f t="shared" si="38"/>
        <v>3</v>
      </c>
      <c r="J632" s="106">
        <f t="shared" si="39"/>
        <v>-0.2</v>
      </c>
      <c r="K632" s="106">
        <f t="shared" si="40"/>
        <v>75.200000000000927</v>
      </c>
    </row>
    <row r="633" spans="8:11" ht="17.45" customHeight="1" x14ac:dyDescent="0.3">
      <c r="H633" s="101">
        <f t="shared" si="41"/>
        <v>625</v>
      </c>
      <c r="I633" s="101">
        <f t="shared" si="38"/>
        <v>3</v>
      </c>
      <c r="J633" s="106">
        <f t="shared" si="39"/>
        <v>-0.2</v>
      </c>
      <c r="K633" s="106">
        <f t="shared" si="40"/>
        <v>75.000000000000924</v>
      </c>
    </row>
    <row r="634" spans="8:11" ht="17.45" customHeight="1" x14ac:dyDescent="0.3">
      <c r="H634" s="101">
        <f t="shared" si="41"/>
        <v>626</v>
      </c>
      <c r="I634" s="101">
        <f t="shared" si="38"/>
        <v>3</v>
      </c>
      <c r="J634" s="106">
        <f t="shared" si="39"/>
        <v>-0.2</v>
      </c>
      <c r="K634" s="106">
        <f t="shared" si="40"/>
        <v>74.800000000000921</v>
      </c>
    </row>
    <row r="635" spans="8:11" ht="17.45" customHeight="1" x14ac:dyDescent="0.3">
      <c r="H635" s="101">
        <f t="shared" si="41"/>
        <v>627</v>
      </c>
      <c r="I635" s="101">
        <f t="shared" si="38"/>
        <v>3</v>
      </c>
      <c r="J635" s="106">
        <f t="shared" si="39"/>
        <v>-0.2</v>
      </c>
      <c r="K635" s="106">
        <f t="shared" si="40"/>
        <v>74.600000000000918</v>
      </c>
    </row>
    <row r="636" spans="8:11" ht="17.45" customHeight="1" x14ac:dyDescent="0.3">
      <c r="H636" s="101">
        <f t="shared" si="41"/>
        <v>628</v>
      </c>
      <c r="I636" s="101">
        <f t="shared" si="38"/>
        <v>3</v>
      </c>
      <c r="J636" s="106">
        <f t="shared" si="39"/>
        <v>-0.2</v>
      </c>
      <c r="K636" s="106">
        <f t="shared" si="40"/>
        <v>74.400000000000915</v>
      </c>
    </row>
    <row r="637" spans="8:11" ht="17.45" customHeight="1" x14ac:dyDescent="0.3">
      <c r="H637" s="101">
        <f t="shared" si="41"/>
        <v>629</v>
      </c>
      <c r="I637" s="101">
        <f t="shared" si="38"/>
        <v>3</v>
      </c>
      <c r="J637" s="106">
        <f t="shared" si="39"/>
        <v>-0.2</v>
      </c>
      <c r="K637" s="106">
        <f t="shared" si="40"/>
        <v>74.200000000000912</v>
      </c>
    </row>
    <row r="638" spans="8:11" ht="17.45" customHeight="1" x14ac:dyDescent="0.3">
      <c r="H638" s="101">
        <f t="shared" si="41"/>
        <v>630</v>
      </c>
      <c r="I638" s="101">
        <f t="shared" si="38"/>
        <v>3</v>
      </c>
      <c r="J638" s="106">
        <f t="shared" si="39"/>
        <v>-0.2</v>
      </c>
      <c r="K638" s="106">
        <f t="shared" si="40"/>
        <v>74.000000000000909</v>
      </c>
    </row>
    <row r="639" spans="8:11" ht="17.45" customHeight="1" x14ac:dyDescent="0.3">
      <c r="H639" s="101">
        <f t="shared" si="41"/>
        <v>631</v>
      </c>
      <c r="I639" s="101">
        <f t="shared" si="38"/>
        <v>3</v>
      </c>
      <c r="J639" s="106">
        <f t="shared" si="39"/>
        <v>-0.2</v>
      </c>
      <c r="K639" s="106">
        <f t="shared" si="40"/>
        <v>73.800000000000907</v>
      </c>
    </row>
    <row r="640" spans="8:11" ht="17.45" customHeight="1" x14ac:dyDescent="0.3">
      <c r="H640" s="101">
        <f t="shared" si="41"/>
        <v>632</v>
      </c>
      <c r="I640" s="101">
        <f t="shared" si="38"/>
        <v>3</v>
      </c>
      <c r="J640" s="106">
        <f t="shared" si="39"/>
        <v>-0.2</v>
      </c>
      <c r="K640" s="106">
        <f t="shared" si="40"/>
        <v>73.600000000000904</v>
      </c>
    </row>
    <row r="641" spans="8:11" ht="17.45" customHeight="1" x14ac:dyDescent="0.3">
      <c r="H641" s="101">
        <f t="shared" si="41"/>
        <v>633</v>
      </c>
      <c r="I641" s="101">
        <f t="shared" si="38"/>
        <v>3</v>
      </c>
      <c r="J641" s="106">
        <f t="shared" si="39"/>
        <v>-0.2</v>
      </c>
      <c r="K641" s="106">
        <f t="shared" si="40"/>
        <v>73.400000000000901</v>
      </c>
    </row>
    <row r="642" spans="8:11" ht="17.45" customHeight="1" x14ac:dyDescent="0.3">
      <c r="H642" s="101">
        <f t="shared" si="41"/>
        <v>634</v>
      </c>
      <c r="I642" s="101">
        <f t="shared" si="38"/>
        <v>3</v>
      </c>
      <c r="J642" s="106">
        <f t="shared" si="39"/>
        <v>-0.2</v>
      </c>
      <c r="K642" s="106">
        <f t="shared" si="40"/>
        <v>73.200000000000898</v>
      </c>
    </row>
    <row r="643" spans="8:11" ht="17.45" customHeight="1" x14ac:dyDescent="0.3">
      <c r="H643" s="101">
        <f t="shared" si="41"/>
        <v>635</v>
      </c>
      <c r="I643" s="101">
        <f t="shared" si="38"/>
        <v>3</v>
      </c>
      <c r="J643" s="106">
        <f t="shared" si="39"/>
        <v>-0.2</v>
      </c>
      <c r="K643" s="106">
        <f t="shared" si="40"/>
        <v>73.000000000000895</v>
      </c>
    </row>
    <row r="644" spans="8:11" ht="17.45" customHeight="1" x14ac:dyDescent="0.3">
      <c r="H644" s="101">
        <f t="shared" si="41"/>
        <v>636</v>
      </c>
      <c r="I644" s="101">
        <f t="shared" si="38"/>
        <v>3</v>
      </c>
      <c r="J644" s="106">
        <f t="shared" si="39"/>
        <v>-0.2</v>
      </c>
      <c r="K644" s="106">
        <f t="shared" si="40"/>
        <v>72.800000000000892</v>
      </c>
    </row>
    <row r="645" spans="8:11" ht="17.45" customHeight="1" x14ac:dyDescent="0.3">
      <c r="H645" s="101">
        <f t="shared" si="41"/>
        <v>637</v>
      </c>
      <c r="I645" s="101">
        <f t="shared" si="38"/>
        <v>3</v>
      </c>
      <c r="J645" s="106">
        <f t="shared" si="39"/>
        <v>-0.2</v>
      </c>
      <c r="K645" s="106">
        <f t="shared" si="40"/>
        <v>72.60000000000089</v>
      </c>
    </row>
    <row r="646" spans="8:11" ht="17.45" customHeight="1" x14ac:dyDescent="0.3">
      <c r="H646" s="101">
        <f t="shared" si="41"/>
        <v>638</v>
      </c>
      <c r="I646" s="101">
        <f t="shared" si="38"/>
        <v>3</v>
      </c>
      <c r="J646" s="106">
        <f t="shared" si="39"/>
        <v>-0.2</v>
      </c>
      <c r="K646" s="106">
        <f t="shared" si="40"/>
        <v>72.400000000000887</v>
      </c>
    </row>
    <row r="647" spans="8:11" ht="17.45" customHeight="1" x14ac:dyDescent="0.3">
      <c r="H647" s="101">
        <f t="shared" si="41"/>
        <v>639</v>
      </c>
      <c r="I647" s="101">
        <f t="shared" si="38"/>
        <v>3</v>
      </c>
      <c r="J647" s="106">
        <f t="shared" si="39"/>
        <v>-0.2</v>
      </c>
      <c r="K647" s="106">
        <f t="shared" si="40"/>
        <v>72.200000000000884</v>
      </c>
    </row>
    <row r="648" spans="8:11" ht="17.45" customHeight="1" x14ac:dyDescent="0.3">
      <c r="H648" s="101">
        <f t="shared" si="41"/>
        <v>640</v>
      </c>
      <c r="I648" s="101">
        <f t="shared" si="38"/>
        <v>3</v>
      </c>
      <c r="J648" s="106">
        <f t="shared" si="39"/>
        <v>-0.2</v>
      </c>
      <c r="K648" s="106">
        <f t="shared" si="40"/>
        <v>72.000000000000881</v>
      </c>
    </row>
    <row r="649" spans="8:11" ht="17.45" customHeight="1" x14ac:dyDescent="0.3">
      <c r="H649" s="101">
        <f t="shared" si="41"/>
        <v>641</v>
      </c>
      <c r="I649" s="101">
        <f t="shared" ref="I649:I712" si="42">MATCH(H649,$C$8:$C$13,1)</f>
        <v>3</v>
      </c>
      <c r="J649" s="106">
        <f t="shared" si="39"/>
        <v>-0.2</v>
      </c>
      <c r="K649" s="106">
        <f t="shared" si="40"/>
        <v>71.800000000000878</v>
      </c>
    </row>
    <row r="650" spans="8:11" ht="17.45" customHeight="1" x14ac:dyDescent="0.3">
      <c r="H650" s="101">
        <f t="shared" si="41"/>
        <v>642</v>
      </c>
      <c r="I650" s="101">
        <f t="shared" si="42"/>
        <v>3</v>
      </c>
      <c r="J650" s="106">
        <f t="shared" ref="J650:J713" si="43">INDEX($E$8:$E$13,I649)</f>
        <v>-0.2</v>
      </c>
      <c r="K650" s="106">
        <f t="shared" ref="K650:K713" si="44">K649+J650</f>
        <v>71.600000000000875</v>
      </c>
    </row>
    <row r="651" spans="8:11" ht="17.45" customHeight="1" x14ac:dyDescent="0.3">
      <c r="H651" s="101">
        <f t="shared" si="41"/>
        <v>643</v>
      </c>
      <c r="I651" s="101">
        <f t="shared" si="42"/>
        <v>3</v>
      </c>
      <c r="J651" s="106">
        <f t="shared" si="43"/>
        <v>-0.2</v>
      </c>
      <c r="K651" s="106">
        <f t="shared" si="44"/>
        <v>71.400000000000873</v>
      </c>
    </row>
    <row r="652" spans="8:11" ht="17.45" customHeight="1" x14ac:dyDescent="0.3">
      <c r="H652" s="101">
        <f t="shared" si="41"/>
        <v>644</v>
      </c>
      <c r="I652" s="101">
        <f t="shared" si="42"/>
        <v>3</v>
      </c>
      <c r="J652" s="106">
        <f t="shared" si="43"/>
        <v>-0.2</v>
      </c>
      <c r="K652" s="106">
        <f t="shared" si="44"/>
        <v>71.20000000000087</v>
      </c>
    </row>
    <row r="653" spans="8:11" ht="17.45" customHeight="1" x14ac:dyDescent="0.3">
      <c r="H653" s="101">
        <f t="shared" si="41"/>
        <v>645</v>
      </c>
      <c r="I653" s="101">
        <f t="shared" si="42"/>
        <v>3</v>
      </c>
      <c r="J653" s="106">
        <f t="shared" si="43"/>
        <v>-0.2</v>
      </c>
      <c r="K653" s="106">
        <f t="shared" si="44"/>
        <v>71.000000000000867</v>
      </c>
    </row>
    <row r="654" spans="8:11" ht="17.45" customHeight="1" x14ac:dyDescent="0.3">
      <c r="H654" s="101">
        <f t="shared" si="41"/>
        <v>646</v>
      </c>
      <c r="I654" s="101">
        <f t="shared" si="42"/>
        <v>3</v>
      </c>
      <c r="J654" s="106">
        <f t="shared" si="43"/>
        <v>-0.2</v>
      </c>
      <c r="K654" s="106">
        <f t="shared" si="44"/>
        <v>70.800000000000864</v>
      </c>
    </row>
    <row r="655" spans="8:11" ht="17.45" customHeight="1" x14ac:dyDescent="0.3">
      <c r="H655" s="101">
        <f t="shared" si="41"/>
        <v>647</v>
      </c>
      <c r="I655" s="101">
        <f t="shared" si="42"/>
        <v>3</v>
      </c>
      <c r="J655" s="106">
        <f t="shared" si="43"/>
        <v>-0.2</v>
      </c>
      <c r="K655" s="106">
        <f t="shared" si="44"/>
        <v>70.600000000000861</v>
      </c>
    </row>
    <row r="656" spans="8:11" ht="17.45" customHeight="1" x14ac:dyDescent="0.3">
      <c r="H656" s="101">
        <f t="shared" si="41"/>
        <v>648</v>
      </c>
      <c r="I656" s="101">
        <f t="shared" si="42"/>
        <v>3</v>
      </c>
      <c r="J656" s="106">
        <f t="shared" si="43"/>
        <v>-0.2</v>
      </c>
      <c r="K656" s="106">
        <f t="shared" si="44"/>
        <v>70.400000000000858</v>
      </c>
    </row>
    <row r="657" spans="8:11" ht="17.45" customHeight="1" x14ac:dyDescent="0.3">
      <c r="H657" s="101">
        <f t="shared" si="41"/>
        <v>649</v>
      </c>
      <c r="I657" s="101">
        <f t="shared" si="42"/>
        <v>3</v>
      </c>
      <c r="J657" s="106">
        <f t="shared" si="43"/>
        <v>-0.2</v>
      </c>
      <c r="K657" s="106">
        <f t="shared" si="44"/>
        <v>70.200000000000855</v>
      </c>
    </row>
    <row r="658" spans="8:11" ht="17.45" customHeight="1" x14ac:dyDescent="0.3">
      <c r="H658" s="101">
        <f t="shared" si="41"/>
        <v>650</v>
      </c>
      <c r="I658" s="101">
        <f t="shared" si="42"/>
        <v>3</v>
      </c>
      <c r="J658" s="106">
        <f t="shared" si="43"/>
        <v>-0.2</v>
      </c>
      <c r="K658" s="106">
        <f t="shared" si="44"/>
        <v>70.000000000000853</v>
      </c>
    </row>
    <row r="659" spans="8:11" ht="17.45" customHeight="1" x14ac:dyDescent="0.3">
      <c r="H659" s="101">
        <f t="shared" si="41"/>
        <v>651</v>
      </c>
      <c r="I659" s="101">
        <f t="shared" si="42"/>
        <v>3</v>
      </c>
      <c r="J659" s="106">
        <f t="shared" si="43"/>
        <v>-0.2</v>
      </c>
      <c r="K659" s="106">
        <f t="shared" si="44"/>
        <v>69.80000000000085</v>
      </c>
    </row>
    <row r="660" spans="8:11" ht="17.45" customHeight="1" x14ac:dyDescent="0.3">
      <c r="H660" s="101">
        <f t="shared" si="41"/>
        <v>652</v>
      </c>
      <c r="I660" s="101">
        <f t="shared" si="42"/>
        <v>3</v>
      </c>
      <c r="J660" s="106">
        <f t="shared" si="43"/>
        <v>-0.2</v>
      </c>
      <c r="K660" s="106">
        <f t="shared" si="44"/>
        <v>69.600000000000847</v>
      </c>
    </row>
    <row r="661" spans="8:11" ht="17.45" customHeight="1" x14ac:dyDescent="0.3">
      <c r="H661" s="101">
        <f t="shared" si="41"/>
        <v>653</v>
      </c>
      <c r="I661" s="101">
        <f t="shared" si="42"/>
        <v>3</v>
      </c>
      <c r="J661" s="106">
        <f t="shared" si="43"/>
        <v>-0.2</v>
      </c>
      <c r="K661" s="106">
        <f t="shared" si="44"/>
        <v>69.400000000000844</v>
      </c>
    </row>
    <row r="662" spans="8:11" ht="17.45" customHeight="1" x14ac:dyDescent="0.3">
      <c r="H662" s="101">
        <f t="shared" si="41"/>
        <v>654</v>
      </c>
      <c r="I662" s="101">
        <f t="shared" si="42"/>
        <v>3</v>
      </c>
      <c r="J662" s="106">
        <f t="shared" si="43"/>
        <v>-0.2</v>
      </c>
      <c r="K662" s="106">
        <f t="shared" si="44"/>
        <v>69.200000000000841</v>
      </c>
    </row>
    <row r="663" spans="8:11" ht="17.45" customHeight="1" x14ac:dyDescent="0.3">
      <c r="H663" s="101">
        <f t="shared" ref="H663:H726" si="45">H662+1</f>
        <v>655</v>
      </c>
      <c r="I663" s="101">
        <f t="shared" si="42"/>
        <v>3</v>
      </c>
      <c r="J663" s="106">
        <f t="shared" si="43"/>
        <v>-0.2</v>
      </c>
      <c r="K663" s="106">
        <f t="shared" si="44"/>
        <v>69.000000000000838</v>
      </c>
    </row>
    <row r="664" spans="8:11" ht="17.45" customHeight="1" x14ac:dyDescent="0.3">
      <c r="H664" s="101">
        <f t="shared" si="45"/>
        <v>656</v>
      </c>
      <c r="I664" s="101">
        <f t="shared" si="42"/>
        <v>3</v>
      </c>
      <c r="J664" s="106">
        <f t="shared" si="43"/>
        <v>-0.2</v>
      </c>
      <c r="K664" s="106">
        <f t="shared" si="44"/>
        <v>68.800000000000836</v>
      </c>
    </row>
    <row r="665" spans="8:11" ht="17.45" customHeight="1" x14ac:dyDescent="0.3">
      <c r="H665" s="101">
        <f t="shared" si="45"/>
        <v>657</v>
      </c>
      <c r="I665" s="101">
        <f t="shared" si="42"/>
        <v>3</v>
      </c>
      <c r="J665" s="106">
        <f t="shared" si="43"/>
        <v>-0.2</v>
      </c>
      <c r="K665" s="106">
        <f t="shared" si="44"/>
        <v>68.600000000000833</v>
      </c>
    </row>
    <row r="666" spans="8:11" ht="17.45" customHeight="1" x14ac:dyDescent="0.3">
      <c r="H666" s="101">
        <f t="shared" si="45"/>
        <v>658</v>
      </c>
      <c r="I666" s="101">
        <f t="shared" si="42"/>
        <v>3</v>
      </c>
      <c r="J666" s="106">
        <f t="shared" si="43"/>
        <v>-0.2</v>
      </c>
      <c r="K666" s="106">
        <f t="shared" si="44"/>
        <v>68.40000000000083</v>
      </c>
    </row>
    <row r="667" spans="8:11" ht="17.45" customHeight="1" x14ac:dyDescent="0.3">
      <c r="H667" s="101">
        <f t="shared" si="45"/>
        <v>659</v>
      </c>
      <c r="I667" s="101">
        <f t="shared" si="42"/>
        <v>3</v>
      </c>
      <c r="J667" s="106">
        <f t="shared" si="43"/>
        <v>-0.2</v>
      </c>
      <c r="K667" s="106">
        <f t="shared" si="44"/>
        <v>68.200000000000827</v>
      </c>
    </row>
    <row r="668" spans="8:11" ht="17.45" customHeight="1" x14ac:dyDescent="0.3">
      <c r="H668" s="101">
        <f t="shared" si="45"/>
        <v>660</v>
      </c>
      <c r="I668" s="101">
        <f t="shared" si="42"/>
        <v>3</v>
      </c>
      <c r="J668" s="106">
        <f t="shared" si="43"/>
        <v>-0.2</v>
      </c>
      <c r="K668" s="106">
        <f t="shared" si="44"/>
        <v>68.000000000000824</v>
      </c>
    </row>
    <row r="669" spans="8:11" ht="17.45" customHeight="1" x14ac:dyDescent="0.3">
      <c r="H669" s="101">
        <f t="shared" si="45"/>
        <v>661</v>
      </c>
      <c r="I669" s="101">
        <f t="shared" si="42"/>
        <v>3</v>
      </c>
      <c r="J669" s="106">
        <f t="shared" si="43"/>
        <v>-0.2</v>
      </c>
      <c r="K669" s="106">
        <f t="shared" si="44"/>
        <v>67.800000000000821</v>
      </c>
    </row>
    <row r="670" spans="8:11" ht="17.45" customHeight="1" x14ac:dyDescent="0.3">
      <c r="H670" s="101">
        <f t="shared" si="45"/>
        <v>662</v>
      </c>
      <c r="I670" s="101">
        <f t="shared" si="42"/>
        <v>3</v>
      </c>
      <c r="J670" s="106">
        <f t="shared" si="43"/>
        <v>-0.2</v>
      </c>
      <c r="K670" s="106">
        <f t="shared" si="44"/>
        <v>67.600000000000819</v>
      </c>
    </row>
    <row r="671" spans="8:11" ht="17.45" customHeight="1" x14ac:dyDescent="0.3">
      <c r="H671" s="101">
        <f t="shared" si="45"/>
        <v>663</v>
      </c>
      <c r="I671" s="101">
        <f t="shared" si="42"/>
        <v>3</v>
      </c>
      <c r="J671" s="106">
        <f t="shared" si="43"/>
        <v>-0.2</v>
      </c>
      <c r="K671" s="106">
        <f t="shared" si="44"/>
        <v>67.400000000000816</v>
      </c>
    </row>
    <row r="672" spans="8:11" ht="17.45" customHeight="1" x14ac:dyDescent="0.3">
      <c r="H672" s="101">
        <f t="shared" si="45"/>
        <v>664</v>
      </c>
      <c r="I672" s="101">
        <f t="shared" si="42"/>
        <v>3</v>
      </c>
      <c r="J672" s="106">
        <f t="shared" si="43"/>
        <v>-0.2</v>
      </c>
      <c r="K672" s="106">
        <f t="shared" si="44"/>
        <v>67.200000000000813</v>
      </c>
    </row>
    <row r="673" spans="8:11" ht="17.45" customHeight="1" x14ac:dyDescent="0.3">
      <c r="H673" s="101">
        <f t="shared" si="45"/>
        <v>665</v>
      </c>
      <c r="I673" s="101">
        <f t="shared" si="42"/>
        <v>3</v>
      </c>
      <c r="J673" s="106">
        <f t="shared" si="43"/>
        <v>-0.2</v>
      </c>
      <c r="K673" s="106">
        <f t="shared" si="44"/>
        <v>67.00000000000081</v>
      </c>
    </row>
    <row r="674" spans="8:11" ht="17.45" customHeight="1" x14ac:dyDescent="0.3">
      <c r="H674" s="101">
        <f t="shared" si="45"/>
        <v>666</v>
      </c>
      <c r="I674" s="101">
        <f t="shared" si="42"/>
        <v>3</v>
      </c>
      <c r="J674" s="106">
        <f t="shared" si="43"/>
        <v>-0.2</v>
      </c>
      <c r="K674" s="106">
        <f t="shared" si="44"/>
        <v>66.800000000000807</v>
      </c>
    </row>
    <row r="675" spans="8:11" ht="17.45" customHeight="1" x14ac:dyDescent="0.3">
      <c r="H675" s="101">
        <f t="shared" si="45"/>
        <v>667</v>
      </c>
      <c r="I675" s="101">
        <f t="shared" si="42"/>
        <v>3</v>
      </c>
      <c r="J675" s="106">
        <f t="shared" si="43"/>
        <v>-0.2</v>
      </c>
      <c r="K675" s="106">
        <f t="shared" si="44"/>
        <v>66.600000000000804</v>
      </c>
    </row>
    <row r="676" spans="8:11" ht="17.45" customHeight="1" x14ac:dyDescent="0.3">
      <c r="H676" s="101">
        <f t="shared" si="45"/>
        <v>668</v>
      </c>
      <c r="I676" s="101">
        <f t="shared" si="42"/>
        <v>3</v>
      </c>
      <c r="J676" s="106">
        <f t="shared" si="43"/>
        <v>-0.2</v>
      </c>
      <c r="K676" s="106">
        <f t="shared" si="44"/>
        <v>66.400000000000801</v>
      </c>
    </row>
    <row r="677" spans="8:11" ht="17.45" customHeight="1" x14ac:dyDescent="0.3">
      <c r="H677" s="101">
        <f t="shared" si="45"/>
        <v>669</v>
      </c>
      <c r="I677" s="101">
        <f t="shared" si="42"/>
        <v>3</v>
      </c>
      <c r="J677" s="106">
        <f t="shared" si="43"/>
        <v>-0.2</v>
      </c>
      <c r="K677" s="106">
        <f t="shared" si="44"/>
        <v>66.200000000000799</v>
      </c>
    </row>
    <row r="678" spans="8:11" ht="17.45" customHeight="1" x14ac:dyDescent="0.3">
      <c r="H678" s="101">
        <f t="shared" si="45"/>
        <v>670</v>
      </c>
      <c r="I678" s="101">
        <f t="shared" si="42"/>
        <v>3</v>
      </c>
      <c r="J678" s="106">
        <f t="shared" si="43"/>
        <v>-0.2</v>
      </c>
      <c r="K678" s="106">
        <f t="shared" si="44"/>
        <v>66.000000000000796</v>
      </c>
    </row>
    <row r="679" spans="8:11" ht="17.45" customHeight="1" x14ac:dyDescent="0.3">
      <c r="H679" s="101">
        <f t="shared" si="45"/>
        <v>671</v>
      </c>
      <c r="I679" s="101">
        <f t="shared" si="42"/>
        <v>3</v>
      </c>
      <c r="J679" s="106">
        <f t="shared" si="43"/>
        <v>-0.2</v>
      </c>
      <c r="K679" s="106">
        <f t="shared" si="44"/>
        <v>65.800000000000793</v>
      </c>
    </row>
    <row r="680" spans="8:11" ht="17.45" customHeight="1" x14ac:dyDescent="0.3">
      <c r="H680" s="101">
        <f t="shared" si="45"/>
        <v>672</v>
      </c>
      <c r="I680" s="101">
        <f t="shared" si="42"/>
        <v>3</v>
      </c>
      <c r="J680" s="106">
        <f t="shared" si="43"/>
        <v>-0.2</v>
      </c>
      <c r="K680" s="106">
        <f t="shared" si="44"/>
        <v>65.60000000000079</v>
      </c>
    </row>
    <row r="681" spans="8:11" ht="17.45" customHeight="1" x14ac:dyDescent="0.3">
      <c r="H681" s="101">
        <f t="shared" si="45"/>
        <v>673</v>
      </c>
      <c r="I681" s="101">
        <f t="shared" si="42"/>
        <v>3</v>
      </c>
      <c r="J681" s="106">
        <f t="shared" si="43"/>
        <v>-0.2</v>
      </c>
      <c r="K681" s="106">
        <f t="shared" si="44"/>
        <v>65.400000000000787</v>
      </c>
    </row>
    <row r="682" spans="8:11" ht="17.45" customHeight="1" x14ac:dyDescent="0.3">
      <c r="H682" s="101">
        <f t="shared" si="45"/>
        <v>674</v>
      </c>
      <c r="I682" s="101">
        <f t="shared" si="42"/>
        <v>3</v>
      </c>
      <c r="J682" s="106">
        <f t="shared" si="43"/>
        <v>-0.2</v>
      </c>
      <c r="K682" s="106">
        <f t="shared" si="44"/>
        <v>65.200000000000784</v>
      </c>
    </row>
    <row r="683" spans="8:11" ht="17.45" customHeight="1" x14ac:dyDescent="0.3">
      <c r="H683" s="101">
        <f t="shared" si="45"/>
        <v>675</v>
      </c>
      <c r="I683" s="101">
        <f t="shared" si="42"/>
        <v>3</v>
      </c>
      <c r="J683" s="106">
        <f t="shared" si="43"/>
        <v>-0.2</v>
      </c>
      <c r="K683" s="106">
        <f t="shared" si="44"/>
        <v>65.000000000000782</v>
      </c>
    </row>
    <row r="684" spans="8:11" ht="17.45" customHeight="1" x14ac:dyDescent="0.3">
      <c r="H684" s="101">
        <f t="shared" si="45"/>
        <v>676</v>
      </c>
      <c r="I684" s="101">
        <f t="shared" si="42"/>
        <v>3</v>
      </c>
      <c r="J684" s="106">
        <f t="shared" si="43"/>
        <v>-0.2</v>
      </c>
      <c r="K684" s="106">
        <f t="shared" si="44"/>
        <v>64.800000000000779</v>
      </c>
    </row>
    <row r="685" spans="8:11" ht="17.45" customHeight="1" x14ac:dyDescent="0.3">
      <c r="H685" s="101">
        <f t="shared" si="45"/>
        <v>677</v>
      </c>
      <c r="I685" s="101">
        <f t="shared" si="42"/>
        <v>3</v>
      </c>
      <c r="J685" s="106">
        <f t="shared" si="43"/>
        <v>-0.2</v>
      </c>
      <c r="K685" s="106">
        <f t="shared" si="44"/>
        <v>64.600000000000776</v>
      </c>
    </row>
    <row r="686" spans="8:11" ht="17.45" customHeight="1" x14ac:dyDescent="0.3">
      <c r="H686" s="101">
        <f t="shared" si="45"/>
        <v>678</v>
      </c>
      <c r="I686" s="101">
        <f t="shared" si="42"/>
        <v>3</v>
      </c>
      <c r="J686" s="106">
        <f t="shared" si="43"/>
        <v>-0.2</v>
      </c>
      <c r="K686" s="106">
        <f t="shared" si="44"/>
        <v>64.400000000000773</v>
      </c>
    </row>
    <row r="687" spans="8:11" ht="17.45" customHeight="1" x14ac:dyDescent="0.3">
      <c r="H687" s="101">
        <f t="shared" si="45"/>
        <v>679</v>
      </c>
      <c r="I687" s="101">
        <f t="shared" si="42"/>
        <v>3</v>
      </c>
      <c r="J687" s="106">
        <f t="shared" si="43"/>
        <v>-0.2</v>
      </c>
      <c r="K687" s="106">
        <f t="shared" si="44"/>
        <v>64.20000000000077</v>
      </c>
    </row>
    <row r="688" spans="8:11" ht="17.45" customHeight="1" x14ac:dyDescent="0.3">
      <c r="H688" s="101">
        <f t="shared" si="45"/>
        <v>680</v>
      </c>
      <c r="I688" s="101">
        <f t="shared" si="42"/>
        <v>3</v>
      </c>
      <c r="J688" s="106">
        <f t="shared" si="43"/>
        <v>-0.2</v>
      </c>
      <c r="K688" s="106">
        <f t="shared" si="44"/>
        <v>64.000000000000767</v>
      </c>
    </row>
    <row r="689" spans="8:11" ht="17.45" customHeight="1" x14ac:dyDescent="0.3">
      <c r="H689" s="101">
        <f t="shared" si="45"/>
        <v>681</v>
      </c>
      <c r="I689" s="101">
        <f t="shared" si="42"/>
        <v>3</v>
      </c>
      <c r="J689" s="106">
        <f t="shared" si="43"/>
        <v>-0.2</v>
      </c>
      <c r="K689" s="106">
        <f t="shared" si="44"/>
        <v>63.800000000000765</v>
      </c>
    </row>
    <row r="690" spans="8:11" ht="17.45" customHeight="1" x14ac:dyDescent="0.3">
      <c r="H690" s="101">
        <f t="shared" si="45"/>
        <v>682</v>
      </c>
      <c r="I690" s="101">
        <f t="shared" si="42"/>
        <v>3</v>
      </c>
      <c r="J690" s="106">
        <f t="shared" si="43"/>
        <v>-0.2</v>
      </c>
      <c r="K690" s="106">
        <f t="shared" si="44"/>
        <v>63.600000000000762</v>
      </c>
    </row>
    <row r="691" spans="8:11" ht="17.45" customHeight="1" x14ac:dyDescent="0.3">
      <c r="H691" s="101">
        <f t="shared" si="45"/>
        <v>683</v>
      </c>
      <c r="I691" s="101">
        <f t="shared" si="42"/>
        <v>3</v>
      </c>
      <c r="J691" s="106">
        <f t="shared" si="43"/>
        <v>-0.2</v>
      </c>
      <c r="K691" s="106">
        <f t="shared" si="44"/>
        <v>63.400000000000759</v>
      </c>
    </row>
    <row r="692" spans="8:11" ht="17.45" customHeight="1" x14ac:dyDescent="0.3">
      <c r="H692" s="101">
        <f t="shared" si="45"/>
        <v>684</v>
      </c>
      <c r="I692" s="101">
        <f t="shared" si="42"/>
        <v>3</v>
      </c>
      <c r="J692" s="106">
        <f t="shared" si="43"/>
        <v>-0.2</v>
      </c>
      <c r="K692" s="106">
        <f t="shared" si="44"/>
        <v>63.200000000000756</v>
      </c>
    </row>
    <row r="693" spans="8:11" ht="17.45" customHeight="1" x14ac:dyDescent="0.3">
      <c r="H693" s="101">
        <f t="shared" si="45"/>
        <v>685</v>
      </c>
      <c r="I693" s="101">
        <f t="shared" si="42"/>
        <v>3</v>
      </c>
      <c r="J693" s="106">
        <f t="shared" si="43"/>
        <v>-0.2</v>
      </c>
      <c r="K693" s="106">
        <f t="shared" si="44"/>
        <v>63.000000000000753</v>
      </c>
    </row>
    <row r="694" spans="8:11" ht="17.45" customHeight="1" x14ac:dyDescent="0.3">
      <c r="H694" s="101">
        <f t="shared" si="45"/>
        <v>686</v>
      </c>
      <c r="I694" s="101">
        <f t="shared" si="42"/>
        <v>3</v>
      </c>
      <c r="J694" s="106">
        <f t="shared" si="43"/>
        <v>-0.2</v>
      </c>
      <c r="K694" s="106">
        <f t="shared" si="44"/>
        <v>62.80000000000075</v>
      </c>
    </row>
    <row r="695" spans="8:11" ht="17.45" customHeight="1" x14ac:dyDescent="0.3">
      <c r="H695" s="101">
        <f t="shared" si="45"/>
        <v>687</v>
      </c>
      <c r="I695" s="101">
        <f t="shared" si="42"/>
        <v>3</v>
      </c>
      <c r="J695" s="106">
        <f t="shared" si="43"/>
        <v>-0.2</v>
      </c>
      <c r="K695" s="106">
        <f t="shared" si="44"/>
        <v>62.600000000000747</v>
      </c>
    </row>
    <row r="696" spans="8:11" ht="17.45" customHeight="1" x14ac:dyDescent="0.3">
      <c r="H696" s="101">
        <f t="shared" si="45"/>
        <v>688</v>
      </c>
      <c r="I696" s="101">
        <f t="shared" si="42"/>
        <v>3</v>
      </c>
      <c r="J696" s="106">
        <f t="shared" si="43"/>
        <v>-0.2</v>
      </c>
      <c r="K696" s="106">
        <f t="shared" si="44"/>
        <v>62.400000000000745</v>
      </c>
    </row>
    <row r="697" spans="8:11" ht="17.45" customHeight="1" x14ac:dyDescent="0.3">
      <c r="H697" s="101">
        <f t="shared" si="45"/>
        <v>689</v>
      </c>
      <c r="I697" s="101">
        <f t="shared" si="42"/>
        <v>3</v>
      </c>
      <c r="J697" s="106">
        <f t="shared" si="43"/>
        <v>-0.2</v>
      </c>
      <c r="K697" s="106">
        <f t="shared" si="44"/>
        <v>62.200000000000742</v>
      </c>
    </row>
    <row r="698" spans="8:11" ht="17.45" customHeight="1" x14ac:dyDescent="0.3">
      <c r="H698" s="101">
        <f t="shared" si="45"/>
        <v>690</v>
      </c>
      <c r="I698" s="101">
        <f t="shared" si="42"/>
        <v>3</v>
      </c>
      <c r="J698" s="106">
        <f t="shared" si="43"/>
        <v>-0.2</v>
      </c>
      <c r="K698" s="106">
        <f t="shared" si="44"/>
        <v>62.000000000000739</v>
      </c>
    </row>
    <row r="699" spans="8:11" ht="17.45" customHeight="1" x14ac:dyDescent="0.3">
      <c r="H699" s="101">
        <f t="shared" si="45"/>
        <v>691</v>
      </c>
      <c r="I699" s="101">
        <f t="shared" si="42"/>
        <v>3</v>
      </c>
      <c r="J699" s="106">
        <f t="shared" si="43"/>
        <v>-0.2</v>
      </c>
      <c r="K699" s="106">
        <f t="shared" si="44"/>
        <v>61.800000000000736</v>
      </c>
    </row>
    <row r="700" spans="8:11" ht="17.45" customHeight="1" x14ac:dyDescent="0.3">
      <c r="H700" s="101">
        <f t="shared" si="45"/>
        <v>692</v>
      </c>
      <c r="I700" s="101">
        <f t="shared" si="42"/>
        <v>3</v>
      </c>
      <c r="J700" s="106">
        <f t="shared" si="43"/>
        <v>-0.2</v>
      </c>
      <c r="K700" s="106">
        <f t="shared" si="44"/>
        <v>61.600000000000733</v>
      </c>
    </row>
    <row r="701" spans="8:11" ht="17.45" customHeight="1" x14ac:dyDescent="0.3">
      <c r="H701" s="101">
        <f t="shared" si="45"/>
        <v>693</v>
      </c>
      <c r="I701" s="101">
        <f t="shared" si="42"/>
        <v>3</v>
      </c>
      <c r="J701" s="106">
        <f t="shared" si="43"/>
        <v>-0.2</v>
      </c>
      <c r="K701" s="106">
        <f t="shared" si="44"/>
        <v>61.40000000000073</v>
      </c>
    </row>
    <row r="702" spans="8:11" ht="17.45" customHeight="1" x14ac:dyDescent="0.3">
      <c r="H702" s="101">
        <f t="shared" si="45"/>
        <v>694</v>
      </c>
      <c r="I702" s="101">
        <f t="shared" si="42"/>
        <v>3</v>
      </c>
      <c r="J702" s="106">
        <f t="shared" si="43"/>
        <v>-0.2</v>
      </c>
      <c r="K702" s="106">
        <f t="shared" si="44"/>
        <v>61.200000000000728</v>
      </c>
    </row>
    <row r="703" spans="8:11" ht="17.45" customHeight="1" x14ac:dyDescent="0.3">
      <c r="H703" s="101">
        <f t="shared" si="45"/>
        <v>695</v>
      </c>
      <c r="I703" s="101">
        <f t="shared" si="42"/>
        <v>3</v>
      </c>
      <c r="J703" s="106">
        <f t="shared" si="43"/>
        <v>-0.2</v>
      </c>
      <c r="K703" s="106">
        <f t="shared" si="44"/>
        <v>61.000000000000725</v>
      </c>
    </row>
    <row r="704" spans="8:11" ht="17.45" customHeight="1" x14ac:dyDescent="0.3">
      <c r="H704" s="101">
        <f t="shared" si="45"/>
        <v>696</v>
      </c>
      <c r="I704" s="101">
        <f t="shared" si="42"/>
        <v>3</v>
      </c>
      <c r="J704" s="106">
        <f t="shared" si="43"/>
        <v>-0.2</v>
      </c>
      <c r="K704" s="106">
        <f t="shared" si="44"/>
        <v>60.800000000000722</v>
      </c>
    </row>
    <row r="705" spans="8:11" ht="17.45" customHeight="1" x14ac:dyDescent="0.3">
      <c r="H705" s="101">
        <f t="shared" si="45"/>
        <v>697</v>
      </c>
      <c r="I705" s="101">
        <f t="shared" si="42"/>
        <v>3</v>
      </c>
      <c r="J705" s="106">
        <f t="shared" si="43"/>
        <v>-0.2</v>
      </c>
      <c r="K705" s="106">
        <f t="shared" si="44"/>
        <v>60.600000000000719</v>
      </c>
    </row>
    <row r="706" spans="8:11" ht="17.45" customHeight="1" x14ac:dyDescent="0.3">
      <c r="H706" s="101">
        <f t="shared" si="45"/>
        <v>698</v>
      </c>
      <c r="I706" s="101">
        <f t="shared" si="42"/>
        <v>3</v>
      </c>
      <c r="J706" s="106">
        <f t="shared" si="43"/>
        <v>-0.2</v>
      </c>
      <c r="K706" s="106">
        <f t="shared" si="44"/>
        <v>60.400000000000716</v>
      </c>
    </row>
    <row r="707" spans="8:11" ht="17.45" customHeight="1" x14ac:dyDescent="0.3">
      <c r="H707" s="101">
        <f t="shared" si="45"/>
        <v>699</v>
      </c>
      <c r="I707" s="101">
        <f t="shared" si="42"/>
        <v>3</v>
      </c>
      <c r="J707" s="106">
        <f t="shared" si="43"/>
        <v>-0.2</v>
      </c>
      <c r="K707" s="106">
        <f t="shared" si="44"/>
        <v>60.200000000000713</v>
      </c>
    </row>
    <row r="708" spans="8:11" ht="17.45" customHeight="1" x14ac:dyDescent="0.3">
      <c r="H708" s="101">
        <f t="shared" si="45"/>
        <v>700</v>
      </c>
      <c r="I708" s="101">
        <f t="shared" si="42"/>
        <v>3</v>
      </c>
      <c r="J708" s="106">
        <f t="shared" si="43"/>
        <v>-0.2</v>
      </c>
      <c r="K708" s="106">
        <f t="shared" si="44"/>
        <v>60.000000000000711</v>
      </c>
    </row>
    <row r="709" spans="8:11" ht="17.45" customHeight="1" x14ac:dyDescent="0.3">
      <c r="H709" s="101">
        <f t="shared" si="45"/>
        <v>701</v>
      </c>
      <c r="I709" s="101">
        <f t="shared" si="42"/>
        <v>3</v>
      </c>
      <c r="J709" s="106">
        <f t="shared" si="43"/>
        <v>-0.2</v>
      </c>
      <c r="K709" s="106">
        <f t="shared" si="44"/>
        <v>59.800000000000708</v>
      </c>
    </row>
    <row r="710" spans="8:11" ht="17.45" customHeight="1" x14ac:dyDescent="0.3">
      <c r="H710" s="101">
        <f t="shared" si="45"/>
        <v>702</v>
      </c>
      <c r="I710" s="101">
        <f t="shared" si="42"/>
        <v>3</v>
      </c>
      <c r="J710" s="106">
        <f t="shared" si="43"/>
        <v>-0.2</v>
      </c>
      <c r="K710" s="106">
        <f t="shared" si="44"/>
        <v>59.600000000000705</v>
      </c>
    </row>
    <row r="711" spans="8:11" ht="17.45" customHeight="1" x14ac:dyDescent="0.3">
      <c r="H711" s="101">
        <f t="shared" si="45"/>
        <v>703</v>
      </c>
      <c r="I711" s="101">
        <f t="shared" si="42"/>
        <v>3</v>
      </c>
      <c r="J711" s="106">
        <f t="shared" si="43"/>
        <v>-0.2</v>
      </c>
      <c r="K711" s="106">
        <f t="shared" si="44"/>
        <v>59.400000000000702</v>
      </c>
    </row>
    <row r="712" spans="8:11" ht="17.45" customHeight="1" x14ac:dyDescent="0.3">
      <c r="H712" s="101">
        <f t="shared" si="45"/>
        <v>704</v>
      </c>
      <c r="I712" s="101">
        <f t="shared" si="42"/>
        <v>3</v>
      </c>
      <c r="J712" s="106">
        <f t="shared" si="43"/>
        <v>-0.2</v>
      </c>
      <c r="K712" s="106">
        <f t="shared" si="44"/>
        <v>59.200000000000699</v>
      </c>
    </row>
    <row r="713" spans="8:11" ht="17.45" customHeight="1" x14ac:dyDescent="0.3">
      <c r="H713" s="101">
        <f t="shared" si="45"/>
        <v>705</v>
      </c>
      <c r="I713" s="101">
        <f t="shared" ref="I713:I776" si="46">MATCH(H713,$C$8:$C$13,1)</f>
        <v>3</v>
      </c>
      <c r="J713" s="106">
        <f t="shared" si="43"/>
        <v>-0.2</v>
      </c>
      <c r="K713" s="106">
        <f t="shared" si="44"/>
        <v>59.000000000000696</v>
      </c>
    </row>
    <row r="714" spans="8:11" ht="17.45" customHeight="1" x14ac:dyDescent="0.3">
      <c r="H714" s="101">
        <f t="shared" si="45"/>
        <v>706</v>
      </c>
      <c r="I714" s="101">
        <f t="shared" si="46"/>
        <v>3</v>
      </c>
      <c r="J714" s="106">
        <f t="shared" ref="J714:J777" si="47">INDEX($E$8:$E$13,I713)</f>
        <v>-0.2</v>
      </c>
      <c r="K714" s="106">
        <f t="shared" ref="K714:K777" si="48">K713+J714</f>
        <v>58.800000000000693</v>
      </c>
    </row>
    <row r="715" spans="8:11" ht="17.45" customHeight="1" x14ac:dyDescent="0.3">
      <c r="H715" s="101">
        <f t="shared" si="45"/>
        <v>707</v>
      </c>
      <c r="I715" s="101">
        <f t="shared" si="46"/>
        <v>3</v>
      </c>
      <c r="J715" s="106">
        <f t="shared" si="47"/>
        <v>-0.2</v>
      </c>
      <c r="K715" s="106">
        <f t="shared" si="48"/>
        <v>58.600000000000691</v>
      </c>
    </row>
    <row r="716" spans="8:11" ht="17.45" customHeight="1" x14ac:dyDescent="0.3">
      <c r="H716" s="101">
        <f t="shared" si="45"/>
        <v>708</v>
      </c>
      <c r="I716" s="101">
        <f t="shared" si="46"/>
        <v>3</v>
      </c>
      <c r="J716" s="106">
        <f t="shared" si="47"/>
        <v>-0.2</v>
      </c>
      <c r="K716" s="106">
        <f t="shared" si="48"/>
        <v>58.400000000000688</v>
      </c>
    </row>
    <row r="717" spans="8:11" ht="17.45" customHeight="1" x14ac:dyDescent="0.3">
      <c r="H717" s="101">
        <f t="shared" si="45"/>
        <v>709</v>
      </c>
      <c r="I717" s="101">
        <f t="shared" si="46"/>
        <v>3</v>
      </c>
      <c r="J717" s="106">
        <f t="shared" si="47"/>
        <v>-0.2</v>
      </c>
      <c r="K717" s="106">
        <f t="shared" si="48"/>
        <v>58.200000000000685</v>
      </c>
    </row>
    <row r="718" spans="8:11" ht="17.45" customHeight="1" x14ac:dyDescent="0.3">
      <c r="H718" s="101">
        <f t="shared" si="45"/>
        <v>710</v>
      </c>
      <c r="I718" s="101">
        <f t="shared" si="46"/>
        <v>3</v>
      </c>
      <c r="J718" s="106">
        <f t="shared" si="47"/>
        <v>-0.2</v>
      </c>
      <c r="K718" s="106">
        <f t="shared" si="48"/>
        <v>58.000000000000682</v>
      </c>
    </row>
    <row r="719" spans="8:11" ht="17.45" customHeight="1" x14ac:dyDescent="0.3">
      <c r="H719" s="101">
        <f t="shared" si="45"/>
        <v>711</v>
      </c>
      <c r="I719" s="101">
        <f t="shared" si="46"/>
        <v>3</v>
      </c>
      <c r="J719" s="106">
        <f t="shared" si="47"/>
        <v>-0.2</v>
      </c>
      <c r="K719" s="106">
        <f t="shared" si="48"/>
        <v>57.800000000000679</v>
      </c>
    </row>
    <row r="720" spans="8:11" ht="17.45" customHeight="1" x14ac:dyDescent="0.3">
      <c r="H720" s="101">
        <f t="shared" si="45"/>
        <v>712</v>
      </c>
      <c r="I720" s="101">
        <f t="shared" si="46"/>
        <v>3</v>
      </c>
      <c r="J720" s="106">
        <f t="shared" si="47"/>
        <v>-0.2</v>
      </c>
      <c r="K720" s="106">
        <f t="shared" si="48"/>
        <v>57.600000000000676</v>
      </c>
    </row>
    <row r="721" spans="8:11" ht="17.45" customHeight="1" x14ac:dyDescent="0.3">
      <c r="H721" s="101">
        <f t="shared" si="45"/>
        <v>713</v>
      </c>
      <c r="I721" s="101">
        <f t="shared" si="46"/>
        <v>3</v>
      </c>
      <c r="J721" s="106">
        <f t="shared" si="47"/>
        <v>-0.2</v>
      </c>
      <c r="K721" s="106">
        <f t="shared" si="48"/>
        <v>57.400000000000674</v>
      </c>
    </row>
    <row r="722" spans="8:11" ht="17.45" customHeight="1" x14ac:dyDescent="0.3">
      <c r="H722" s="101">
        <f t="shared" si="45"/>
        <v>714</v>
      </c>
      <c r="I722" s="101">
        <f t="shared" si="46"/>
        <v>3</v>
      </c>
      <c r="J722" s="106">
        <f t="shared" si="47"/>
        <v>-0.2</v>
      </c>
      <c r="K722" s="106">
        <f t="shared" si="48"/>
        <v>57.200000000000671</v>
      </c>
    </row>
    <row r="723" spans="8:11" ht="17.45" customHeight="1" x14ac:dyDescent="0.3">
      <c r="H723" s="101">
        <f t="shared" si="45"/>
        <v>715</v>
      </c>
      <c r="I723" s="101">
        <f t="shared" si="46"/>
        <v>3</v>
      </c>
      <c r="J723" s="106">
        <f t="shared" si="47"/>
        <v>-0.2</v>
      </c>
      <c r="K723" s="106">
        <f t="shared" si="48"/>
        <v>57.000000000000668</v>
      </c>
    </row>
    <row r="724" spans="8:11" ht="17.45" customHeight="1" x14ac:dyDescent="0.3">
      <c r="H724" s="101">
        <f t="shared" si="45"/>
        <v>716</v>
      </c>
      <c r="I724" s="101">
        <f t="shared" si="46"/>
        <v>3</v>
      </c>
      <c r="J724" s="106">
        <f t="shared" si="47"/>
        <v>-0.2</v>
      </c>
      <c r="K724" s="106">
        <f t="shared" si="48"/>
        <v>56.800000000000665</v>
      </c>
    </row>
    <row r="725" spans="8:11" ht="17.45" customHeight="1" x14ac:dyDescent="0.3">
      <c r="H725" s="101">
        <f t="shared" si="45"/>
        <v>717</v>
      </c>
      <c r="I725" s="101">
        <f t="shared" si="46"/>
        <v>3</v>
      </c>
      <c r="J725" s="106">
        <f t="shared" si="47"/>
        <v>-0.2</v>
      </c>
      <c r="K725" s="106">
        <f t="shared" si="48"/>
        <v>56.600000000000662</v>
      </c>
    </row>
    <row r="726" spans="8:11" ht="17.45" customHeight="1" x14ac:dyDescent="0.3">
      <c r="H726" s="101">
        <f t="shared" si="45"/>
        <v>718</v>
      </c>
      <c r="I726" s="101">
        <f t="shared" si="46"/>
        <v>3</v>
      </c>
      <c r="J726" s="106">
        <f t="shared" si="47"/>
        <v>-0.2</v>
      </c>
      <c r="K726" s="106">
        <f t="shared" si="48"/>
        <v>56.400000000000659</v>
      </c>
    </row>
    <row r="727" spans="8:11" ht="17.45" customHeight="1" x14ac:dyDescent="0.3">
      <c r="H727" s="101">
        <f t="shared" ref="H727:H790" si="49">H726+1</f>
        <v>719</v>
      </c>
      <c r="I727" s="101">
        <f t="shared" si="46"/>
        <v>3</v>
      </c>
      <c r="J727" s="106">
        <f t="shared" si="47"/>
        <v>-0.2</v>
      </c>
      <c r="K727" s="106">
        <f t="shared" si="48"/>
        <v>56.200000000000657</v>
      </c>
    </row>
    <row r="728" spans="8:11" ht="17.45" customHeight="1" x14ac:dyDescent="0.3">
      <c r="H728" s="101">
        <f t="shared" si="49"/>
        <v>720</v>
      </c>
      <c r="I728" s="101">
        <f t="shared" si="46"/>
        <v>3</v>
      </c>
      <c r="J728" s="106">
        <f t="shared" si="47"/>
        <v>-0.2</v>
      </c>
      <c r="K728" s="106">
        <f t="shared" si="48"/>
        <v>56.000000000000654</v>
      </c>
    </row>
    <row r="729" spans="8:11" ht="17.45" customHeight="1" x14ac:dyDescent="0.3">
      <c r="H729" s="101">
        <f t="shared" si="49"/>
        <v>721</v>
      </c>
      <c r="I729" s="101">
        <f t="shared" si="46"/>
        <v>3</v>
      </c>
      <c r="J729" s="106">
        <f t="shared" si="47"/>
        <v>-0.2</v>
      </c>
      <c r="K729" s="106">
        <f t="shared" si="48"/>
        <v>55.800000000000651</v>
      </c>
    </row>
    <row r="730" spans="8:11" ht="17.45" customHeight="1" x14ac:dyDescent="0.3">
      <c r="H730" s="101">
        <f t="shared" si="49"/>
        <v>722</v>
      </c>
      <c r="I730" s="101">
        <f t="shared" si="46"/>
        <v>3</v>
      </c>
      <c r="J730" s="106">
        <f t="shared" si="47"/>
        <v>-0.2</v>
      </c>
      <c r="K730" s="106">
        <f t="shared" si="48"/>
        <v>55.600000000000648</v>
      </c>
    </row>
    <row r="731" spans="8:11" ht="17.45" customHeight="1" x14ac:dyDescent="0.3">
      <c r="H731" s="101">
        <f t="shared" si="49"/>
        <v>723</v>
      </c>
      <c r="I731" s="101">
        <f t="shared" si="46"/>
        <v>3</v>
      </c>
      <c r="J731" s="106">
        <f t="shared" si="47"/>
        <v>-0.2</v>
      </c>
      <c r="K731" s="106">
        <f t="shared" si="48"/>
        <v>55.400000000000645</v>
      </c>
    </row>
    <row r="732" spans="8:11" ht="17.45" customHeight="1" x14ac:dyDescent="0.3">
      <c r="H732" s="101">
        <f t="shared" si="49"/>
        <v>724</v>
      </c>
      <c r="I732" s="101">
        <f t="shared" si="46"/>
        <v>3</v>
      </c>
      <c r="J732" s="106">
        <f t="shared" si="47"/>
        <v>-0.2</v>
      </c>
      <c r="K732" s="106">
        <f t="shared" si="48"/>
        <v>55.200000000000642</v>
      </c>
    </row>
    <row r="733" spans="8:11" ht="17.45" customHeight="1" x14ac:dyDescent="0.3">
      <c r="H733" s="101">
        <f t="shared" si="49"/>
        <v>725</v>
      </c>
      <c r="I733" s="101">
        <f t="shared" si="46"/>
        <v>3</v>
      </c>
      <c r="J733" s="106">
        <f t="shared" si="47"/>
        <v>-0.2</v>
      </c>
      <c r="K733" s="106">
        <f t="shared" si="48"/>
        <v>55.000000000000639</v>
      </c>
    </row>
    <row r="734" spans="8:11" ht="17.45" customHeight="1" x14ac:dyDescent="0.3">
      <c r="H734" s="101">
        <f t="shared" si="49"/>
        <v>726</v>
      </c>
      <c r="I734" s="101">
        <f t="shared" si="46"/>
        <v>3</v>
      </c>
      <c r="J734" s="106">
        <f t="shared" si="47"/>
        <v>-0.2</v>
      </c>
      <c r="K734" s="106">
        <f t="shared" si="48"/>
        <v>54.800000000000637</v>
      </c>
    </row>
    <row r="735" spans="8:11" ht="17.45" customHeight="1" x14ac:dyDescent="0.3">
      <c r="H735" s="101">
        <f t="shared" si="49"/>
        <v>727</v>
      </c>
      <c r="I735" s="101">
        <f t="shared" si="46"/>
        <v>3</v>
      </c>
      <c r="J735" s="106">
        <f t="shared" si="47"/>
        <v>-0.2</v>
      </c>
      <c r="K735" s="106">
        <f t="shared" si="48"/>
        <v>54.600000000000634</v>
      </c>
    </row>
    <row r="736" spans="8:11" ht="17.45" customHeight="1" x14ac:dyDescent="0.3">
      <c r="H736" s="101">
        <f t="shared" si="49"/>
        <v>728</v>
      </c>
      <c r="I736" s="101">
        <f t="shared" si="46"/>
        <v>3</v>
      </c>
      <c r="J736" s="106">
        <f t="shared" si="47"/>
        <v>-0.2</v>
      </c>
      <c r="K736" s="106">
        <f t="shared" si="48"/>
        <v>54.400000000000631</v>
      </c>
    </row>
    <row r="737" spans="8:11" ht="17.45" customHeight="1" x14ac:dyDescent="0.3">
      <c r="H737" s="101">
        <f t="shared" si="49"/>
        <v>729</v>
      </c>
      <c r="I737" s="101">
        <f t="shared" si="46"/>
        <v>3</v>
      </c>
      <c r="J737" s="106">
        <f t="shared" si="47"/>
        <v>-0.2</v>
      </c>
      <c r="K737" s="106">
        <f t="shared" si="48"/>
        <v>54.200000000000628</v>
      </c>
    </row>
    <row r="738" spans="8:11" ht="17.45" customHeight="1" x14ac:dyDescent="0.3">
      <c r="H738" s="101">
        <f t="shared" si="49"/>
        <v>730</v>
      </c>
      <c r="I738" s="101">
        <f t="shared" si="46"/>
        <v>3</v>
      </c>
      <c r="J738" s="106">
        <f t="shared" si="47"/>
        <v>-0.2</v>
      </c>
      <c r="K738" s="106">
        <f t="shared" si="48"/>
        <v>54.000000000000625</v>
      </c>
    </row>
    <row r="739" spans="8:11" ht="17.45" customHeight="1" x14ac:dyDescent="0.3">
      <c r="H739" s="101">
        <f t="shared" si="49"/>
        <v>731</v>
      </c>
      <c r="I739" s="101">
        <f t="shared" si="46"/>
        <v>3</v>
      </c>
      <c r="J739" s="106">
        <f t="shared" si="47"/>
        <v>-0.2</v>
      </c>
      <c r="K739" s="106">
        <f t="shared" si="48"/>
        <v>53.800000000000622</v>
      </c>
    </row>
    <row r="740" spans="8:11" ht="17.45" customHeight="1" x14ac:dyDescent="0.3">
      <c r="H740" s="101">
        <f t="shared" si="49"/>
        <v>732</v>
      </c>
      <c r="I740" s="101">
        <f t="shared" si="46"/>
        <v>3</v>
      </c>
      <c r="J740" s="106">
        <f t="shared" si="47"/>
        <v>-0.2</v>
      </c>
      <c r="K740" s="106">
        <f t="shared" si="48"/>
        <v>53.60000000000062</v>
      </c>
    </row>
    <row r="741" spans="8:11" ht="17.45" customHeight="1" x14ac:dyDescent="0.3">
      <c r="H741" s="101">
        <f t="shared" si="49"/>
        <v>733</v>
      </c>
      <c r="I741" s="101">
        <f t="shared" si="46"/>
        <v>3</v>
      </c>
      <c r="J741" s="106">
        <f t="shared" si="47"/>
        <v>-0.2</v>
      </c>
      <c r="K741" s="106">
        <f t="shared" si="48"/>
        <v>53.400000000000617</v>
      </c>
    </row>
    <row r="742" spans="8:11" ht="17.45" customHeight="1" x14ac:dyDescent="0.3">
      <c r="H742" s="101">
        <f t="shared" si="49"/>
        <v>734</v>
      </c>
      <c r="I742" s="101">
        <f t="shared" si="46"/>
        <v>3</v>
      </c>
      <c r="J742" s="106">
        <f t="shared" si="47"/>
        <v>-0.2</v>
      </c>
      <c r="K742" s="106">
        <f t="shared" si="48"/>
        <v>53.200000000000614</v>
      </c>
    </row>
    <row r="743" spans="8:11" ht="17.45" customHeight="1" x14ac:dyDescent="0.3">
      <c r="H743" s="101">
        <f t="shared" si="49"/>
        <v>735</v>
      </c>
      <c r="I743" s="101">
        <f t="shared" si="46"/>
        <v>3</v>
      </c>
      <c r="J743" s="106">
        <f t="shared" si="47"/>
        <v>-0.2</v>
      </c>
      <c r="K743" s="106">
        <f t="shared" si="48"/>
        <v>53.000000000000611</v>
      </c>
    </row>
    <row r="744" spans="8:11" ht="17.45" customHeight="1" x14ac:dyDescent="0.3">
      <c r="H744" s="101">
        <f t="shared" si="49"/>
        <v>736</v>
      </c>
      <c r="I744" s="101">
        <f t="shared" si="46"/>
        <v>3</v>
      </c>
      <c r="J744" s="106">
        <f t="shared" si="47"/>
        <v>-0.2</v>
      </c>
      <c r="K744" s="106">
        <f t="shared" si="48"/>
        <v>52.800000000000608</v>
      </c>
    </row>
    <row r="745" spans="8:11" ht="17.45" customHeight="1" x14ac:dyDescent="0.3">
      <c r="H745" s="101">
        <f t="shared" si="49"/>
        <v>737</v>
      </c>
      <c r="I745" s="101">
        <f t="shared" si="46"/>
        <v>3</v>
      </c>
      <c r="J745" s="106">
        <f t="shared" si="47"/>
        <v>-0.2</v>
      </c>
      <c r="K745" s="106">
        <f t="shared" si="48"/>
        <v>52.600000000000605</v>
      </c>
    </row>
    <row r="746" spans="8:11" ht="17.45" customHeight="1" x14ac:dyDescent="0.3">
      <c r="H746" s="101">
        <f t="shared" si="49"/>
        <v>738</v>
      </c>
      <c r="I746" s="101">
        <f t="shared" si="46"/>
        <v>3</v>
      </c>
      <c r="J746" s="106">
        <f t="shared" si="47"/>
        <v>-0.2</v>
      </c>
      <c r="K746" s="106">
        <f t="shared" si="48"/>
        <v>52.400000000000603</v>
      </c>
    </row>
    <row r="747" spans="8:11" ht="17.45" customHeight="1" x14ac:dyDescent="0.3">
      <c r="H747" s="101">
        <f t="shared" si="49"/>
        <v>739</v>
      </c>
      <c r="I747" s="101">
        <f t="shared" si="46"/>
        <v>3</v>
      </c>
      <c r="J747" s="106">
        <f t="shared" si="47"/>
        <v>-0.2</v>
      </c>
      <c r="K747" s="106">
        <f t="shared" si="48"/>
        <v>52.2000000000006</v>
      </c>
    </row>
    <row r="748" spans="8:11" ht="17.45" customHeight="1" x14ac:dyDescent="0.3">
      <c r="H748" s="101">
        <f t="shared" si="49"/>
        <v>740</v>
      </c>
      <c r="I748" s="101">
        <f t="shared" si="46"/>
        <v>3</v>
      </c>
      <c r="J748" s="106">
        <f t="shared" si="47"/>
        <v>-0.2</v>
      </c>
      <c r="K748" s="106">
        <f t="shared" si="48"/>
        <v>52.000000000000597</v>
      </c>
    </row>
    <row r="749" spans="8:11" ht="17.45" customHeight="1" x14ac:dyDescent="0.3">
      <c r="H749" s="101">
        <f t="shared" si="49"/>
        <v>741</v>
      </c>
      <c r="I749" s="101">
        <f t="shared" si="46"/>
        <v>3</v>
      </c>
      <c r="J749" s="106">
        <f t="shared" si="47"/>
        <v>-0.2</v>
      </c>
      <c r="K749" s="106">
        <f t="shared" si="48"/>
        <v>51.800000000000594</v>
      </c>
    </row>
    <row r="750" spans="8:11" ht="17.45" customHeight="1" x14ac:dyDescent="0.3">
      <c r="H750" s="101">
        <f t="shared" si="49"/>
        <v>742</v>
      </c>
      <c r="I750" s="101">
        <f t="shared" si="46"/>
        <v>3</v>
      </c>
      <c r="J750" s="106">
        <f t="shared" si="47"/>
        <v>-0.2</v>
      </c>
      <c r="K750" s="106">
        <f t="shared" si="48"/>
        <v>51.600000000000591</v>
      </c>
    </row>
    <row r="751" spans="8:11" ht="17.45" customHeight="1" x14ac:dyDescent="0.3">
      <c r="H751" s="101">
        <f t="shared" si="49"/>
        <v>743</v>
      </c>
      <c r="I751" s="101">
        <f t="shared" si="46"/>
        <v>3</v>
      </c>
      <c r="J751" s="106">
        <f t="shared" si="47"/>
        <v>-0.2</v>
      </c>
      <c r="K751" s="106">
        <f t="shared" si="48"/>
        <v>51.400000000000588</v>
      </c>
    </row>
    <row r="752" spans="8:11" ht="17.45" customHeight="1" x14ac:dyDescent="0.3">
      <c r="H752" s="101">
        <f t="shared" si="49"/>
        <v>744</v>
      </c>
      <c r="I752" s="101">
        <f t="shared" si="46"/>
        <v>3</v>
      </c>
      <c r="J752" s="106">
        <f t="shared" si="47"/>
        <v>-0.2</v>
      </c>
      <c r="K752" s="106">
        <f t="shared" si="48"/>
        <v>51.200000000000585</v>
      </c>
    </row>
    <row r="753" spans="8:11" ht="17.45" customHeight="1" x14ac:dyDescent="0.3">
      <c r="H753" s="101">
        <f t="shared" si="49"/>
        <v>745</v>
      </c>
      <c r="I753" s="101">
        <f t="shared" si="46"/>
        <v>3</v>
      </c>
      <c r="J753" s="106">
        <f t="shared" si="47"/>
        <v>-0.2</v>
      </c>
      <c r="K753" s="106">
        <f t="shared" si="48"/>
        <v>51.000000000000583</v>
      </c>
    </row>
    <row r="754" spans="8:11" ht="17.45" customHeight="1" x14ac:dyDescent="0.3">
      <c r="H754" s="101">
        <f t="shared" si="49"/>
        <v>746</v>
      </c>
      <c r="I754" s="101">
        <f t="shared" si="46"/>
        <v>3</v>
      </c>
      <c r="J754" s="106">
        <f t="shared" si="47"/>
        <v>-0.2</v>
      </c>
      <c r="K754" s="106">
        <f t="shared" si="48"/>
        <v>50.80000000000058</v>
      </c>
    </row>
    <row r="755" spans="8:11" ht="17.45" customHeight="1" x14ac:dyDescent="0.3">
      <c r="H755" s="101">
        <f t="shared" si="49"/>
        <v>747</v>
      </c>
      <c r="I755" s="101">
        <f t="shared" si="46"/>
        <v>3</v>
      </c>
      <c r="J755" s="106">
        <f t="shared" si="47"/>
        <v>-0.2</v>
      </c>
      <c r="K755" s="106">
        <f t="shared" si="48"/>
        <v>50.600000000000577</v>
      </c>
    </row>
    <row r="756" spans="8:11" ht="17.45" customHeight="1" x14ac:dyDescent="0.3">
      <c r="H756" s="101">
        <f t="shared" si="49"/>
        <v>748</v>
      </c>
      <c r="I756" s="101">
        <f t="shared" si="46"/>
        <v>3</v>
      </c>
      <c r="J756" s="106">
        <f t="shared" si="47"/>
        <v>-0.2</v>
      </c>
      <c r="K756" s="106">
        <f t="shared" si="48"/>
        <v>50.400000000000574</v>
      </c>
    </row>
    <row r="757" spans="8:11" ht="17.45" customHeight="1" x14ac:dyDescent="0.3">
      <c r="H757" s="101">
        <f t="shared" si="49"/>
        <v>749</v>
      </c>
      <c r="I757" s="101">
        <f t="shared" si="46"/>
        <v>3</v>
      </c>
      <c r="J757" s="106">
        <f t="shared" si="47"/>
        <v>-0.2</v>
      </c>
      <c r="K757" s="106">
        <f t="shared" si="48"/>
        <v>50.200000000000571</v>
      </c>
    </row>
    <row r="758" spans="8:11" ht="17.45" customHeight="1" x14ac:dyDescent="0.3">
      <c r="H758" s="101">
        <f t="shared" si="49"/>
        <v>750</v>
      </c>
      <c r="I758" s="101">
        <f t="shared" si="46"/>
        <v>3</v>
      </c>
      <c r="J758" s="106">
        <f t="shared" si="47"/>
        <v>-0.2</v>
      </c>
      <c r="K758" s="106">
        <f t="shared" si="48"/>
        <v>50.000000000000568</v>
      </c>
    </row>
    <row r="759" spans="8:11" ht="17.45" customHeight="1" x14ac:dyDescent="0.3">
      <c r="H759" s="101">
        <f t="shared" si="49"/>
        <v>751</v>
      </c>
      <c r="I759" s="101">
        <f t="shared" si="46"/>
        <v>3</v>
      </c>
      <c r="J759" s="106">
        <f t="shared" si="47"/>
        <v>-0.2</v>
      </c>
      <c r="K759" s="106">
        <f t="shared" si="48"/>
        <v>49.800000000000566</v>
      </c>
    </row>
    <row r="760" spans="8:11" ht="17.45" customHeight="1" x14ac:dyDescent="0.3">
      <c r="H760" s="101">
        <f t="shared" si="49"/>
        <v>752</v>
      </c>
      <c r="I760" s="101">
        <f t="shared" si="46"/>
        <v>3</v>
      </c>
      <c r="J760" s="106">
        <f t="shared" si="47"/>
        <v>-0.2</v>
      </c>
      <c r="K760" s="106">
        <f t="shared" si="48"/>
        <v>49.600000000000563</v>
      </c>
    </row>
    <row r="761" spans="8:11" ht="17.45" customHeight="1" x14ac:dyDescent="0.3">
      <c r="H761" s="101">
        <f t="shared" si="49"/>
        <v>753</v>
      </c>
      <c r="I761" s="101">
        <f t="shared" si="46"/>
        <v>3</v>
      </c>
      <c r="J761" s="106">
        <f t="shared" si="47"/>
        <v>-0.2</v>
      </c>
      <c r="K761" s="106">
        <f t="shared" si="48"/>
        <v>49.40000000000056</v>
      </c>
    </row>
    <row r="762" spans="8:11" ht="17.45" customHeight="1" x14ac:dyDescent="0.3">
      <c r="H762" s="101">
        <f t="shared" si="49"/>
        <v>754</v>
      </c>
      <c r="I762" s="101">
        <f t="shared" si="46"/>
        <v>3</v>
      </c>
      <c r="J762" s="106">
        <f t="shared" si="47"/>
        <v>-0.2</v>
      </c>
      <c r="K762" s="106">
        <f t="shared" si="48"/>
        <v>49.200000000000557</v>
      </c>
    </row>
    <row r="763" spans="8:11" ht="17.45" customHeight="1" x14ac:dyDescent="0.3">
      <c r="H763" s="101">
        <f t="shared" si="49"/>
        <v>755</v>
      </c>
      <c r="I763" s="101">
        <f t="shared" si="46"/>
        <v>3</v>
      </c>
      <c r="J763" s="106">
        <f t="shared" si="47"/>
        <v>-0.2</v>
      </c>
      <c r="K763" s="106">
        <f t="shared" si="48"/>
        <v>49.000000000000554</v>
      </c>
    </row>
    <row r="764" spans="8:11" ht="17.45" customHeight="1" x14ac:dyDescent="0.3">
      <c r="H764" s="101">
        <f t="shared" si="49"/>
        <v>756</v>
      </c>
      <c r="I764" s="101">
        <f t="shared" si="46"/>
        <v>3</v>
      </c>
      <c r="J764" s="106">
        <f t="shared" si="47"/>
        <v>-0.2</v>
      </c>
      <c r="K764" s="106">
        <f t="shared" si="48"/>
        <v>48.800000000000551</v>
      </c>
    </row>
    <row r="765" spans="8:11" ht="17.45" customHeight="1" x14ac:dyDescent="0.3">
      <c r="H765" s="101">
        <f t="shared" si="49"/>
        <v>757</v>
      </c>
      <c r="I765" s="101">
        <f t="shared" si="46"/>
        <v>3</v>
      </c>
      <c r="J765" s="106">
        <f t="shared" si="47"/>
        <v>-0.2</v>
      </c>
      <c r="K765" s="106">
        <f t="shared" si="48"/>
        <v>48.600000000000549</v>
      </c>
    </row>
    <row r="766" spans="8:11" ht="17.45" customHeight="1" x14ac:dyDescent="0.3">
      <c r="H766" s="101">
        <f t="shared" si="49"/>
        <v>758</v>
      </c>
      <c r="I766" s="101">
        <f t="shared" si="46"/>
        <v>3</v>
      </c>
      <c r="J766" s="106">
        <f t="shared" si="47"/>
        <v>-0.2</v>
      </c>
      <c r="K766" s="106">
        <f t="shared" si="48"/>
        <v>48.400000000000546</v>
      </c>
    </row>
    <row r="767" spans="8:11" ht="17.45" customHeight="1" x14ac:dyDescent="0.3">
      <c r="H767" s="101">
        <f t="shared" si="49"/>
        <v>759</v>
      </c>
      <c r="I767" s="101">
        <f t="shared" si="46"/>
        <v>3</v>
      </c>
      <c r="J767" s="106">
        <f t="shared" si="47"/>
        <v>-0.2</v>
      </c>
      <c r="K767" s="106">
        <f t="shared" si="48"/>
        <v>48.200000000000543</v>
      </c>
    </row>
    <row r="768" spans="8:11" ht="17.45" customHeight="1" x14ac:dyDescent="0.3">
      <c r="H768" s="101">
        <f t="shared" si="49"/>
        <v>760</v>
      </c>
      <c r="I768" s="101">
        <f t="shared" si="46"/>
        <v>3</v>
      </c>
      <c r="J768" s="106">
        <f t="shared" si="47"/>
        <v>-0.2</v>
      </c>
      <c r="K768" s="106">
        <f t="shared" si="48"/>
        <v>48.00000000000054</v>
      </c>
    </row>
    <row r="769" spans="8:11" ht="17.45" customHeight="1" x14ac:dyDescent="0.3">
      <c r="H769" s="101">
        <f t="shared" si="49"/>
        <v>761</v>
      </c>
      <c r="I769" s="101">
        <f t="shared" si="46"/>
        <v>3</v>
      </c>
      <c r="J769" s="106">
        <f t="shared" si="47"/>
        <v>-0.2</v>
      </c>
      <c r="K769" s="106">
        <f t="shared" si="48"/>
        <v>47.800000000000537</v>
      </c>
    </row>
    <row r="770" spans="8:11" ht="17.45" customHeight="1" x14ac:dyDescent="0.3">
      <c r="H770" s="101">
        <f t="shared" si="49"/>
        <v>762</v>
      </c>
      <c r="I770" s="101">
        <f t="shared" si="46"/>
        <v>3</v>
      </c>
      <c r="J770" s="106">
        <f t="shared" si="47"/>
        <v>-0.2</v>
      </c>
      <c r="K770" s="106">
        <f t="shared" si="48"/>
        <v>47.600000000000534</v>
      </c>
    </row>
    <row r="771" spans="8:11" ht="17.45" customHeight="1" x14ac:dyDescent="0.3">
      <c r="H771" s="101">
        <f t="shared" si="49"/>
        <v>763</v>
      </c>
      <c r="I771" s="101">
        <f t="shared" si="46"/>
        <v>3</v>
      </c>
      <c r="J771" s="106">
        <f t="shared" si="47"/>
        <v>-0.2</v>
      </c>
      <c r="K771" s="106">
        <f t="shared" si="48"/>
        <v>47.400000000000531</v>
      </c>
    </row>
    <row r="772" spans="8:11" ht="17.45" customHeight="1" x14ac:dyDescent="0.3">
      <c r="H772" s="101">
        <f t="shared" si="49"/>
        <v>764</v>
      </c>
      <c r="I772" s="101">
        <f t="shared" si="46"/>
        <v>3</v>
      </c>
      <c r="J772" s="106">
        <f t="shared" si="47"/>
        <v>-0.2</v>
      </c>
      <c r="K772" s="106">
        <f t="shared" si="48"/>
        <v>47.200000000000529</v>
      </c>
    </row>
    <row r="773" spans="8:11" ht="17.45" customHeight="1" x14ac:dyDescent="0.3">
      <c r="H773" s="101">
        <f t="shared" si="49"/>
        <v>765</v>
      </c>
      <c r="I773" s="101">
        <f t="shared" si="46"/>
        <v>3</v>
      </c>
      <c r="J773" s="106">
        <f t="shared" si="47"/>
        <v>-0.2</v>
      </c>
      <c r="K773" s="106">
        <f t="shared" si="48"/>
        <v>47.000000000000526</v>
      </c>
    </row>
    <row r="774" spans="8:11" ht="17.45" customHeight="1" x14ac:dyDescent="0.3">
      <c r="H774" s="101">
        <f t="shared" si="49"/>
        <v>766</v>
      </c>
      <c r="I774" s="101">
        <f t="shared" si="46"/>
        <v>3</v>
      </c>
      <c r="J774" s="106">
        <f t="shared" si="47"/>
        <v>-0.2</v>
      </c>
      <c r="K774" s="106">
        <f t="shared" si="48"/>
        <v>46.800000000000523</v>
      </c>
    </row>
    <row r="775" spans="8:11" ht="17.45" customHeight="1" x14ac:dyDescent="0.3">
      <c r="H775" s="101">
        <f t="shared" si="49"/>
        <v>767</v>
      </c>
      <c r="I775" s="101">
        <f t="shared" si="46"/>
        <v>3</v>
      </c>
      <c r="J775" s="106">
        <f t="shared" si="47"/>
        <v>-0.2</v>
      </c>
      <c r="K775" s="106">
        <f t="shared" si="48"/>
        <v>46.60000000000052</v>
      </c>
    </row>
    <row r="776" spans="8:11" ht="17.45" customHeight="1" x14ac:dyDescent="0.3">
      <c r="H776" s="101">
        <f t="shared" si="49"/>
        <v>768</v>
      </c>
      <c r="I776" s="101">
        <f t="shared" si="46"/>
        <v>3</v>
      </c>
      <c r="J776" s="106">
        <f t="shared" si="47"/>
        <v>-0.2</v>
      </c>
      <c r="K776" s="106">
        <f t="shared" si="48"/>
        <v>46.400000000000517</v>
      </c>
    </row>
    <row r="777" spans="8:11" ht="17.45" customHeight="1" x14ac:dyDescent="0.3">
      <c r="H777" s="101">
        <f t="shared" si="49"/>
        <v>769</v>
      </c>
      <c r="I777" s="101">
        <f t="shared" ref="I777:I840" si="50">MATCH(H777,$C$8:$C$13,1)</f>
        <v>3</v>
      </c>
      <c r="J777" s="106">
        <f t="shared" si="47"/>
        <v>-0.2</v>
      </c>
      <c r="K777" s="106">
        <f t="shared" si="48"/>
        <v>46.200000000000514</v>
      </c>
    </row>
    <row r="778" spans="8:11" ht="17.45" customHeight="1" x14ac:dyDescent="0.3">
      <c r="H778" s="101">
        <f t="shared" si="49"/>
        <v>770</v>
      </c>
      <c r="I778" s="101">
        <f t="shared" si="50"/>
        <v>3</v>
      </c>
      <c r="J778" s="106">
        <f t="shared" ref="J778:J841" si="51">INDEX($E$8:$E$13,I777)</f>
        <v>-0.2</v>
      </c>
      <c r="K778" s="106">
        <f t="shared" ref="K778:K841" si="52">K777+J778</f>
        <v>46.000000000000512</v>
      </c>
    </row>
    <row r="779" spans="8:11" ht="17.45" customHeight="1" x14ac:dyDescent="0.3">
      <c r="H779" s="101">
        <f t="shared" si="49"/>
        <v>771</v>
      </c>
      <c r="I779" s="101">
        <f t="shared" si="50"/>
        <v>3</v>
      </c>
      <c r="J779" s="106">
        <f t="shared" si="51"/>
        <v>-0.2</v>
      </c>
      <c r="K779" s="106">
        <f t="shared" si="52"/>
        <v>45.800000000000509</v>
      </c>
    </row>
    <row r="780" spans="8:11" ht="17.45" customHeight="1" x14ac:dyDescent="0.3">
      <c r="H780" s="101">
        <f t="shared" si="49"/>
        <v>772</v>
      </c>
      <c r="I780" s="101">
        <f t="shared" si="50"/>
        <v>3</v>
      </c>
      <c r="J780" s="106">
        <f t="shared" si="51"/>
        <v>-0.2</v>
      </c>
      <c r="K780" s="106">
        <f t="shared" si="52"/>
        <v>45.600000000000506</v>
      </c>
    </row>
    <row r="781" spans="8:11" ht="17.45" customHeight="1" x14ac:dyDescent="0.3">
      <c r="H781" s="101">
        <f t="shared" si="49"/>
        <v>773</v>
      </c>
      <c r="I781" s="101">
        <f t="shared" si="50"/>
        <v>3</v>
      </c>
      <c r="J781" s="106">
        <f t="shared" si="51"/>
        <v>-0.2</v>
      </c>
      <c r="K781" s="106">
        <f t="shared" si="52"/>
        <v>45.400000000000503</v>
      </c>
    </row>
    <row r="782" spans="8:11" ht="17.45" customHeight="1" x14ac:dyDescent="0.3">
      <c r="H782" s="101">
        <f t="shared" si="49"/>
        <v>774</v>
      </c>
      <c r="I782" s="101">
        <f t="shared" si="50"/>
        <v>3</v>
      </c>
      <c r="J782" s="106">
        <f t="shared" si="51"/>
        <v>-0.2</v>
      </c>
      <c r="K782" s="106">
        <f t="shared" si="52"/>
        <v>45.2000000000005</v>
      </c>
    </row>
    <row r="783" spans="8:11" ht="17.45" customHeight="1" x14ac:dyDescent="0.3">
      <c r="H783" s="101">
        <f t="shared" si="49"/>
        <v>775</v>
      </c>
      <c r="I783" s="101">
        <f t="shared" si="50"/>
        <v>3</v>
      </c>
      <c r="J783" s="106">
        <f t="shared" si="51"/>
        <v>-0.2</v>
      </c>
      <c r="K783" s="106">
        <f t="shared" si="52"/>
        <v>45.000000000000497</v>
      </c>
    </row>
    <row r="784" spans="8:11" ht="17.45" customHeight="1" x14ac:dyDescent="0.3">
      <c r="H784" s="101">
        <f t="shared" si="49"/>
        <v>776</v>
      </c>
      <c r="I784" s="101">
        <f t="shared" si="50"/>
        <v>3</v>
      </c>
      <c r="J784" s="106">
        <f t="shared" si="51"/>
        <v>-0.2</v>
      </c>
      <c r="K784" s="106">
        <f t="shared" si="52"/>
        <v>44.800000000000495</v>
      </c>
    </row>
    <row r="785" spans="8:11" ht="17.45" customHeight="1" x14ac:dyDescent="0.3">
      <c r="H785" s="101">
        <f t="shared" si="49"/>
        <v>777</v>
      </c>
      <c r="I785" s="101">
        <f t="shared" si="50"/>
        <v>3</v>
      </c>
      <c r="J785" s="106">
        <f t="shared" si="51"/>
        <v>-0.2</v>
      </c>
      <c r="K785" s="106">
        <f t="shared" si="52"/>
        <v>44.600000000000492</v>
      </c>
    </row>
    <row r="786" spans="8:11" ht="17.45" customHeight="1" x14ac:dyDescent="0.3">
      <c r="H786" s="101">
        <f t="shared" si="49"/>
        <v>778</v>
      </c>
      <c r="I786" s="101">
        <f t="shared" si="50"/>
        <v>3</v>
      </c>
      <c r="J786" s="106">
        <f t="shared" si="51"/>
        <v>-0.2</v>
      </c>
      <c r="K786" s="106">
        <f t="shared" si="52"/>
        <v>44.400000000000489</v>
      </c>
    </row>
    <row r="787" spans="8:11" ht="17.45" customHeight="1" x14ac:dyDescent="0.3">
      <c r="H787" s="101">
        <f t="shared" si="49"/>
        <v>779</v>
      </c>
      <c r="I787" s="101">
        <f t="shared" si="50"/>
        <v>3</v>
      </c>
      <c r="J787" s="106">
        <f t="shared" si="51"/>
        <v>-0.2</v>
      </c>
      <c r="K787" s="106">
        <f t="shared" si="52"/>
        <v>44.200000000000486</v>
      </c>
    </row>
    <row r="788" spans="8:11" ht="17.45" customHeight="1" x14ac:dyDescent="0.3">
      <c r="H788" s="101">
        <f t="shared" si="49"/>
        <v>780</v>
      </c>
      <c r="I788" s="101">
        <f t="shared" si="50"/>
        <v>3</v>
      </c>
      <c r="J788" s="106">
        <f t="shared" si="51"/>
        <v>-0.2</v>
      </c>
      <c r="K788" s="106">
        <f t="shared" si="52"/>
        <v>44.000000000000483</v>
      </c>
    </row>
    <row r="789" spans="8:11" ht="17.45" customHeight="1" x14ac:dyDescent="0.3">
      <c r="H789" s="101">
        <f t="shared" si="49"/>
        <v>781</v>
      </c>
      <c r="I789" s="101">
        <f t="shared" si="50"/>
        <v>3</v>
      </c>
      <c r="J789" s="106">
        <f t="shared" si="51"/>
        <v>-0.2</v>
      </c>
      <c r="K789" s="106">
        <f t="shared" si="52"/>
        <v>43.80000000000048</v>
      </c>
    </row>
    <row r="790" spans="8:11" ht="17.45" customHeight="1" x14ac:dyDescent="0.3">
      <c r="H790" s="101">
        <f t="shared" si="49"/>
        <v>782</v>
      </c>
      <c r="I790" s="101">
        <f t="shared" si="50"/>
        <v>3</v>
      </c>
      <c r="J790" s="106">
        <f t="shared" si="51"/>
        <v>-0.2</v>
      </c>
      <c r="K790" s="106">
        <f t="shared" si="52"/>
        <v>43.600000000000477</v>
      </c>
    </row>
    <row r="791" spans="8:11" ht="17.45" customHeight="1" x14ac:dyDescent="0.3">
      <c r="H791" s="101">
        <f t="shared" ref="H791:H854" si="53">H790+1</f>
        <v>783</v>
      </c>
      <c r="I791" s="101">
        <f t="shared" si="50"/>
        <v>3</v>
      </c>
      <c r="J791" s="106">
        <f t="shared" si="51"/>
        <v>-0.2</v>
      </c>
      <c r="K791" s="106">
        <f t="shared" si="52"/>
        <v>43.400000000000475</v>
      </c>
    </row>
    <row r="792" spans="8:11" ht="17.45" customHeight="1" x14ac:dyDescent="0.3">
      <c r="H792" s="101">
        <f t="shared" si="53"/>
        <v>784</v>
      </c>
      <c r="I792" s="101">
        <f t="shared" si="50"/>
        <v>3</v>
      </c>
      <c r="J792" s="106">
        <f t="shared" si="51"/>
        <v>-0.2</v>
      </c>
      <c r="K792" s="106">
        <f t="shared" si="52"/>
        <v>43.200000000000472</v>
      </c>
    </row>
    <row r="793" spans="8:11" ht="17.45" customHeight="1" x14ac:dyDescent="0.3">
      <c r="H793" s="101">
        <f t="shared" si="53"/>
        <v>785</v>
      </c>
      <c r="I793" s="101">
        <f t="shared" si="50"/>
        <v>3</v>
      </c>
      <c r="J793" s="106">
        <f t="shared" si="51"/>
        <v>-0.2</v>
      </c>
      <c r="K793" s="106">
        <f t="shared" si="52"/>
        <v>43.000000000000469</v>
      </c>
    </row>
    <row r="794" spans="8:11" ht="17.45" customHeight="1" x14ac:dyDescent="0.3">
      <c r="H794" s="101">
        <f t="shared" si="53"/>
        <v>786</v>
      </c>
      <c r="I794" s="101">
        <f t="shared" si="50"/>
        <v>3</v>
      </c>
      <c r="J794" s="106">
        <f t="shared" si="51"/>
        <v>-0.2</v>
      </c>
      <c r="K794" s="106">
        <f t="shared" si="52"/>
        <v>42.800000000000466</v>
      </c>
    </row>
    <row r="795" spans="8:11" ht="17.45" customHeight="1" x14ac:dyDescent="0.3">
      <c r="H795" s="101">
        <f t="shared" si="53"/>
        <v>787</v>
      </c>
      <c r="I795" s="101">
        <f t="shared" si="50"/>
        <v>3</v>
      </c>
      <c r="J795" s="106">
        <f t="shared" si="51"/>
        <v>-0.2</v>
      </c>
      <c r="K795" s="106">
        <f t="shared" si="52"/>
        <v>42.600000000000463</v>
      </c>
    </row>
    <row r="796" spans="8:11" ht="17.45" customHeight="1" x14ac:dyDescent="0.3">
      <c r="H796" s="101">
        <f t="shared" si="53"/>
        <v>788</v>
      </c>
      <c r="I796" s="101">
        <f t="shared" si="50"/>
        <v>3</v>
      </c>
      <c r="J796" s="106">
        <f t="shared" si="51"/>
        <v>-0.2</v>
      </c>
      <c r="K796" s="106">
        <f t="shared" si="52"/>
        <v>42.40000000000046</v>
      </c>
    </row>
    <row r="797" spans="8:11" ht="17.45" customHeight="1" x14ac:dyDescent="0.3">
      <c r="H797" s="101">
        <f t="shared" si="53"/>
        <v>789</v>
      </c>
      <c r="I797" s="101">
        <f t="shared" si="50"/>
        <v>3</v>
      </c>
      <c r="J797" s="106">
        <f t="shared" si="51"/>
        <v>-0.2</v>
      </c>
      <c r="K797" s="106">
        <f t="shared" si="52"/>
        <v>42.200000000000458</v>
      </c>
    </row>
    <row r="798" spans="8:11" ht="17.45" customHeight="1" x14ac:dyDescent="0.3">
      <c r="H798" s="101">
        <f t="shared" si="53"/>
        <v>790</v>
      </c>
      <c r="I798" s="101">
        <f t="shared" si="50"/>
        <v>3</v>
      </c>
      <c r="J798" s="106">
        <f t="shared" si="51"/>
        <v>-0.2</v>
      </c>
      <c r="K798" s="106">
        <f t="shared" si="52"/>
        <v>42.000000000000455</v>
      </c>
    </row>
    <row r="799" spans="8:11" ht="17.45" customHeight="1" x14ac:dyDescent="0.3">
      <c r="H799" s="101">
        <f t="shared" si="53"/>
        <v>791</v>
      </c>
      <c r="I799" s="101">
        <f t="shared" si="50"/>
        <v>3</v>
      </c>
      <c r="J799" s="106">
        <f t="shared" si="51"/>
        <v>-0.2</v>
      </c>
      <c r="K799" s="106">
        <f t="shared" si="52"/>
        <v>41.800000000000452</v>
      </c>
    </row>
    <row r="800" spans="8:11" ht="17.45" customHeight="1" x14ac:dyDescent="0.3">
      <c r="H800" s="101">
        <f t="shared" si="53"/>
        <v>792</v>
      </c>
      <c r="I800" s="101">
        <f t="shared" si="50"/>
        <v>3</v>
      </c>
      <c r="J800" s="106">
        <f t="shared" si="51"/>
        <v>-0.2</v>
      </c>
      <c r="K800" s="106">
        <f t="shared" si="52"/>
        <v>41.600000000000449</v>
      </c>
    </row>
    <row r="801" spans="8:11" ht="17.45" customHeight="1" x14ac:dyDescent="0.3">
      <c r="H801" s="101">
        <f t="shared" si="53"/>
        <v>793</v>
      </c>
      <c r="I801" s="101">
        <f t="shared" si="50"/>
        <v>3</v>
      </c>
      <c r="J801" s="106">
        <f t="shared" si="51"/>
        <v>-0.2</v>
      </c>
      <c r="K801" s="106">
        <f t="shared" si="52"/>
        <v>41.400000000000446</v>
      </c>
    </row>
    <row r="802" spans="8:11" ht="17.45" customHeight="1" x14ac:dyDescent="0.3">
      <c r="H802" s="101">
        <f t="shared" si="53"/>
        <v>794</v>
      </c>
      <c r="I802" s="101">
        <f t="shared" si="50"/>
        <v>3</v>
      </c>
      <c r="J802" s="106">
        <f t="shared" si="51"/>
        <v>-0.2</v>
      </c>
      <c r="K802" s="106">
        <f t="shared" si="52"/>
        <v>41.200000000000443</v>
      </c>
    </row>
    <row r="803" spans="8:11" ht="17.45" customHeight="1" x14ac:dyDescent="0.3">
      <c r="H803" s="101">
        <f t="shared" si="53"/>
        <v>795</v>
      </c>
      <c r="I803" s="101">
        <f t="shared" si="50"/>
        <v>3</v>
      </c>
      <c r="J803" s="106">
        <f t="shared" si="51"/>
        <v>-0.2</v>
      </c>
      <c r="K803" s="106">
        <f t="shared" si="52"/>
        <v>41.000000000000441</v>
      </c>
    </row>
    <row r="804" spans="8:11" ht="17.45" customHeight="1" x14ac:dyDescent="0.3">
      <c r="H804" s="101">
        <f t="shared" si="53"/>
        <v>796</v>
      </c>
      <c r="I804" s="101">
        <f t="shared" si="50"/>
        <v>3</v>
      </c>
      <c r="J804" s="106">
        <f t="shared" si="51"/>
        <v>-0.2</v>
      </c>
      <c r="K804" s="106">
        <f t="shared" si="52"/>
        <v>40.800000000000438</v>
      </c>
    </row>
    <row r="805" spans="8:11" ht="17.45" customHeight="1" x14ac:dyDescent="0.3">
      <c r="H805" s="101">
        <f t="shared" si="53"/>
        <v>797</v>
      </c>
      <c r="I805" s="101">
        <f t="shared" si="50"/>
        <v>3</v>
      </c>
      <c r="J805" s="106">
        <f t="shared" si="51"/>
        <v>-0.2</v>
      </c>
      <c r="K805" s="106">
        <f t="shared" si="52"/>
        <v>40.600000000000435</v>
      </c>
    </row>
    <row r="806" spans="8:11" ht="17.45" customHeight="1" x14ac:dyDescent="0.3">
      <c r="H806" s="101">
        <f t="shared" si="53"/>
        <v>798</v>
      </c>
      <c r="I806" s="101">
        <f t="shared" si="50"/>
        <v>3</v>
      </c>
      <c r="J806" s="106">
        <f t="shared" si="51"/>
        <v>-0.2</v>
      </c>
      <c r="K806" s="106">
        <f t="shared" si="52"/>
        <v>40.400000000000432</v>
      </c>
    </row>
    <row r="807" spans="8:11" ht="17.45" customHeight="1" x14ac:dyDescent="0.3">
      <c r="H807" s="101">
        <f t="shared" si="53"/>
        <v>799</v>
      </c>
      <c r="I807" s="101">
        <f t="shared" si="50"/>
        <v>3</v>
      </c>
      <c r="J807" s="106">
        <f t="shared" si="51"/>
        <v>-0.2</v>
      </c>
      <c r="K807" s="106">
        <f t="shared" si="52"/>
        <v>40.200000000000429</v>
      </c>
    </row>
    <row r="808" spans="8:11" ht="17.45" customHeight="1" x14ac:dyDescent="0.3">
      <c r="H808" s="101">
        <f t="shared" si="53"/>
        <v>800</v>
      </c>
      <c r="I808" s="101">
        <f t="shared" si="50"/>
        <v>3</v>
      </c>
      <c r="J808" s="106">
        <f t="shared" si="51"/>
        <v>-0.2</v>
      </c>
      <c r="K808" s="106">
        <f t="shared" si="52"/>
        <v>40.000000000000426</v>
      </c>
    </row>
    <row r="809" spans="8:11" ht="17.45" customHeight="1" x14ac:dyDescent="0.3">
      <c r="H809" s="101">
        <f t="shared" si="53"/>
        <v>801</v>
      </c>
      <c r="I809" s="101">
        <f t="shared" si="50"/>
        <v>3</v>
      </c>
      <c r="J809" s="106">
        <f t="shared" si="51"/>
        <v>-0.2</v>
      </c>
      <c r="K809" s="106">
        <f t="shared" si="52"/>
        <v>39.800000000000423</v>
      </c>
    </row>
    <row r="810" spans="8:11" ht="17.45" customHeight="1" x14ac:dyDescent="0.3">
      <c r="H810" s="101">
        <f t="shared" si="53"/>
        <v>802</v>
      </c>
      <c r="I810" s="101">
        <f t="shared" si="50"/>
        <v>3</v>
      </c>
      <c r="J810" s="106">
        <f t="shared" si="51"/>
        <v>-0.2</v>
      </c>
      <c r="K810" s="106">
        <f t="shared" si="52"/>
        <v>39.600000000000421</v>
      </c>
    </row>
    <row r="811" spans="8:11" ht="17.45" customHeight="1" x14ac:dyDescent="0.3">
      <c r="H811" s="101">
        <f t="shared" si="53"/>
        <v>803</v>
      </c>
      <c r="I811" s="101">
        <f t="shared" si="50"/>
        <v>3</v>
      </c>
      <c r="J811" s="106">
        <f t="shared" si="51"/>
        <v>-0.2</v>
      </c>
      <c r="K811" s="106">
        <f t="shared" si="52"/>
        <v>39.400000000000418</v>
      </c>
    </row>
    <row r="812" spans="8:11" ht="17.45" customHeight="1" x14ac:dyDescent="0.3">
      <c r="H812" s="101">
        <f t="shared" si="53"/>
        <v>804</v>
      </c>
      <c r="I812" s="101">
        <f t="shared" si="50"/>
        <v>3</v>
      </c>
      <c r="J812" s="106">
        <f t="shared" si="51"/>
        <v>-0.2</v>
      </c>
      <c r="K812" s="106">
        <f t="shared" si="52"/>
        <v>39.200000000000415</v>
      </c>
    </row>
    <row r="813" spans="8:11" ht="17.45" customHeight="1" x14ac:dyDescent="0.3">
      <c r="H813" s="101">
        <f t="shared" si="53"/>
        <v>805</v>
      </c>
      <c r="I813" s="101">
        <f t="shared" si="50"/>
        <v>3</v>
      </c>
      <c r="J813" s="106">
        <f t="shared" si="51"/>
        <v>-0.2</v>
      </c>
      <c r="K813" s="106">
        <f t="shared" si="52"/>
        <v>39.000000000000412</v>
      </c>
    </row>
    <row r="814" spans="8:11" ht="17.45" customHeight="1" x14ac:dyDescent="0.3">
      <c r="H814" s="101">
        <f t="shared" si="53"/>
        <v>806</v>
      </c>
      <c r="I814" s="101">
        <f t="shared" si="50"/>
        <v>3</v>
      </c>
      <c r="J814" s="106">
        <f t="shared" si="51"/>
        <v>-0.2</v>
      </c>
      <c r="K814" s="106">
        <f t="shared" si="52"/>
        <v>38.800000000000409</v>
      </c>
    </row>
    <row r="815" spans="8:11" ht="17.45" customHeight="1" x14ac:dyDescent="0.3">
      <c r="H815" s="101">
        <f t="shared" si="53"/>
        <v>807</v>
      </c>
      <c r="I815" s="101">
        <f t="shared" si="50"/>
        <v>3</v>
      </c>
      <c r="J815" s="106">
        <f t="shared" si="51"/>
        <v>-0.2</v>
      </c>
      <c r="K815" s="106">
        <f t="shared" si="52"/>
        <v>38.600000000000406</v>
      </c>
    </row>
    <row r="816" spans="8:11" ht="17.45" customHeight="1" x14ac:dyDescent="0.3">
      <c r="H816" s="101">
        <f t="shared" si="53"/>
        <v>808</v>
      </c>
      <c r="I816" s="101">
        <f t="shared" si="50"/>
        <v>3</v>
      </c>
      <c r="J816" s="106">
        <f t="shared" si="51"/>
        <v>-0.2</v>
      </c>
      <c r="K816" s="106">
        <f t="shared" si="52"/>
        <v>38.400000000000404</v>
      </c>
    </row>
    <row r="817" spans="8:11" ht="17.45" customHeight="1" x14ac:dyDescent="0.3">
      <c r="H817" s="101">
        <f t="shared" si="53"/>
        <v>809</v>
      </c>
      <c r="I817" s="101">
        <f t="shared" si="50"/>
        <v>3</v>
      </c>
      <c r="J817" s="106">
        <f t="shared" si="51"/>
        <v>-0.2</v>
      </c>
      <c r="K817" s="106">
        <f t="shared" si="52"/>
        <v>38.200000000000401</v>
      </c>
    </row>
    <row r="818" spans="8:11" ht="17.45" customHeight="1" x14ac:dyDescent="0.3">
      <c r="H818" s="101">
        <f t="shared" si="53"/>
        <v>810</v>
      </c>
      <c r="I818" s="101">
        <f t="shared" si="50"/>
        <v>3</v>
      </c>
      <c r="J818" s="106">
        <f t="shared" si="51"/>
        <v>-0.2</v>
      </c>
      <c r="K818" s="106">
        <f t="shared" si="52"/>
        <v>38.000000000000398</v>
      </c>
    </row>
    <row r="819" spans="8:11" ht="17.45" customHeight="1" x14ac:dyDescent="0.3">
      <c r="H819" s="101">
        <f t="shared" si="53"/>
        <v>811</v>
      </c>
      <c r="I819" s="101">
        <f t="shared" si="50"/>
        <v>3</v>
      </c>
      <c r="J819" s="106">
        <f t="shared" si="51"/>
        <v>-0.2</v>
      </c>
      <c r="K819" s="106">
        <f t="shared" si="52"/>
        <v>37.800000000000395</v>
      </c>
    </row>
    <row r="820" spans="8:11" ht="17.45" customHeight="1" x14ac:dyDescent="0.3">
      <c r="H820" s="101">
        <f t="shared" si="53"/>
        <v>812</v>
      </c>
      <c r="I820" s="101">
        <f t="shared" si="50"/>
        <v>3</v>
      </c>
      <c r="J820" s="106">
        <f t="shared" si="51"/>
        <v>-0.2</v>
      </c>
      <c r="K820" s="106">
        <f t="shared" si="52"/>
        <v>37.600000000000392</v>
      </c>
    </row>
    <row r="821" spans="8:11" ht="17.45" customHeight="1" x14ac:dyDescent="0.3">
      <c r="H821" s="101">
        <f t="shared" si="53"/>
        <v>813</v>
      </c>
      <c r="I821" s="101">
        <f t="shared" si="50"/>
        <v>3</v>
      </c>
      <c r="J821" s="106">
        <f t="shared" si="51"/>
        <v>-0.2</v>
      </c>
      <c r="K821" s="106">
        <f t="shared" si="52"/>
        <v>37.400000000000389</v>
      </c>
    </row>
    <row r="822" spans="8:11" ht="17.45" customHeight="1" x14ac:dyDescent="0.3">
      <c r="H822" s="101">
        <f t="shared" si="53"/>
        <v>814</v>
      </c>
      <c r="I822" s="101">
        <f t="shared" si="50"/>
        <v>3</v>
      </c>
      <c r="J822" s="106">
        <f t="shared" si="51"/>
        <v>-0.2</v>
      </c>
      <c r="K822" s="106">
        <f t="shared" si="52"/>
        <v>37.200000000000387</v>
      </c>
    </row>
    <row r="823" spans="8:11" ht="17.45" customHeight="1" x14ac:dyDescent="0.3">
      <c r="H823" s="101">
        <f t="shared" si="53"/>
        <v>815</v>
      </c>
      <c r="I823" s="101">
        <f t="shared" si="50"/>
        <v>3</v>
      </c>
      <c r="J823" s="106">
        <f t="shared" si="51"/>
        <v>-0.2</v>
      </c>
      <c r="K823" s="106">
        <f t="shared" si="52"/>
        <v>37.000000000000384</v>
      </c>
    </row>
    <row r="824" spans="8:11" ht="17.45" customHeight="1" x14ac:dyDescent="0.3">
      <c r="H824" s="101">
        <f t="shared" si="53"/>
        <v>816</v>
      </c>
      <c r="I824" s="101">
        <f t="shared" si="50"/>
        <v>3</v>
      </c>
      <c r="J824" s="106">
        <f t="shared" si="51"/>
        <v>-0.2</v>
      </c>
      <c r="K824" s="106">
        <f t="shared" si="52"/>
        <v>36.800000000000381</v>
      </c>
    </row>
    <row r="825" spans="8:11" ht="17.45" customHeight="1" x14ac:dyDescent="0.3">
      <c r="H825" s="101">
        <f t="shared" si="53"/>
        <v>817</v>
      </c>
      <c r="I825" s="101">
        <f t="shared" si="50"/>
        <v>3</v>
      </c>
      <c r="J825" s="106">
        <f t="shared" si="51"/>
        <v>-0.2</v>
      </c>
      <c r="K825" s="106">
        <f t="shared" si="52"/>
        <v>36.600000000000378</v>
      </c>
    </row>
    <row r="826" spans="8:11" ht="17.45" customHeight="1" x14ac:dyDescent="0.3">
      <c r="H826" s="101">
        <f t="shared" si="53"/>
        <v>818</v>
      </c>
      <c r="I826" s="101">
        <f t="shared" si="50"/>
        <v>3</v>
      </c>
      <c r="J826" s="106">
        <f t="shared" si="51"/>
        <v>-0.2</v>
      </c>
      <c r="K826" s="106">
        <f t="shared" si="52"/>
        <v>36.400000000000375</v>
      </c>
    </row>
    <row r="827" spans="8:11" ht="17.45" customHeight="1" x14ac:dyDescent="0.3">
      <c r="H827" s="101">
        <f t="shared" si="53"/>
        <v>819</v>
      </c>
      <c r="I827" s="101">
        <f t="shared" si="50"/>
        <v>3</v>
      </c>
      <c r="J827" s="106">
        <f t="shared" si="51"/>
        <v>-0.2</v>
      </c>
      <c r="K827" s="106">
        <f t="shared" si="52"/>
        <v>36.200000000000372</v>
      </c>
    </row>
    <row r="828" spans="8:11" ht="17.45" customHeight="1" x14ac:dyDescent="0.3">
      <c r="H828" s="101">
        <f t="shared" si="53"/>
        <v>820</v>
      </c>
      <c r="I828" s="101">
        <f t="shared" si="50"/>
        <v>3</v>
      </c>
      <c r="J828" s="106">
        <f t="shared" si="51"/>
        <v>-0.2</v>
      </c>
      <c r="K828" s="106">
        <f t="shared" si="52"/>
        <v>36.000000000000369</v>
      </c>
    </row>
    <row r="829" spans="8:11" ht="17.45" customHeight="1" x14ac:dyDescent="0.3">
      <c r="H829" s="101">
        <f t="shared" si="53"/>
        <v>821</v>
      </c>
      <c r="I829" s="101">
        <f t="shared" si="50"/>
        <v>3</v>
      </c>
      <c r="J829" s="106">
        <f t="shared" si="51"/>
        <v>-0.2</v>
      </c>
      <c r="K829" s="106">
        <f t="shared" si="52"/>
        <v>35.800000000000367</v>
      </c>
    </row>
    <row r="830" spans="8:11" ht="17.45" customHeight="1" x14ac:dyDescent="0.3">
      <c r="H830" s="101">
        <f t="shared" si="53"/>
        <v>822</v>
      </c>
      <c r="I830" s="101">
        <f t="shared" si="50"/>
        <v>3</v>
      </c>
      <c r="J830" s="106">
        <f t="shared" si="51"/>
        <v>-0.2</v>
      </c>
      <c r="K830" s="106">
        <f t="shared" si="52"/>
        <v>35.600000000000364</v>
      </c>
    </row>
    <row r="831" spans="8:11" ht="17.45" customHeight="1" x14ac:dyDescent="0.3">
      <c r="H831" s="101">
        <f t="shared" si="53"/>
        <v>823</v>
      </c>
      <c r="I831" s="101">
        <f t="shared" si="50"/>
        <v>3</v>
      </c>
      <c r="J831" s="106">
        <f t="shared" si="51"/>
        <v>-0.2</v>
      </c>
      <c r="K831" s="106">
        <f t="shared" si="52"/>
        <v>35.400000000000361</v>
      </c>
    </row>
    <row r="832" spans="8:11" ht="17.45" customHeight="1" x14ac:dyDescent="0.3">
      <c r="H832" s="101">
        <f t="shared" si="53"/>
        <v>824</v>
      </c>
      <c r="I832" s="101">
        <f t="shared" si="50"/>
        <v>3</v>
      </c>
      <c r="J832" s="106">
        <f t="shared" si="51"/>
        <v>-0.2</v>
      </c>
      <c r="K832" s="106">
        <f t="shared" si="52"/>
        <v>35.200000000000358</v>
      </c>
    </row>
    <row r="833" spans="8:11" ht="17.45" customHeight="1" x14ac:dyDescent="0.3">
      <c r="H833" s="101">
        <f t="shared" si="53"/>
        <v>825</v>
      </c>
      <c r="I833" s="101">
        <f t="shared" si="50"/>
        <v>3</v>
      </c>
      <c r="J833" s="106">
        <f t="shared" si="51"/>
        <v>-0.2</v>
      </c>
      <c r="K833" s="106">
        <f t="shared" si="52"/>
        <v>35.000000000000355</v>
      </c>
    </row>
    <row r="834" spans="8:11" ht="17.45" customHeight="1" x14ac:dyDescent="0.3">
      <c r="H834" s="101">
        <f t="shared" si="53"/>
        <v>826</v>
      </c>
      <c r="I834" s="101">
        <f t="shared" si="50"/>
        <v>3</v>
      </c>
      <c r="J834" s="106">
        <f t="shared" si="51"/>
        <v>-0.2</v>
      </c>
      <c r="K834" s="106">
        <f t="shared" si="52"/>
        <v>34.800000000000352</v>
      </c>
    </row>
    <row r="835" spans="8:11" ht="17.45" customHeight="1" x14ac:dyDescent="0.3">
      <c r="H835" s="101">
        <f t="shared" si="53"/>
        <v>827</v>
      </c>
      <c r="I835" s="101">
        <f t="shared" si="50"/>
        <v>3</v>
      </c>
      <c r="J835" s="106">
        <f t="shared" si="51"/>
        <v>-0.2</v>
      </c>
      <c r="K835" s="106">
        <f t="shared" si="52"/>
        <v>34.60000000000035</v>
      </c>
    </row>
    <row r="836" spans="8:11" ht="17.45" customHeight="1" x14ac:dyDescent="0.3">
      <c r="H836" s="101">
        <f t="shared" si="53"/>
        <v>828</v>
      </c>
      <c r="I836" s="101">
        <f t="shared" si="50"/>
        <v>3</v>
      </c>
      <c r="J836" s="106">
        <f t="shared" si="51"/>
        <v>-0.2</v>
      </c>
      <c r="K836" s="106">
        <f t="shared" si="52"/>
        <v>34.400000000000347</v>
      </c>
    </row>
    <row r="837" spans="8:11" ht="17.45" customHeight="1" x14ac:dyDescent="0.3">
      <c r="H837" s="101">
        <f t="shared" si="53"/>
        <v>829</v>
      </c>
      <c r="I837" s="101">
        <f t="shared" si="50"/>
        <v>3</v>
      </c>
      <c r="J837" s="106">
        <f t="shared" si="51"/>
        <v>-0.2</v>
      </c>
      <c r="K837" s="106">
        <f t="shared" si="52"/>
        <v>34.200000000000344</v>
      </c>
    </row>
    <row r="838" spans="8:11" ht="17.45" customHeight="1" x14ac:dyDescent="0.3">
      <c r="H838" s="101">
        <f t="shared" si="53"/>
        <v>830</v>
      </c>
      <c r="I838" s="101">
        <f t="shared" si="50"/>
        <v>3</v>
      </c>
      <c r="J838" s="106">
        <f t="shared" si="51"/>
        <v>-0.2</v>
      </c>
      <c r="K838" s="106">
        <f t="shared" si="52"/>
        <v>34.000000000000341</v>
      </c>
    </row>
    <row r="839" spans="8:11" ht="17.45" customHeight="1" x14ac:dyDescent="0.3">
      <c r="H839" s="101">
        <f t="shared" si="53"/>
        <v>831</v>
      </c>
      <c r="I839" s="101">
        <f t="shared" si="50"/>
        <v>3</v>
      </c>
      <c r="J839" s="106">
        <f t="shared" si="51"/>
        <v>-0.2</v>
      </c>
      <c r="K839" s="106">
        <f t="shared" si="52"/>
        <v>33.800000000000338</v>
      </c>
    </row>
    <row r="840" spans="8:11" ht="17.45" customHeight="1" x14ac:dyDescent="0.3">
      <c r="H840" s="101">
        <f t="shared" si="53"/>
        <v>832</v>
      </c>
      <c r="I840" s="101">
        <f t="shared" si="50"/>
        <v>3</v>
      </c>
      <c r="J840" s="106">
        <f t="shared" si="51"/>
        <v>-0.2</v>
      </c>
      <c r="K840" s="106">
        <f t="shared" si="52"/>
        <v>33.600000000000335</v>
      </c>
    </row>
    <row r="841" spans="8:11" ht="17.45" customHeight="1" x14ac:dyDescent="0.3">
      <c r="H841" s="101">
        <f t="shared" si="53"/>
        <v>833</v>
      </c>
      <c r="I841" s="101">
        <f t="shared" ref="I841:I904" si="54">MATCH(H841,$C$8:$C$13,1)</f>
        <v>3</v>
      </c>
      <c r="J841" s="106">
        <f t="shared" si="51"/>
        <v>-0.2</v>
      </c>
      <c r="K841" s="106">
        <f t="shared" si="52"/>
        <v>33.400000000000333</v>
      </c>
    </row>
    <row r="842" spans="8:11" ht="17.45" customHeight="1" x14ac:dyDescent="0.3">
      <c r="H842" s="101">
        <f t="shared" si="53"/>
        <v>834</v>
      </c>
      <c r="I842" s="101">
        <f t="shared" si="54"/>
        <v>3</v>
      </c>
      <c r="J842" s="106">
        <f t="shared" ref="J842:J905" si="55">INDEX($E$8:$E$13,I841)</f>
        <v>-0.2</v>
      </c>
      <c r="K842" s="106">
        <f t="shared" ref="K842:K905" si="56">K841+J842</f>
        <v>33.20000000000033</v>
      </c>
    </row>
    <row r="843" spans="8:11" ht="17.45" customHeight="1" x14ac:dyDescent="0.3">
      <c r="H843" s="101">
        <f t="shared" si="53"/>
        <v>835</v>
      </c>
      <c r="I843" s="101">
        <f t="shared" si="54"/>
        <v>3</v>
      </c>
      <c r="J843" s="106">
        <f t="shared" si="55"/>
        <v>-0.2</v>
      </c>
      <c r="K843" s="106">
        <f t="shared" si="56"/>
        <v>33.000000000000327</v>
      </c>
    </row>
    <row r="844" spans="8:11" ht="17.45" customHeight="1" x14ac:dyDescent="0.3">
      <c r="H844" s="101">
        <f t="shared" si="53"/>
        <v>836</v>
      </c>
      <c r="I844" s="101">
        <f t="shared" si="54"/>
        <v>3</v>
      </c>
      <c r="J844" s="106">
        <f t="shared" si="55"/>
        <v>-0.2</v>
      </c>
      <c r="K844" s="106">
        <f t="shared" si="56"/>
        <v>32.800000000000324</v>
      </c>
    </row>
    <row r="845" spans="8:11" ht="17.45" customHeight="1" x14ac:dyDescent="0.3">
      <c r="H845" s="101">
        <f t="shared" si="53"/>
        <v>837</v>
      </c>
      <c r="I845" s="101">
        <f t="shared" si="54"/>
        <v>3</v>
      </c>
      <c r="J845" s="106">
        <f t="shared" si="55"/>
        <v>-0.2</v>
      </c>
      <c r="K845" s="106">
        <f t="shared" si="56"/>
        <v>32.600000000000321</v>
      </c>
    </row>
    <row r="846" spans="8:11" ht="17.45" customHeight="1" x14ac:dyDescent="0.3">
      <c r="H846" s="101">
        <f t="shared" si="53"/>
        <v>838</v>
      </c>
      <c r="I846" s="101">
        <f t="shared" si="54"/>
        <v>3</v>
      </c>
      <c r="J846" s="106">
        <f t="shared" si="55"/>
        <v>-0.2</v>
      </c>
      <c r="K846" s="106">
        <f t="shared" si="56"/>
        <v>32.400000000000318</v>
      </c>
    </row>
    <row r="847" spans="8:11" ht="17.45" customHeight="1" x14ac:dyDescent="0.3">
      <c r="H847" s="101">
        <f t="shared" si="53"/>
        <v>839</v>
      </c>
      <c r="I847" s="101">
        <f t="shared" si="54"/>
        <v>3</v>
      </c>
      <c r="J847" s="106">
        <f t="shared" si="55"/>
        <v>-0.2</v>
      </c>
      <c r="K847" s="106">
        <f t="shared" si="56"/>
        <v>32.200000000000315</v>
      </c>
    </row>
    <row r="848" spans="8:11" ht="17.45" customHeight="1" x14ac:dyDescent="0.3">
      <c r="H848" s="101">
        <f t="shared" si="53"/>
        <v>840</v>
      </c>
      <c r="I848" s="101">
        <f t="shared" si="54"/>
        <v>3</v>
      </c>
      <c r="J848" s="106">
        <f t="shared" si="55"/>
        <v>-0.2</v>
      </c>
      <c r="K848" s="106">
        <f t="shared" si="56"/>
        <v>32.000000000000313</v>
      </c>
    </row>
    <row r="849" spans="8:11" ht="17.45" customHeight="1" x14ac:dyDescent="0.3">
      <c r="H849" s="101">
        <f t="shared" si="53"/>
        <v>841</v>
      </c>
      <c r="I849" s="101">
        <f t="shared" si="54"/>
        <v>3</v>
      </c>
      <c r="J849" s="106">
        <f t="shared" si="55"/>
        <v>-0.2</v>
      </c>
      <c r="K849" s="106">
        <f t="shared" si="56"/>
        <v>31.800000000000313</v>
      </c>
    </row>
    <row r="850" spans="8:11" ht="17.45" customHeight="1" x14ac:dyDescent="0.3">
      <c r="H850" s="101">
        <f t="shared" si="53"/>
        <v>842</v>
      </c>
      <c r="I850" s="101">
        <f t="shared" si="54"/>
        <v>3</v>
      </c>
      <c r="J850" s="106">
        <f t="shared" si="55"/>
        <v>-0.2</v>
      </c>
      <c r="K850" s="106">
        <f t="shared" si="56"/>
        <v>31.600000000000314</v>
      </c>
    </row>
    <row r="851" spans="8:11" ht="17.45" customHeight="1" x14ac:dyDescent="0.3">
      <c r="H851" s="101">
        <f t="shared" si="53"/>
        <v>843</v>
      </c>
      <c r="I851" s="101">
        <f t="shared" si="54"/>
        <v>3</v>
      </c>
      <c r="J851" s="106">
        <f t="shared" si="55"/>
        <v>-0.2</v>
      </c>
      <c r="K851" s="106">
        <f t="shared" si="56"/>
        <v>31.400000000000315</v>
      </c>
    </row>
    <row r="852" spans="8:11" ht="17.45" customHeight="1" x14ac:dyDescent="0.3">
      <c r="H852" s="101">
        <f t="shared" si="53"/>
        <v>844</v>
      </c>
      <c r="I852" s="101">
        <f t="shared" si="54"/>
        <v>3</v>
      </c>
      <c r="J852" s="106">
        <f t="shared" si="55"/>
        <v>-0.2</v>
      </c>
      <c r="K852" s="106">
        <f t="shared" si="56"/>
        <v>31.200000000000315</v>
      </c>
    </row>
    <row r="853" spans="8:11" ht="17.45" customHeight="1" x14ac:dyDescent="0.3">
      <c r="H853" s="101">
        <f t="shared" si="53"/>
        <v>845</v>
      </c>
      <c r="I853" s="101">
        <f t="shared" si="54"/>
        <v>3</v>
      </c>
      <c r="J853" s="106">
        <f t="shared" si="55"/>
        <v>-0.2</v>
      </c>
      <c r="K853" s="106">
        <f t="shared" si="56"/>
        <v>31.000000000000316</v>
      </c>
    </row>
    <row r="854" spans="8:11" ht="17.45" customHeight="1" x14ac:dyDescent="0.3">
      <c r="H854" s="101">
        <f t="shared" si="53"/>
        <v>846</v>
      </c>
      <c r="I854" s="101">
        <f t="shared" si="54"/>
        <v>3</v>
      </c>
      <c r="J854" s="106">
        <f t="shared" si="55"/>
        <v>-0.2</v>
      </c>
      <c r="K854" s="106">
        <f t="shared" si="56"/>
        <v>30.800000000000317</v>
      </c>
    </row>
    <row r="855" spans="8:11" ht="17.45" customHeight="1" x14ac:dyDescent="0.3">
      <c r="H855" s="101">
        <f t="shared" ref="H855:H918" si="57">H854+1</f>
        <v>847</v>
      </c>
      <c r="I855" s="101">
        <f t="shared" si="54"/>
        <v>3</v>
      </c>
      <c r="J855" s="106">
        <f t="shared" si="55"/>
        <v>-0.2</v>
      </c>
      <c r="K855" s="106">
        <f t="shared" si="56"/>
        <v>30.600000000000318</v>
      </c>
    </row>
    <row r="856" spans="8:11" ht="17.45" customHeight="1" x14ac:dyDescent="0.3">
      <c r="H856" s="101">
        <f t="shared" si="57"/>
        <v>848</v>
      </c>
      <c r="I856" s="101">
        <f t="shared" si="54"/>
        <v>3</v>
      </c>
      <c r="J856" s="106">
        <f t="shared" si="55"/>
        <v>-0.2</v>
      </c>
      <c r="K856" s="106">
        <f t="shared" si="56"/>
        <v>30.400000000000318</v>
      </c>
    </row>
    <row r="857" spans="8:11" ht="17.45" customHeight="1" x14ac:dyDescent="0.3">
      <c r="H857" s="101">
        <f t="shared" si="57"/>
        <v>849</v>
      </c>
      <c r="I857" s="101">
        <f t="shared" si="54"/>
        <v>3</v>
      </c>
      <c r="J857" s="106">
        <f t="shared" si="55"/>
        <v>-0.2</v>
      </c>
      <c r="K857" s="106">
        <f t="shared" si="56"/>
        <v>30.200000000000319</v>
      </c>
    </row>
    <row r="858" spans="8:11" ht="17.45" customHeight="1" x14ac:dyDescent="0.3">
      <c r="H858" s="101">
        <f t="shared" si="57"/>
        <v>850</v>
      </c>
      <c r="I858" s="101">
        <f t="shared" si="54"/>
        <v>3</v>
      </c>
      <c r="J858" s="106">
        <f t="shared" si="55"/>
        <v>-0.2</v>
      </c>
      <c r="K858" s="106">
        <f t="shared" si="56"/>
        <v>30.00000000000032</v>
      </c>
    </row>
    <row r="859" spans="8:11" ht="17.45" customHeight="1" x14ac:dyDescent="0.3">
      <c r="H859" s="101">
        <f t="shared" si="57"/>
        <v>851</v>
      </c>
      <c r="I859" s="101">
        <f t="shared" si="54"/>
        <v>3</v>
      </c>
      <c r="J859" s="106">
        <f t="shared" si="55"/>
        <v>-0.2</v>
      </c>
      <c r="K859" s="106">
        <f t="shared" si="56"/>
        <v>29.80000000000032</v>
      </c>
    </row>
    <row r="860" spans="8:11" ht="17.45" customHeight="1" x14ac:dyDescent="0.3">
      <c r="H860" s="101">
        <f t="shared" si="57"/>
        <v>852</v>
      </c>
      <c r="I860" s="101">
        <f t="shared" si="54"/>
        <v>3</v>
      </c>
      <c r="J860" s="106">
        <f t="shared" si="55"/>
        <v>-0.2</v>
      </c>
      <c r="K860" s="106">
        <f t="shared" si="56"/>
        <v>29.600000000000321</v>
      </c>
    </row>
    <row r="861" spans="8:11" ht="17.45" customHeight="1" x14ac:dyDescent="0.3">
      <c r="H861" s="101">
        <f t="shared" si="57"/>
        <v>853</v>
      </c>
      <c r="I861" s="101">
        <f t="shared" si="54"/>
        <v>3</v>
      </c>
      <c r="J861" s="106">
        <f t="shared" si="55"/>
        <v>-0.2</v>
      </c>
      <c r="K861" s="106">
        <f t="shared" si="56"/>
        <v>29.400000000000322</v>
      </c>
    </row>
    <row r="862" spans="8:11" ht="17.45" customHeight="1" x14ac:dyDescent="0.3">
      <c r="H862" s="101">
        <f t="shared" si="57"/>
        <v>854</v>
      </c>
      <c r="I862" s="101">
        <f t="shared" si="54"/>
        <v>3</v>
      </c>
      <c r="J862" s="106">
        <f t="shared" si="55"/>
        <v>-0.2</v>
      </c>
      <c r="K862" s="106">
        <f t="shared" si="56"/>
        <v>29.200000000000323</v>
      </c>
    </row>
    <row r="863" spans="8:11" ht="17.45" customHeight="1" x14ac:dyDescent="0.3">
      <c r="H863" s="101">
        <f t="shared" si="57"/>
        <v>855</v>
      </c>
      <c r="I863" s="101">
        <f t="shared" si="54"/>
        <v>3</v>
      </c>
      <c r="J863" s="106">
        <f t="shared" si="55"/>
        <v>-0.2</v>
      </c>
      <c r="K863" s="106">
        <f t="shared" si="56"/>
        <v>29.000000000000323</v>
      </c>
    </row>
    <row r="864" spans="8:11" ht="17.45" customHeight="1" x14ac:dyDescent="0.3">
      <c r="H864" s="101">
        <f t="shared" si="57"/>
        <v>856</v>
      </c>
      <c r="I864" s="101">
        <f t="shared" si="54"/>
        <v>3</v>
      </c>
      <c r="J864" s="106">
        <f t="shared" si="55"/>
        <v>-0.2</v>
      </c>
      <c r="K864" s="106">
        <f t="shared" si="56"/>
        <v>28.800000000000324</v>
      </c>
    </row>
    <row r="865" spans="8:11" ht="17.45" customHeight="1" x14ac:dyDescent="0.3">
      <c r="H865" s="101">
        <f t="shared" si="57"/>
        <v>857</v>
      </c>
      <c r="I865" s="101">
        <f t="shared" si="54"/>
        <v>3</v>
      </c>
      <c r="J865" s="106">
        <f t="shared" si="55"/>
        <v>-0.2</v>
      </c>
      <c r="K865" s="106">
        <f t="shared" si="56"/>
        <v>28.600000000000325</v>
      </c>
    </row>
    <row r="866" spans="8:11" ht="17.45" customHeight="1" x14ac:dyDescent="0.3">
      <c r="H866" s="101">
        <f t="shared" si="57"/>
        <v>858</v>
      </c>
      <c r="I866" s="101">
        <f t="shared" si="54"/>
        <v>3</v>
      </c>
      <c r="J866" s="106">
        <f t="shared" si="55"/>
        <v>-0.2</v>
      </c>
      <c r="K866" s="106">
        <f t="shared" si="56"/>
        <v>28.400000000000325</v>
      </c>
    </row>
    <row r="867" spans="8:11" ht="17.45" customHeight="1" x14ac:dyDescent="0.3">
      <c r="H867" s="101">
        <f t="shared" si="57"/>
        <v>859</v>
      </c>
      <c r="I867" s="101">
        <f t="shared" si="54"/>
        <v>3</v>
      </c>
      <c r="J867" s="106">
        <f t="shared" si="55"/>
        <v>-0.2</v>
      </c>
      <c r="K867" s="106">
        <f t="shared" si="56"/>
        <v>28.200000000000326</v>
      </c>
    </row>
    <row r="868" spans="8:11" ht="17.45" customHeight="1" x14ac:dyDescent="0.3">
      <c r="H868" s="101">
        <f t="shared" si="57"/>
        <v>860</v>
      </c>
      <c r="I868" s="101">
        <f t="shared" si="54"/>
        <v>3</v>
      </c>
      <c r="J868" s="106">
        <f t="shared" si="55"/>
        <v>-0.2</v>
      </c>
      <c r="K868" s="106">
        <f t="shared" si="56"/>
        <v>28.000000000000327</v>
      </c>
    </row>
    <row r="869" spans="8:11" ht="17.45" customHeight="1" x14ac:dyDescent="0.3">
      <c r="H869" s="101">
        <f t="shared" si="57"/>
        <v>861</v>
      </c>
      <c r="I869" s="101">
        <f t="shared" si="54"/>
        <v>3</v>
      </c>
      <c r="J869" s="106">
        <f t="shared" si="55"/>
        <v>-0.2</v>
      </c>
      <c r="K869" s="106">
        <f t="shared" si="56"/>
        <v>27.800000000000328</v>
      </c>
    </row>
    <row r="870" spans="8:11" ht="17.45" customHeight="1" x14ac:dyDescent="0.3">
      <c r="H870" s="101">
        <f t="shared" si="57"/>
        <v>862</v>
      </c>
      <c r="I870" s="101">
        <f t="shared" si="54"/>
        <v>3</v>
      </c>
      <c r="J870" s="106">
        <f t="shared" si="55"/>
        <v>-0.2</v>
      </c>
      <c r="K870" s="106">
        <f t="shared" si="56"/>
        <v>27.600000000000328</v>
      </c>
    </row>
    <row r="871" spans="8:11" ht="17.45" customHeight="1" x14ac:dyDescent="0.3">
      <c r="H871" s="101">
        <f t="shared" si="57"/>
        <v>863</v>
      </c>
      <c r="I871" s="101">
        <f t="shared" si="54"/>
        <v>3</v>
      </c>
      <c r="J871" s="106">
        <f t="shared" si="55"/>
        <v>-0.2</v>
      </c>
      <c r="K871" s="106">
        <f t="shared" si="56"/>
        <v>27.400000000000329</v>
      </c>
    </row>
    <row r="872" spans="8:11" ht="17.45" customHeight="1" x14ac:dyDescent="0.3">
      <c r="H872" s="101">
        <f t="shared" si="57"/>
        <v>864</v>
      </c>
      <c r="I872" s="101">
        <f t="shared" si="54"/>
        <v>3</v>
      </c>
      <c r="J872" s="106">
        <f t="shared" si="55"/>
        <v>-0.2</v>
      </c>
      <c r="K872" s="106">
        <f t="shared" si="56"/>
        <v>27.20000000000033</v>
      </c>
    </row>
    <row r="873" spans="8:11" ht="17.45" customHeight="1" x14ac:dyDescent="0.3">
      <c r="H873" s="101">
        <f t="shared" si="57"/>
        <v>865</v>
      </c>
      <c r="I873" s="101">
        <f t="shared" si="54"/>
        <v>3</v>
      </c>
      <c r="J873" s="106">
        <f t="shared" si="55"/>
        <v>-0.2</v>
      </c>
      <c r="K873" s="106">
        <f t="shared" si="56"/>
        <v>27.00000000000033</v>
      </c>
    </row>
    <row r="874" spans="8:11" ht="17.45" customHeight="1" x14ac:dyDescent="0.3">
      <c r="H874" s="101">
        <f t="shared" si="57"/>
        <v>866</v>
      </c>
      <c r="I874" s="101">
        <f t="shared" si="54"/>
        <v>3</v>
      </c>
      <c r="J874" s="106">
        <f t="shared" si="55"/>
        <v>-0.2</v>
      </c>
      <c r="K874" s="106">
        <f t="shared" si="56"/>
        <v>26.800000000000331</v>
      </c>
    </row>
    <row r="875" spans="8:11" ht="17.45" customHeight="1" x14ac:dyDescent="0.3">
      <c r="H875" s="101">
        <f t="shared" si="57"/>
        <v>867</v>
      </c>
      <c r="I875" s="101">
        <f t="shared" si="54"/>
        <v>3</v>
      </c>
      <c r="J875" s="106">
        <f t="shared" si="55"/>
        <v>-0.2</v>
      </c>
      <c r="K875" s="106">
        <f t="shared" si="56"/>
        <v>26.600000000000332</v>
      </c>
    </row>
    <row r="876" spans="8:11" ht="17.45" customHeight="1" x14ac:dyDescent="0.3">
      <c r="H876" s="101">
        <f t="shared" si="57"/>
        <v>868</v>
      </c>
      <c r="I876" s="101">
        <f t="shared" si="54"/>
        <v>3</v>
      </c>
      <c r="J876" s="106">
        <f t="shared" si="55"/>
        <v>-0.2</v>
      </c>
      <c r="K876" s="106">
        <f t="shared" si="56"/>
        <v>26.400000000000333</v>
      </c>
    </row>
    <row r="877" spans="8:11" ht="17.45" customHeight="1" x14ac:dyDescent="0.3">
      <c r="H877" s="101">
        <f t="shared" si="57"/>
        <v>869</v>
      </c>
      <c r="I877" s="101">
        <f t="shared" si="54"/>
        <v>3</v>
      </c>
      <c r="J877" s="106">
        <f t="shared" si="55"/>
        <v>-0.2</v>
      </c>
      <c r="K877" s="106">
        <f t="shared" si="56"/>
        <v>26.200000000000333</v>
      </c>
    </row>
    <row r="878" spans="8:11" ht="17.45" customHeight="1" x14ac:dyDescent="0.3">
      <c r="H878" s="101">
        <f t="shared" si="57"/>
        <v>870</v>
      </c>
      <c r="I878" s="101">
        <f t="shared" si="54"/>
        <v>3</v>
      </c>
      <c r="J878" s="106">
        <f t="shared" si="55"/>
        <v>-0.2</v>
      </c>
      <c r="K878" s="106">
        <f t="shared" si="56"/>
        <v>26.000000000000334</v>
      </c>
    </row>
    <row r="879" spans="8:11" ht="17.45" customHeight="1" x14ac:dyDescent="0.3">
      <c r="H879" s="101">
        <f t="shared" si="57"/>
        <v>871</v>
      </c>
      <c r="I879" s="101">
        <f t="shared" si="54"/>
        <v>3</v>
      </c>
      <c r="J879" s="106">
        <f t="shared" si="55"/>
        <v>-0.2</v>
      </c>
      <c r="K879" s="106">
        <f t="shared" si="56"/>
        <v>25.800000000000335</v>
      </c>
    </row>
    <row r="880" spans="8:11" ht="17.45" customHeight="1" x14ac:dyDescent="0.3">
      <c r="H880" s="101">
        <f t="shared" si="57"/>
        <v>872</v>
      </c>
      <c r="I880" s="101">
        <f t="shared" si="54"/>
        <v>3</v>
      </c>
      <c r="J880" s="106">
        <f t="shared" si="55"/>
        <v>-0.2</v>
      </c>
      <c r="K880" s="106">
        <f t="shared" si="56"/>
        <v>25.600000000000335</v>
      </c>
    </row>
    <row r="881" spans="8:11" ht="17.45" customHeight="1" x14ac:dyDescent="0.3">
      <c r="H881" s="101">
        <f t="shared" si="57"/>
        <v>873</v>
      </c>
      <c r="I881" s="101">
        <f t="shared" si="54"/>
        <v>3</v>
      </c>
      <c r="J881" s="106">
        <f t="shared" si="55"/>
        <v>-0.2</v>
      </c>
      <c r="K881" s="106">
        <f t="shared" si="56"/>
        <v>25.400000000000336</v>
      </c>
    </row>
    <row r="882" spans="8:11" ht="17.45" customHeight="1" x14ac:dyDescent="0.3">
      <c r="H882" s="101">
        <f t="shared" si="57"/>
        <v>874</v>
      </c>
      <c r="I882" s="101">
        <f t="shared" si="54"/>
        <v>3</v>
      </c>
      <c r="J882" s="106">
        <f t="shared" si="55"/>
        <v>-0.2</v>
      </c>
      <c r="K882" s="106">
        <f t="shared" si="56"/>
        <v>25.200000000000337</v>
      </c>
    </row>
    <row r="883" spans="8:11" ht="17.45" customHeight="1" x14ac:dyDescent="0.3">
      <c r="H883" s="101">
        <f t="shared" si="57"/>
        <v>875</v>
      </c>
      <c r="I883" s="101">
        <f t="shared" si="54"/>
        <v>3</v>
      </c>
      <c r="J883" s="106">
        <f t="shared" si="55"/>
        <v>-0.2</v>
      </c>
      <c r="K883" s="106">
        <f t="shared" si="56"/>
        <v>25.000000000000338</v>
      </c>
    </row>
    <row r="884" spans="8:11" ht="17.45" customHeight="1" x14ac:dyDescent="0.3">
      <c r="H884" s="101">
        <f t="shared" si="57"/>
        <v>876</v>
      </c>
      <c r="I884" s="101">
        <f t="shared" si="54"/>
        <v>3</v>
      </c>
      <c r="J884" s="106">
        <f t="shared" si="55"/>
        <v>-0.2</v>
      </c>
      <c r="K884" s="106">
        <f t="shared" si="56"/>
        <v>24.800000000000338</v>
      </c>
    </row>
    <row r="885" spans="8:11" ht="17.45" customHeight="1" x14ac:dyDescent="0.3">
      <c r="H885" s="101">
        <f t="shared" si="57"/>
        <v>877</v>
      </c>
      <c r="I885" s="101">
        <f t="shared" si="54"/>
        <v>3</v>
      </c>
      <c r="J885" s="106">
        <f t="shared" si="55"/>
        <v>-0.2</v>
      </c>
      <c r="K885" s="106">
        <f t="shared" si="56"/>
        <v>24.600000000000339</v>
      </c>
    </row>
    <row r="886" spans="8:11" ht="17.45" customHeight="1" x14ac:dyDescent="0.3">
      <c r="H886" s="101">
        <f t="shared" si="57"/>
        <v>878</v>
      </c>
      <c r="I886" s="101">
        <f t="shared" si="54"/>
        <v>3</v>
      </c>
      <c r="J886" s="106">
        <f t="shared" si="55"/>
        <v>-0.2</v>
      </c>
      <c r="K886" s="106">
        <f t="shared" si="56"/>
        <v>24.40000000000034</v>
      </c>
    </row>
    <row r="887" spans="8:11" ht="17.45" customHeight="1" x14ac:dyDescent="0.3">
      <c r="H887" s="101">
        <f t="shared" si="57"/>
        <v>879</v>
      </c>
      <c r="I887" s="101">
        <f t="shared" si="54"/>
        <v>3</v>
      </c>
      <c r="J887" s="106">
        <f t="shared" si="55"/>
        <v>-0.2</v>
      </c>
      <c r="K887" s="106">
        <f t="shared" si="56"/>
        <v>24.20000000000034</v>
      </c>
    </row>
    <row r="888" spans="8:11" ht="17.45" customHeight="1" x14ac:dyDescent="0.3">
      <c r="H888" s="101">
        <f t="shared" si="57"/>
        <v>880</v>
      </c>
      <c r="I888" s="101">
        <f t="shared" si="54"/>
        <v>3</v>
      </c>
      <c r="J888" s="106">
        <f t="shared" si="55"/>
        <v>-0.2</v>
      </c>
      <c r="K888" s="106">
        <f t="shared" si="56"/>
        <v>24.000000000000341</v>
      </c>
    </row>
    <row r="889" spans="8:11" ht="17.45" customHeight="1" x14ac:dyDescent="0.3">
      <c r="H889" s="101">
        <f t="shared" si="57"/>
        <v>881</v>
      </c>
      <c r="I889" s="101">
        <f t="shared" si="54"/>
        <v>3</v>
      </c>
      <c r="J889" s="106">
        <f t="shared" si="55"/>
        <v>-0.2</v>
      </c>
      <c r="K889" s="106">
        <f t="shared" si="56"/>
        <v>23.800000000000342</v>
      </c>
    </row>
    <row r="890" spans="8:11" ht="17.45" customHeight="1" x14ac:dyDescent="0.3">
      <c r="H890" s="101">
        <f t="shared" si="57"/>
        <v>882</v>
      </c>
      <c r="I890" s="101">
        <f t="shared" si="54"/>
        <v>3</v>
      </c>
      <c r="J890" s="106">
        <f t="shared" si="55"/>
        <v>-0.2</v>
      </c>
      <c r="K890" s="106">
        <f t="shared" si="56"/>
        <v>23.600000000000342</v>
      </c>
    </row>
    <row r="891" spans="8:11" ht="17.45" customHeight="1" x14ac:dyDescent="0.3">
      <c r="H891" s="101">
        <f t="shared" si="57"/>
        <v>883</v>
      </c>
      <c r="I891" s="101">
        <f t="shared" si="54"/>
        <v>3</v>
      </c>
      <c r="J891" s="106">
        <f t="shared" si="55"/>
        <v>-0.2</v>
      </c>
      <c r="K891" s="106">
        <f t="shared" si="56"/>
        <v>23.400000000000343</v>
      </c>
    </row>
    <row r="892" spans="8:11" ht="17.45" customHeight="1" x14ac:dyDescent="0.3">
      <c r="H892" s="101">
        <f t="shared" si="57"/>
        <v>884</v>
      </c>
      <c r="I892" s="101">
        <f t="shared" si="54"/>
        <v>3</v>
      </c>
      <c r="J892" s="106">
        <f t="shared" si="55"/>
        <v>-0.2</v>
      </c>
      <c r="K892" s="106">
        <f t="shared" si="56"/>
        <v>23.200000000000344</v>
      </c>
    </row>
    <row r="893" spans="8:11" ht="17.45" customHeight="1" x14ac:dyDescent="0.3">
      <c r="H893" s="101">
        <f t="shared" si="57"/>
        <v>885</v>
      </c>
      <c r="I893" s="101">
        <f t="shared" si="54"/>
        <v>3</v>
      </c>
      <c r="J893" s="106">
        <f t="shared" si="55"/>
        <v>-0.2</v>
      </c>
      <c r="K893" s="106">
        <f t="shared" si="56"/>
        <v>23.000000000000345</v>
      </c>
    </row>
    <row r="894" spans="8:11" ht="17.45" customHeight="1" x14ac:dyDescent="0.3">
      <c r="H894" s="101">
        <f t="shared" si="57"/>
        <v>886</v>
      </c>
      <c r="I894" s="101">
        <f t="shared" si="54"/>
        <v>3</v>
      </c>
      <c r="J894" s="106">
        <f t="shared" si="55"/>
        <v>-0.2</v>
      </c>
      <c r="K894" s="106">
        <f t="shared" si="56"/>
        <v>22.800000000000345</v>
      </c>
    </row>
    <row r="895" spans="8:11" ht="17.45" customHeight="1" x14ac:dyDescent="0.3">
      <c r="H895" s="101">
        <f t="shared" si="57"/>
        <v>887</v>
      </c>
      <c r="I895" s="101">
        <f t="shared" si="54"/>
        <v>3</v>
      </c>
      <c r="J895" s="106">
        <f t="shared" si="55"/>
        <v>-0.2</v>
      </c>
      <c r="K895" s="106">
        <f t="shared" si="56"/>
        <v>22.600000000000346</v>
      </c>
    </row>
    <row r="896" spans="8:11" ht="17.45" customHeight="1" x14ac:dyDescent="0.3">
      <c r="H896" s="101">
        <f t="shared" si="57"/>
        <v>888</v>
      </c>
      <c r="I896" s="101">
        <f t="shared" si="54"/>
        <v>3</v>
      </c>
      <c r="J896" s="106">
        <f t="shared" si="55"/>
        <v>-0.2</v>
      </c>
      <c r="K896" s="106">
        <f t="shared" si="56"/>
        <v>22.400000000000347</v>
      </c>
    </row>
    <row r="897" spans="8:11" ht="17.45" customHeight="1" x14ac:dyDescent="0.3">
      <c r="H897" s="101">
        <f t="shared" si="57"/>
        <v>889</v>
      </c>
      <c r="I897" s="101">
        <f t="shared" si="54"/>
        <v>3</v>
      </c>
      <c r="J897" s="106">
        <f t="shared" si="55"/>
        <v>-0.2</v>
      </c>
      <c r="K897" s="106">
        <f t="shared" si="56"/>
        <v>22.200000000000347</v>
      </c>
    </row>
    <row r="898" spans="8:11" ht="17.45" customHeight="1" x14ac:dyDescent="0.3">
      <c r="H898" s="101">
        <f t="shared" si="57"/>
        <v>890</v>
      </c>
      <c r="I898" s="101">
        <f t="shared" si="54"/>
        <v>3</v>
      </c>
      <c r="J898" s="106">
        <f t="shared" si="55"/>
        <v>-0.2</v>
      </c>
      <c r="K898" s="106">
        <f t="shared" si="56"/>
        <v>22.000000000000348</v>
      </c>
    </row>
    <row r="899" spans="8:11" ht="17.45" customHeight="1" x14ac:dyDescent="0.3">
      <c r="H899" s="101">
        <f t="shared" si="57"/>
        <v>891</v>
      </c>
      <c r="I899" s="101">
        <f t="shared" si="54"/>
        <v>3</v>
      </c>
      <c r="J899" s="106">
        <f t="shared" si="55"/>
        <v>-0.2</v>
      </c>
      <c r="K899" s="106">
        <f t="shared" si="56"/>
        <v>21.800000000000349</v>
      </c>
    </row>
    <row r="900" spans="8:11" ht="17.45" customHeight="1" x14ac:dyDescent="0.3">
      <c r="H900" s="101">
        <f t="shared" si="57"/>
        <v>892</v>
      </c>
      <c r="I900" s="101">
        <f t="shared" si="54"/>
        <v>3</v>
      </c>
      <c r="J900" s="106">
        <f t="shared" si="55"/>
        <v>-0.2</v>
      </c>
      <c r="K900" s="106">
        <f t="shared" si="56"/>
        <v>21.60000000000035</v>
      </c>
    </row>
    <row r="901" spans="8:11" ht="17.45" customHeight="1" x14ac:dyDescent="0.3">
      <c r="H901" s="101">
        <f t="shared" si="57"/>
        <v>893</v>
      </c>
      <c r="I901" s="101">
        <f t="shared" si="54"/>
        <v>3</v>
      </c>
      <c r="J901" s="106">
        <f t="shared" si="55"/>
        <v>-0.2</v>
      </c>
      <c r="K901" s="106">
        <f t="shared" si="56"/>
        <v>21.40000000000035</v>
      </c>
    </row>
    <row r="902" spans="8:11" ht="17.45" customHeight="1" x14ac:dyDescent="0.3">
      <c r="H902" s="101">
        <f t="shared" si="57"/>
        <v>894</v>
      </c>
      <c r="I902" s="101">
        <f t="shared" si="54"/>
        <v>3</v>
      </c>
      <c r="J902" s="106">
        <f t="shared" si="55"/>
        <v>-0.2</v>
      </c>
      <c r="K902" s="106">
        <f t="shared" si="56"/>
        <v>21.200000000000351</v>
      </c>
    </row>
    <row r="903" spans="8:11" ht="17.45" customHeight="1" x14ac:dyDescent="0.3">
      <c r="H903" s="101">
        <f t="shared" si="57"/>
        <v>895</v>
      </c>
      <c r="I903" s="101">
        <f t="shared" si="54"/>
        <v>3</v>
      </c>
      <c r="J903" s="106">
        <f t="shared" si="55"/>
        <v>-0.2</v>
      </c>
      <c r="K903" s="106">
        <f t="shared" si="56"/>
        <v>21.000000000000352</v>
      </c>
    </row>
    <row r="904" spans="8:11" ht="17.45" customHeight="1" x14ac:dyDescent="0.3">
      <c r="H904" s="101">
        <f t="shared" si="57"/>
        <v>896</v>
      </c>
      <c r="I904" s="101">
        <f t="shared" si="54"/>
        <v>3</v>
      </c>
      <c r="J904" s="106">
        <f t="shared" si="55"/>
        <v>-0.2</v>
      </c>
      <c r="K904" s="106">
        <f t="shared" si="56"/>
        <v>20.800000000000352</v>
      </c>
    </row>
    <row r="905" spans="8:11" ht="17.45" customHeight="1" x14ac:dyDescent="0.3">
      <c r="H905" s="101">
        <f t="shared" si="57"/>
        <v>897</v>
      </c>
      <c r="I905" s="101">
        <f t="shared" ref="I905:I968" si="58">MATCH(H905,$C$8:$C$13,1)</f>
        <v>3</v>
      </c>
      <c r="J905" s="106">
        <f t="shared" si="55"/>
        <v>-0.2</v>
      </c>
      <c r="K905" s="106">
        <f t="shared" si="56"/>
        <v>20.600000000000353</v>
      </c>
    </row>
    <row r="906" spans="8:11" ht="17.45" customHeight="1" x14ac:dyDescent="0.3">
      <c r="H906" s="101">
        <f t="shared" si="57"/>
        <v>898</v>
      </c>
      <c r="I906" s="101">
        <f t="shared" si="58"/>
        <v>3</v>
      </c>
      <c r="J906" s="106">
        <f t="shared" ref="J906:J969" si="59">INDEX($E$8:$E$13,I905)</f>
        <v>-0.2</v>
      </c>
      <c r="K906" s="106">
        <f t="shared" ref="K906:K969" si="60">K905+J906</f>
        <v>20.400000000000354</v>
      </c>
    </row>
    <row r="907" spans="8:11" ht="17.45" customHeight="1" x14ac:dyDescent="0.3">
      <c r="H907" s="101">
        <f t="shared" si="57"/>
        <v>899</v>
      </c>
      <c r="I907" s="101">
        <f t="shared" si="58"/>
        <v>3</v>
      </c>
      <c r="J907" s="106">
        <f t="shared" si="59"/>
        <v>-0.2</v>
      </c>
      <c r="K907" s="106">
        <f t="shared" si="60"/>
        <v>20.200000000000355</v>
      </c>
    </row>
    <row r="908" spans="8:11" ht="17.45" customHeight="1" x14ac:dyDescent="0.3">
      <c r="H908" s="101">
        <f t="shared" si="57"/>
        <v>900</v>
      </c>
      <c r="I908" s="101">
        <f t="shared" si="58"/>
        <v>3</v>
      </c>
      <c r="J908" s="106">
        <f t="shared" si="59"/>
        <v>-0.2</v>
      </c>
      <c r="K908" s="106">
        <f t="shared" si="60"/>
        <v>20.000000000000355</v>
      </c>
    </row>
    <row r="909" spans="8:11" ht="17.45" customHeight="1" x14ac:dyDescent="0.3">
      <c r="H909" s="101">
        <f t="shared" si="57"/>
        <v>901</v>
      </c>
      <c r="I909" s="101">
        <f t="shared" si="58"/>
        <v>3</v>
      </c>
      <c r="J909" s="106">
        <f t="shared" si="59"/>
        <v>-0.2</v>
      </c>
      <c r="K909" s="106">
        <f t="shared" si="60"/>
        <v>19.800000000000356</v>
      </c>
    </row>
    <row r="910" spans="8:11" ht="17.45" customHeight="1" x14ac:dyDescent="0.3">
      <c r="H910" s="101">
        <f t="shared" si="57"/>
        <v>902</v>
      </c>
      <c r="I910" s="101">
        <f t="shared" si="58"/>
        <v>3</v>
      </c>
      <c r="J910" s="106">
        <f t="shared" si="59"/>
        <v>-0.2</v>
      </c>
      <c r="K910" s="106">
        <f t="shared" si="60"/>
        <v>19.600000000000357</v>
      </c>
    </row>
    <row r="911" spans="8:11" ht="17.45" customHeight="1" x14ac:dyDescent="0.3">
      <c r="H911" s="101">
        <f t="shared" si="57"/>
        <v>903</v>
      </c>
      <c r="I911" s="101">
        <f t="shared" si="58"/>
        <v>3</v>
      </c>
      <c r="J911" s="106">
        <f t="shared" si="59"/>
        <v>-0.2</v>
      </c>
      <c r="K911" s="106">
        <f t="shared" si="60"/>
        <v>19.400000000000357</v>
      </c>
    </row>
    <row r="912" spans="8:11" ht="17.45" customHeight="1" x14ac:dyDescent="0.3">
      <c r="H912" s="101">
        <f t="shared" si="57"/>
        <v>904</v>
      </c>
      <c r="I912" s="101">
        <f t="shared" si="58"/>
        <v>3</v>
      </c>
      <c r="J912" s="106">
        <f t="shared" si="59"/>
        <v>-0.2</v>
      </c>
      <c r="K912" s="106">
        <f t="shared" si="60"/>
        <v>19.200000000000358</v>
      </c>
    </row>
    <row r="913" spans="8:11" ht="17.45" customHeight="1" x14ac:dyDescent="0.3">
      <c r="H913" s="101">
        <f t="shared" si="57"/>
        <v>905</v>
      </c>
      <c r="I913" s="101">
        <f t="shared" si="58"/>
        <v>3</v>
      </c>
      <c r="J913" s="106">
        <f t="shared" si="59"/>
        <v>-0.2</v>
      </c>
      <c r="K913" s="106">
        <f t="shared" si="60"/>
        <v>19.000000000000359</v>
      </c>
    </row>
    <row r="914" spans="8:11" ht="17.45" customHeight="1" x14ac:dyDescent="0.3">
      <c r="H914" s="101">
        <f t="shared" si="57"/>
        <v>906</v>
      </c>
      <c r="I914" s="101">
        <f t="shared" si="58"/>
        <v>3</v>
      </c>
      <c r="J914" s="106">
        <f t="shared" si="59"/>
        <v>-0.2</v>
      </c>
      <c r="K914" s="106">
        <f t="shared" si="60"/>
        <v>18.80000000000036</v>
      </c>
    </row>
    <row r="915" spans="8:11" ht="17.45" customHeight="1" x14ac:dyDescent="0.3">
      <c r="H915" s="101">
        <f t="shared" si="57"/>
        <v>907</v>
      </c>
      <c r="I915" s="101">
        <f t="shared" si="58"/>
        <v>3</v>
      </c>
      <c r="J915" s="106">
        <f t="shared" si="59"/>
        <v>-0.2</v>
      </c>
      <c r="K915" s="106">
        <f t="shared" si="60"/>
        <v>18.60000000000036</v>
      </c>
    </row>
    <row r="916" spans="8:11" ht="17.45" customHeight="1" x14ac:dyDescent="0.3">
      <c r="H916" s="101">
        <f t="shared" si="57"/>
        <v>908</v>
      </c>
      <c r="I916" s="101">
        <f t="shared" si="58"/>
        <v>3</v>
      </c>
      <c r="J916" s="106">
        <f t="shared" si="59"/>
        <v>-0.2</v>
      </c>
      <c r="K916" s="106">
        <f t="shared" si="60"/>
        <v>18.400000000000361</v>
      </c>
    </row>
    <row r="917" spans="8:11" ht="17.45" customHeight="1" x14ac:dyDescent="0.3">
      <c r="H917" s="101">
        <f t="shared" si="57"/>
        <v>909</v>
      </c>
      <c r="I917" s="101">
        <f t="shared" si="58"/>
        <v>3</v>
      </c>
      <c r="J917" s="106">
        <f t="shared" si="59"/>
        <v>-0.2</v>
      </c>
      <c r="K917" s="106">
        <f t="shared" si="60"/>
        <v>18.200000000000362</v>
      </c>
    </row>
    <row r="918" spans="8:11" ht="17.45" customHeight="1" x14ac:dyDescent="0.3">
      <c r="H918" s="101">
        <f t="shared" si="57"/>
        <v>910</v>
      </c>
      <c r="I918" s="101">
        <f t="shared" si="58"/>
        <v>3</v>
      </c>
      <c r="J918" s="106">
        <f t="shared" si="59"/>
        <v>-0.2</v>
      </c>
      <c r="K918" s="106">
        <f t="shared" si="60"/>
        <v>18.000000000000362</v>
      </c>
    </row>
    <row r="919" spans="8:11" ht="17.45" customHeight="1" x14ac:dyDescent="0.3">
      <c r="H919" s="101">
        <f t="shared" ref="H919:H982" si="61">H918+1</f>
        <v>911</v>
      </c>
      <c r="I919" s="101">
        <f t="shared" si="58"/>
        <v>3</v>
      </c>
      <c r="J919" s="106">
        <f t="shared" si="59"/>
        <v>-0.2</v>
      </c>
      <c r="K919" s="106">
        <f t="shared" si="60"/>
        <v>17.800000000000363</v>
      </c>
    </row>
    <row r="920" spans="8:11" ht="17.45" customHeight="1" x14ac:dyDescent="0.3">
      <c r="H920" s="101">
        <f t="shared" si="61"/>
        <v>912</v>
      </c>
      <c r="I920" s="101">
        <f t="shared" si="58"/>
        <v>3</v>
      </c>
      <c r="J920" s="106">
        <f t="shared" si="59"/>
        <v>-0.2</v>
      </c>
      <c r="K920" s="106">
        <f t="shared" si="60"/>
        <v>17.600000000000364</v>
      </c>
    </row>
    <row r="921" spans="8:11" ht="17.45" customHeight="1" x14ac:dyDescent="0.3">
      <c r="H921" s="101">
        <f t="shared" si="61"/>
        <v>913</v>
      </c>
      <c r="I921" s="101">
        <f t="shared" si="58"/>
        <v>3</v>
      </c>
      <c r="J921" s="106">
        <f t="shared" si="59"/>
        <v>-0.2</v>
      </c>
      <c r="K921" s="106">
        <f t="shared" si="60"/>
        <v>17.400000000000365</v>
      </c>
    </row>
    <row r="922" spans="8:11" ht="17.45" customHeight="1" x14ac:dyDescent="0.3">
      <c r="H922" s="101">
        <f t="shared" si="61"/>
        <v>914</v>
      </c>
      <c r="I922" s="101">
        <f t="shared" si="58"/>
        <v>3</v>
      </c>
      <c r="J922" s="106">
        <f t="shared" si="59"/>
        <v>-0.2</v>
      </c>
      <c r="K922" s="106">
        <f t="shared" si="60"/>
        <v>17.200000000000365</v>
      </c>
    </row>
    <row r="923" spans="8:11" ht="17.45" customHeight="1" x14ac:dyDescent="0.3">
      <c r="H923" s="101">
        <f t="shared" si="61"/>
        <v>915</v>
      </c>
      <c r="I923" s="101">
        <f t="shared" si="58"/>
        <v>3</v>
      </c>
      <c r="J923" s="106">
        <f t="shared" si="59"/>
        <v>-0.2</v>
      </c>
      <c r="K923" s="106">
        <f t="shared" si="60"/>
        <v>17.000000000000366</v>
      </c>
    </row>
    <row r="924" spans="8:11" ht="17.45" customHeight="1" x14ac:dyDescent="0.3">
      <c r="H924" s="101">
        <f t="shared" si="61"/>
        <v>916</v>
      </c>
      <c r="I924" s="101">
        <f t="shared" si="58"/>
        <v>3</v>
      </c>
      <c r="J924" s="106">
        <f t="shared" si="59"/>
        <v>-0.2</v>
      </c>
      <c r="K924" s="106">
        <f t="shared" si="60"/>
        <v>16.800000000000367</v>
      </c>
    </row>
    <row r="925" spans="8:11" ht="17.45" customHeight="1" x14ac:dyDescent="0.3">
      <c r="H925" s="101">
        <f t="shared" si="61"/>
        <v>917</v>
      </c>
      <c r="I925" s="101">
        <f t="shared" si="58"/>
        <v>3</v>
      </c>
      <c r="J925" s="106">
        <f t="shared" si="59"/>
        <v>-0.2</v>
      </c>
      <c r="K925" s="106">
        <f t="shared" si="60"/>
        <v>16.600000000000367</v>
      </c>
    </row>
    <row r="926" spans="8:11" ht="17.45" customHeight="1" x14ac:dyDescent="0.3">
      <c r="H926" s="101">
        <f t="shared" si="61"/>
        <v>918</v>
      </c>
      <c r="I926" s="101">
        <f t="shared" si="58"/>
        <v>3</v>
      </c>
      <c r="J926" s="106">
        <f t="shared" si="59"/>
        <v>-0.2</v>
      </c>
      <c r="K926" s="106">
        <f t="shared" si="60"/>
        <v>16.400000000000368</v>
      </c>
    </row>
    <row r="927" spans="8:11" ht="17.45" customHeight="1" x14ac:dyDescent="0.3">
      <c r="H927" s="101">
        <f t="shared" si="61"/>
        <v>919</v>
      </c>
      <c r="I927" s="101">
        <f t="shared" si="58"/>
        <v>3</v>
      </c>
      <c r="J927" s="106">
        <f t="shared" si="59"/>
        <v>-0.2</v>
      </c>
      <c r="K927" s="106">
        <f t="shared" si="60"/>
        <v>16.200000000000369</v>
      </c>
    </row>
    <row r="928" spans="8:11" ht="17.45" customHeight="1" x14ac:dyDescent="0.3">
      <c r="H928" s="101">
        <f t="shared" si="61"/>
        <v>920</v>
      </c>
      <c r="I928" s="101">
        <f t="shared" si="58"/>
        <v>3</v>
      </c>
      <c r="J928" s="106">
        <f t="shared" si="59"/>
        <v>-0.2</v>
      </c>
      <c r="K928" s="106">
        <f t="shared" si="60"/>
        <v>16.000000000000369</v>
      </c>
    </row>
    <row r="929" spans="8:11" ht="17.45" customHeight="1" x14ac:dyDescent="0.3">
      <c r="H929" s="101">
        <f t="shared" si="61"/>
        <v>921</v>
      </c>
      <c r="I929" s="101">
        <f t="shared" si="58"/>
        <v>3</v>
      </c>
      <c r="J929" s="106">
        <f t="shared" si="59"/>
        <v>-0.2</v>
      </c>
      <c r="K929" s="106">
        <f t="shared" si="60"/>
        <v>15.80000000000037</v>
      </c>
    </row>
    <row r="930" spans="8:11" ht="17.45" customHeight="1" x14ac:dyDescent="0.3">
      <c r="H930" s="101">
        <f t="shared" si="61"/>
        <v>922</v>
      </c>
      <c r="I930" s="101">
        <f t="shared" si="58"/>
        <v>3</v>
      </c>
      <c r="J930" s="106">
        <f t="shared" si="59"/>
        <v>-0.2</v>
      </c>
      <c r="K930" s="106">
        <f t="shared" si="60"/>
        <v>15.600000000000371</v>
      </c>
    </row>
    <row r="931" spans="8:11" ht="17.45" customHeight="1" x14ac:dyDescent="0.3">
      <c r="H931" s="101">
        <f t="shared" si="61"/>
        <v>923</v>
      </c>
      <c r="I931" s="101">
        <f t="shared" si="58"/>
        <v>3</v>
      </c>
      <c r="J931" s="106">
        <f t="shared" si="59"/>
        <v>-0.2</v>
      </c>
      <c r="K931" s="106">
        <f t="shared" si="60"/>
        <v>15.400000000000372</v>
      </c>
    </row>
    <row r="932" spans="8:11" ht="17.45" customHeight="1" x14ac:dyDescent="0.3">
      <c r="H932" s="101">
        <f t="shared" si="61"/>
        <v>924</v>
      </c>
      <c r="I932" s="101">
        <f t="shared" si="58"/>
        <v>3</v>
      </c>
      <c r="J932" s="106">
        <f t="shared" si="59"/>
        <v>-0.2</v>
      </c>
      <c r="K932" s="106">
        <f t="shared" si="60"/>
        <v>15.200000000000372</v>
      </c>
    </row>
    <row r="933" spans="8:11" ht="17.45" customHeight="1" x14ac:dyDescent="0.3">
      <c r="H933" s="101">
        <f t="shared" si="61"/>
        <v>925</v>
      </c>
      <c r="I933" s="101">
        <f t="shared" si="58"/>
        <v>3</v>
      </c>
      <c r="J933" s="106">
        <f t="shared" si="59"/>
        <v>-0.2</v>
      </c>
      <c r="K933" s="106">
        <f t="shared" si="60"/>
        <v>15.000000000000373</v>
      </c>
    </row>
    <row r="934" spans="8:11" ht="17.45" customHeight="1" x14ac:dyDescent="0.3">
      <c r="H934" s="101">
        <f t="shared" si="61"/>
        <v>926</v>
      </c>
      <c r="I934" s="101">
        <f t="shared" si="58"/>
        <v>3</v>
      </c>
      <c r="J934" s="106">
        <f t="shared" si="59"/>
        <v>-0.2</v>
      </c>
      <c r="K934" s="106">
        <f t="shared" si="60"/>
        <v>14.800000000000374</v>
      </c>
    </row>
    <row r="935" spans="8:11" ht="17.45" customHeight="1" x14ac:dyDescent="0.3">
      <c r="H935" s="101">
        <f t="shared" si="61"/>
        <v>927</v>
      </c>
      <c r="I935" s="101">
        <f t="shared" si="58"/>
        <v>3</v>
      </c>
      <c r="J935" s="106">
        <f t="shared" si="59"/>
        <v>-0.2</v>
      </c>
      <c r="K935" s="106">
        <f t="shared" si="60"/>
        <v>14.600000000000374</v>
      </c>
    </row>
    <row r="936" spans="8:11" ht="17.45" customHeight="1" x14ac:dyDescent="0.3">
      <c r="H936" s="101">
        <f t="shared" si="61"/>
        <v>928</v>
      </c>
      <c r="I936" s="101">
        <f t="shared" si="58"/>
        <v>3</v>
      </c>
      <c r="J936" s="106">
        <f t="shared" si="59"/>
        <v>-0.2</v>
      </c>
      <c r="K936" s="106">
        <f t="shared" si="60"/>
        <v>14.400000000000375</v>
      </c>
    </row>
    <row r="937" spans="8:11" ht="17.45" customHeight="1" x14ac:dyDescent="0.3">
      <c r="H937" s="101">
        <f t="shared" si="61"/>
        <v>929</v>
      </c>
      <c r="I937" s="101">
        <f t="shared" si="58"/>
        <v>3</v>
      </c>
      <c r="J937" s="106">
        <f t="shared" si="59"/>
        <v>-0.2</v>
      </c>
      <c r="K937" s="106">
        <f t="shared" si="60"/>
        <v>14.200000000000376</v>
      </c>
    </row>
    <row r="938" spans="8:11" ht="17.45" customHeight="1" x14ac:dyDescent="0.3">
      <c r="H938" s="101">
        <f t="shared" si="61"/>
        <v>930</v>
      </c>
      <c r="I938" s="101">
        <f t="shared" si="58"/>
        <v>3</v>
      </c>
      <c r="J938" s="106">
        <f t="shared" si="59"/>
        <v>-0.2</v>
      </c>
      <c r="K938" s="106">
        <f t="shared" si="60"/>
        <v>14.000000000000377</v>
      </c>
    </row>
    <row r="939" spans="8:11" ht="17.45" customHeight="1" x14ac:dyDescent="0.3">
      <c r="H939" s="101">
        <f t="shared" si="61"/>
        <v>931</v>
      </c>
      <c r="I939" s="101">
        <f t="shared" si="58"/>
        <v>3</v>
      </c>
      <c r="J939" s="106">
        <f t="shared" si="59"/>
        <v>-0.2</v>
      </c>
      <c r="K939" s="106">
        <f t="shared" si="60"/>
        <v>13.800000000000377</v>
      </c>
    </row>
    <row r="940" spans="8:11" ht="17.45" customHeight="1" x14ac:dyDescent="0.3">
      <c r="H940" s="101">
        <f t="shared" si="61"/>
        <v>932</v>
      </c>
      <c r="I940" s="101">
        <f t="shared" si="58"/>
        <v>3</v>
      </c>
      <c r="J940" s="106">
        <f t="shared" si="59"/>
        <v>-0.2</v>
      </c>
      <c r="K940" s="106">
        <f t="shared" si="60"/>
        <v>13.600000000000378</v>
      </c>
    </row>
    <row r="941" spans="8:11" ht="17.45" customHeight="1" x14ac:dyDescent="0.3">
      <c r="H941" s="101">
        <f t="shared" si="61"/>
        <v>933</v>
      </c>
      <c r="I941" s="101">
        <f t="shared" si="58"/>
        <v>3</v>
      </c>
      <c r="J941" s="106">
        <f t="shared" si="59"/>
        <v>-0.2</v>
      </c>
      <c r="K941" s="106">
        <f t="shared" si="60"/>
        <v>13.400000000000379</v>
      </c>
    </row>
    <row r="942" spans="8:11" ht="17.45" customHeight="1" x14ac:dyDescent="0.3">
      <c r="H942" s="101">
        <f t="shared" si="61"/>
        <v>934</v>
      </c>
      <c r="I942" s="101">
        <f t="shared" si="58"/>
        <v>3</v>
      </c>
      <c r="J942" s="106">
        <f t="shared" si="59"/>
        <v>-0.2</v>
      </c>
      <c r="K942" s="106">
        <f t="shared" si="60"/>
        <v>13.200000000000379</v>
      </c>
    </row>
    <row r="943" spans="8:11" ht="17.45" customHeight="1" x14ac:dyDescent="0.3">
      <c r="H943" s="101">
        <f t="shared" si="61"/>
        <v>935</v>
      </c>
      <c r="I943" s="101">
        <f t="shared" si="58"/>
        <v>3</v>
      </c>
      <c r="J943" s="106">
        <f t="shared" si="59"/>
        <v>-0.2</v>
      </c>
      <c r="K943" s="106">
        <f t="shared" si="60"/>
        <v>13.00000000000038</v>
      </c>
    </row>
    <row r="944" spans="8:11" ht="17.45" customHeight="1" x14ac:dyDescent="0.3">
      <c r="H944" s="101">
        <f t="shared" si="61"/>
        <v>936</v>
      </c>
      <c r="I944" s="101">
        <f t="shared" si="58"/>
        <v>3</v>
      </c>
      <c r="J944" s="106">
        <f t="shared" si="59"/>
        <v>-0.2</v>
      </c>
      <c r="K944" s="106">
        <f t="shared" si="60"/>
        <v>12.800000000000381</v>
      </c>
    </row>
    <row r="945" spans="8:11" ht="17.45" customHeight="1" x14ac:dyDescent="0.3">
      <c r="H945" s="101">
        <f t="shared" si="61"/>
        <v>937</v>
      </c>
      <c r="I945" s="101">
        <f t="shared" si="58"/>
        <v>3</v>
      </c>
      <c r="J945" s="106">
        <f t="shared" si="59"/>
        <v>-0.2</v>
      </c>
      <c r="K945" s="106">
        <f t="shared" si="60"/>
        <v>12.600000000000382</v>
      </c>
    </row>
    <row r="946" spans="8:11" ht="17.45" customHeight="1" x14ac:dyDescent="0.3">
      <c r="H946" s="101">
        <f t="shared" si="61"/>
        <v>938</v>
      </c>
      <c r="I946" s="101">
        <f t="shared" si="58"/>
        <v>3</v>
      </c>
      <c r="J946" s="106">
        <f t="shared" si="59"/>
        <v>-0.2</v>
      </c>
      <c r="K946" s="106">
        <f t="shared" si="60"/>
        <v>12.400000000000382</v>
      </c>
    </row>
    <row r="947" spans="8:11" ht="17.45" customHeight="1" x14ac:dyDescent="0.3">
      <c r="H947" s="101">
        <f t="shared" si="61"/>
        <v>939</v>
      </c>
      <c r="I947" s="101">
        <f t="shared" si="58"/>
        <v>3</v>
      </c>
      <c r="J947" s="106">
        <f t="shared" si="59"/>
        <v>-0.2</v>
      </c>
      <c r="K947" s="106">
        <f t="shared" si="60"/>
        <v>12.200000000000383</v>
      </c>
    </row>
    <row r="948" spans="8:11" ht="17.45" customHeight="1" x14ac:dyDescent="0.3">
      <c r="H948" s="101">
        <f t="shared" si="61"/>
        <v>940</v>
      </c>
      <c r="I948" s="101">
        <f t="shared" si="58"/>
        <v>3</v>
      </c>
      <c r="J948" s="106">
        <f t="shared" si="59"/>
        <v>-0.2</v>
      </c>
      <c r="K948" s="106">
        <f t="shared" si="60"/>
        <v>12.000000000000384</v>
      </c>
    </row>
    <row r="949" spans="8:11" ht="17.45" customHeight="1" x14ac:dyDescent="0.3">
      <c r="H949" s="101">
        <f t="shared" si="61"/>
        <v>941</v>
      </c>
      <c r="I949" s="101">
        <f t="shared" si="58"/>
        <v>3</v>
      </c>
      <c r="J949" s="106">
        <f t="shared" si="59"/>
        <v>-0.2</v>
      </c>
      <c r="K949" s="106">
        <f t="shared" si="60"/>
        <v>11.800000000000384</v>
      </c>
    </row>
    <row r="950" spans="8:11" ht="17.45" customHeight="1" x14ac:dyDescent="0.3">
      <c r="H950" s="101">
        <f t="shared" si="61"/>
        <v>942</v>
      </c>
      <c r="I950" s="101">
        <f t="shared" si="58"/>
        <v>3</v>
      </c>
      <c r="J950" s="106">
        <f t="shared" si="59"/>
        <v>-0.2</v>
      </c>
      <c r="K950" s="106">
        <f t="shared" si="60"/>
        <v>11.600000000000385</v>
      </c>
    </row>
    <row r="951" spans="8:11" ht="17.45" customHeight="1" x14ac:dyDescent="0.3">
      <c r="H951" s="101">
        <f t="shared" si="61"/>
        <v>943</v>
      </c>
      <c r="I951" s="101">
        <f t="shared" si="58"/>
        <v>3</v>
      </c>
      <c r="J951" s="106">
        <f t="shared" si="59"/>
        <v>-0.2</v>
      </c>
      <c r="K951" s="106">
        <f t="shared" si="60"/>
        <v>11.400000000000386</v>
      </c>
    </row>
    <row r="952" spans="8:11" ht="17.45" customHeight="1" x14ac:dyDescent="0.3">
      <c r="H952" s="101">
        <f t="shared" si="61"/>
        <v>944</v>
      </c>
      <c r="I952" s="101">
        <f t="shared" si="58"/>
        <v>3</v>
      </c>
      <c r="J952" s="106">
        <f t="shared" si="59"/>
        <v>-0.2</v>
      </c>
      <c r="K952" s="106">
        <f t="shared" si="60"/>
        <v>11.200000000000387</v>
      </c>
    </row>
    <row r="953" spans="8:11" ht="17.45" customHeight="1" x14ac:dyDescent="0.3">
      <c r="H953" s="101">
        <f t="shared" si="61"/>
        <v>945</v>
      </c>
      <c r="I953" s="101">
        <f t="shared" si="58"/>
        <v>3</v>
      </c>
      <c r="J953" s="106">
        <f t="shared" si="59"/>
        <v>-0.2</v>
      </c>
      <c r="K953" s="106">
        <f t="shared" si="60"/>
        <v>11.000000000000387</v>
      </c>
    </row>
    <row r="954" spans="8:11" ht="17.45" customHeight="1" x14ac:dyDescent="0.3">
      <c r="H954" s="101">
        <f t="shared" si="61"/>
        <v>946</v>
      </c>
      <c r="I954" s="101">
        <f t="shared" si="58"/>
        <v>3</v>
      </c>
      <c r="J954" s="106">
        <f t="shared" si="59"/>
        <v>-0.2</v>
      </c>
      <c r="K954" s="106">
        <f t="shared" si="60"/>
        <v>10.800000000000388</v>
      </c>
    </row>
    <row r="955" spans="8:11" ht="17.45" customHeight="1" x14ac:dyDescent="0.3">
      <c r="H955" s="101">
        <f t="shared" si="61"/>
        <v>947</v>
      </c>
      <c r="I955" s="101">
        <f t="shared" si="58"/>
        <v>3</v>
      </c>
      <c r="J955" s="106">
        <f t="shared" si="59"/>
        <v>-0.2</v>
      </c>
      <c r="K955" s="106">
        <f t="shared" si="60"/>
        <v>10.600000000000389</v>
      </c>
    </row>
    <row r="956" spans="8:11" ht="17.45" customHeight="1" x14ac:dyDescent="0.3">
      <c r="H956" s="101">
        <f t="shared" si="61"/>
        <v>948</v>
      </c>
      <c r="I956" s="101">
        <f t="shared" si="58"/>
        <v>3</v>
      </c>
      <c r="J956" s="106">
        <f t="shared" si="59"/>
        <v>-0.2</v>
      </c>
      <c r="K956" s="106">
        <f t="shared" si="60"/>
        <v>10.400000000000389</v>
      </c>
    </row>
    <row r="957" spans="8:11" ht="17.45" customHeight="1" x14ac:dyDescent="0.3">
      <c r="H957" s="101">
        <f t="shared" si="61"/>
        <v>949</v>
      </c>
      <c r="I957" s="101">
        <f t="shared" si="58"/>
        <v>3</v>
      </c>
      <c r="J957" s="106">
        <f t="shared" si="59"/>
        <v>-0.2</v>
      </c>
      <c r="K957" s="106">
        <f t="shared" si="60"/>
        <v>10.20000000000039</v>
      </c>
    </row>
    <row r="958" spans="8:11" ht="17.45" customHeight="1" x14ac:dyDescent="0.3">
      <c r="H958" s="101">
        <f t="shared" si="61"/>
        <v>950</v>
      </c>
      <c r="I958" s="101">
        <f t="shared" si="58"/>
        <v>3</v>
      </c>
      <c r="J958" s="106">
        <f t="shared" si="59"/>
        <v>-0.2</v>
      </c>
      <c r="K958" s="106">
        <f t="shared" si="60"/>
        <v>10.000000000000391</v>
      </c>
    </row>
    <row r="959" spans="8:11" ht="17.45" customHeight="1" x14ac:dyDescent="0.3">
      <c r="H959" s="101">
        <f t="shared" si="61"/>
        <v>951</v>
      </c>
      <c r="I959" s="101">
        <f t="shared" si="58"/>
        <v>3</v>
      </c>
      <c r="J959" s="106">
        <f t="shared" si="59"/>
        <v>-0.2</v>
      </c>
      <c r="K959" s="106">
        <f t="shared" si="60"/>
        <v>9.8000000000003915</v>
      </c>
    </row>
    <row r="960" spans="8:11" ht="17.45" customHeight="1" x14ac:dyDescent="0.3">
      <c r="H960" s="101">
        <f t="shared" si="61"/>
        <v>952</v>
      </c>
      <c r="I960" s="101">
        <f t="shared" si="58"/>
        <v>3</v>
      </c>
      <c r="J960" s="106">
        <f t="shared" si="59"/>
        <v>-0.2</v>
      </c>
      <c r="K960" s="106">
        <f t="shared" si="60"/>
        <v>9.6000000000003922</v>
      </c>
    </row>
    <row r="961" spans="8:11" ht="17.45" customHeight="1" x14ac:dyDescent="0.3">
      <c r="H961" s="101">
        <f t="shared" si="61"/>
        <v>953</v>
      </c>
      <c r="I961" s="101">
        <f t="shared" si="58"/>
        <v>3</v>
      </c>
      <c r="J961" s="106">
        <f t="shared" si="59"/>
        <v>-0.2</v>
      </c>
      <c r="K961" s="106">
        <f t="shared" si="60"/>
        <v>9.4000000000003929</v>
      </c>
    </row>
    <row r="962" spans="8:11" ht="17.45" customHeight="1" x14ac:dyDescent="0.3">
      <c r="H962" s="101">
        <f t="shared" si="61"/>
        <v>954</v>
      </c>
      <c r="I962" s="101">
        <f t="shared" si="58"/>
        <v>3</v>
      </c>
      <c r="J962" s="106">
        <f t="shared" si="59"/>
        <v>-0.2</v>
      </c>
      <c r="K962" s="106">
        <f t="shared" si="60"/>
        <v>9.2000000000003936</v>
      </c>
    </row>
    <row r="963" spans="8:11" ht="17.45" customHeight="1" x14ac:dyDescent="0.3">
      <c r="H963" s="101">
        <f t="shared" si="61"/>
        <v>955</v>
      </c>
      <c r="I963" s="101">
        <f t="shared" si="58"/>
        <v>3</v>
      </c>
      <c r="J963" s="106">
        <f t="shared" si="59"/>
        <v>-0.2</v>
      </c>
      <c r="K963" s="106">
        <f t="shared" si="60"/>
        <v>9.0000000000003944</v>
      </c>
    </row>
    <row r="964" spans="8:11" ht="17.45" customHeight="1" x14ac:dyDescent="0.3">
      <c r="H964" s="101">
        <f t="shared" si="61"/>
        <v>956</v>
      </c>
      <c r="I964" s="101">
        <f t="shared" si="58"/>
        <v>3</v>
      </c>
      <c r="J964" s="106">
        <f t="shared" si="59"/>
        <v>-0.2</v>
      </c>
      <c r="K964" s="106">
        <f t="shared" si="60"/>
        <v>8.8000000000003951</v>
      </c>
    </row>
    <row r="965" spans="8:11" ht="17.45" customHeight="1" x14ac:dyDescent="0.3">
      <c r="H965" s="101">
        <f t="shared" si="61"/>
        <v>957</v>
      </c>
      <c r="I965" s="101">
        <f t="shared" si="58"/>
        <v>3</v>
      </c>
      <c r="J965" s="106">
        <f t="shared" si="59"/>
        <v>-0.2</v>
      </c>
      <c r="K965" s="106">
        <f t="shared" si="60"/>
        <v>8.6000000000003958</v>
      </c>
    </row>
    <row r="966" spans="8:11" ht="17.45" customHeight="1" x14ac:dyDescent="0.3">
      <c r="H966" s="101">
        <f t="shared" si="61"/>
        <v>958</v>
      </c>
      <c r="I966" s="101">
        <f t="shared" si="58"/>
        <v>3</v>
      </c>
      <c r="J966" s="106">
        <f t="shared" si="59"/>
        <v>-0.2</v>
      </c>
      <c r="K966" s="106">
        <f t="shared" si="60"/>
        <v>8.4000000000003965</v>
      </c>
    </row>
    <row r="967" spans="8:11" ht="17.45" customHeight="1" x14ac:dyDescent="0.3">
      <c r="H967" s="101">
        <f t="shared" si="61"/>
        <v>959</v>
      </c>
      <c r="I967" s="101">
        <f t="shared" si="58"/>
        <v>3</v>
      </c>
      <c r="J967" s="106">
        <f t="shared" si="59"/>
        <v>-0.2</v>
      </c>
      <c r="K967" s="106">
        <f t="shared" si="60"/>
        <v>8.2000000000003972</v>
      </c>
    </row>
    <row r="968" spans="8:11" ht="17.45" customHeight="1" x14ac:dyDescent="0.3">
      <c r="H968" s="101">
        <f t="shared" si="61"/>
        <v>960</v>
      </c>
      <c r="I968" s="101">
        <f t="shared" si="58"/>
        <v>3</v>
      </c>
      <c r="J968" s="106">
        <f t="shared" si="59"/>
        <v>-0.2</v>
      </c>
      <c r="K968" s="106">
        <f t="shared" si="60"/>
        <v>8.0000000000003979</v>
      </c>
    </row>
    <row r="969" spans="8:11" ht="17.45" customHeight="1" x14ac:dyDescent="0.3">
      <c r="H969" s="101">
        <f t="shared" si="61"/>
        <v>961</v>
      </c>
      <c r="I969" s="101">
        <f t="shared" ref="I969:I1032" si="62">MATCH(H969,$C$8:$C$13,1)</f>
        <v>3</v>
      </c>
      <c r="J969" s="106">
        <f t="shared" si="59"/>
        <v>-0.2</v>
      </c>
      <c r="K969" s="106">
        <f t="shared" si="60"/>
        <v>7.8000000000003977</v>
      </c>
    </row>
    <row r="970" spans="8:11" ht="17.45" customHeight="1" x14ac:dyDescent="0.3">
      <c r="H970" s="101">
        <f t="shared" si="61"/>
        <v>962</v>
      </c>
      <c r="I970" s="101">
        <f t="shared" si="62"/>
        <v>3</v>
      </c>
      <c r="J970" s="106">
        <f t="shared" ref="J970:J1033" si="63">INDEX($E$8:$E$13,I969)</f>
        <v>-0.2</v>
      </c>
      <c r="K970" s="106">
        <f t="shared" ref="K970:K1033" si="64">K969+J970</f>
        <v>7.6000000000003975</v>
      </c>
    </row>
    <row r="971" spans="8:11" ht="17.45" customHeight="1" x14ac:dyDescent="0.3">
      <c r="H971" s="101">
        <f t="shared" si="61"/>
        <v>963</v>
      </c>
      <c r="I971" s="101">
        <f t="shared" si="62"/>
        <v>3</v>
      </c>
      <c r="J971" s="106">
        <f t="shared" si="63"/>
        <v>-0.2</v>
      </c>
      <c r="K971" s="106">
        <f t="shared" si="64"/>
        <v>7.4000000000003974</v>
      </c>
    </row>
    <row r="972" spans="8:11" ht="17.45" customHeight="1" x14ac:dyDescent="0.3">
      <c r="H972" s="101">
        <f t="shared" si="61"/>
        <v>964</v>
      </c>
      <c r="I972" s="101">
        <f t="shared" si="62"/>
        <v>3</v>
      </c>
      <c r="J972" s="106">
        <f t="shared" si="63"/>
        <v>-0.2</v>
      </c>
      <c r="K972" s="106">
        <f t="shared" si="64"/>
        <v>7.2000000000003972</v>
      </c>
    </row>
    <row r="973" spans="8:11" ht="17.45" customHeight="1" x14ac:dyDescent="0.3">
      <c r="H973" s="101">
        <f t="shared" si="61"/>
        <v>965</v>
      </c>
      <c r="I973" s="101">
        <f t="shared" si="62"/>
        <v>3</v>
      </c>
      <c r="J973" s="106">
        <f t="shared" si="63"/>
        <v>-0.2</v>
      </c>
      <c r="K973" s="106">
        <f t="shared" si="64"/>
        <v>7.000000000000397</v>
      </c>
    </row>
    <row r="974" spans="8:11" ht="17.45" customHeight="1" x14ac:dyDescent="0.3">
      <c r="H974" s="101">
        <f t="shared" si="61"/>
        <v>966</v>
      </c>
      <c r="I974" s="101">
        <f t="shared" si="62"/>
        <v>3</v>
      </c>
      <c r="J974" s="106">
        <f t="shared" si="63"/>
        <v>-0.2</v>
      </c>
      <c r="K974" s="106">
        <f t="shared" si="64"/>
        <v>6.8000000000003968</v>
      </c>
    </row>
    <row r="975" spans="8:11" ht="17.45" customHeight="1" x14ac:dyDescent="0.3">
      <c r="H975" s="101">
        <f t="shared" si="61"/>
        <v>967</v>
      </c>
      <c r="I975" s="101">
        <f t="shared" si="62"/>
        <v>3</v>
      </c>
      <c r="J975" s="106">
        <f t="shared" si="63"/>
        <v>-0.2</v>
      </c>
      <c r="K975" s="106">
        <f t="shared" si="64"/>
        <v>6.6000000000003967</v>
      </c>
    </row>
    <row r="976" spans="8:11" ht="17.45" customHeight="1" x14ac:dyDescent="0.3">
      <c r="H976" s="101">
        <f t="shared" si="61"/>
        <v>968</v>
      </c>
      <c r="I976" s="101">
        <f t="shared" si="62"/>
        <v>3</v>
      </c>
      <c r="J976" s="106">
        <f t="shared" si="63"/>
        <v>-0.2</v>
      </c>
      <c r="K976" s="106">
        <f t="shared" si="64"/>
        <v>6.4000000000003965</v>
      </c>
    </row>
    <row r="977" spans="8:11" ht="17.45" customHeight="1" x14ac:dyDescent="0.3">
      <c r="H977" s="101">
        <f t="shared" si="61"/>
        <v>969</v>
      </c>
      <c r="I977" s="101">
        <f t="shared" si="62"/>
        <v>3</v>
      </c>
      <c r="J977" s="106">
        <f t="shared" si="63"/>
        <v>-0.2</v>
      </c>
      <c r="K977" s="106">
        <f t="shared" si="64"/>
        <v>6.2000000000003963</v>
      </c>
    </row>
    <row r="978" spans="8:11" ht="17.45" customHeight="1" x14ac:dyDescent="0.3">
      <c r="H978" s="101">
        <f t="shared" si="61"/>
        <v>970</v>
      </c>
      <c r="I978" s="101">
        <f t="shared" si="62"/>
        <v>3</v>
      </c>
      <c r="J978" s="106">
        <f t="shared" si="63"/>
        <v>-0.2</v>
      </c>
      <c r="K978" s="106">
        <f t="shared" si="64"/>
        <v>6.0000000000003961</v>
      </c>
    </row>
    <row r="979" spans="8:11" ht="17.45" customHeight="1" x14ac:dyDescent="0.3">
      <c r="H979" s="101">
        <f t="shared" si="61"/>
        <v>971</v>
      </c>
      <c r="I979" s="101">
        <f t="shared" si="62"/>
        <v>3</v>
      </c>
      <c r="J979" s="106">
        <f t="shared" si="63"/>
        <v>-0.2</v>
      </c>
      <c r="K979" s="106">
        <f t="shared" si="64"/>
        <v>5.8000000000003959</v>
      </c>
    </row>
    <row r="980" spans="8:11" ht="17.45" customHeight="1" x14ac:dyDescent="0.3">
      <c r="H980" s="101">
        <f t="shared" si="61"/>
        <v>972</v>
      </c>
      <c r="I980" s="101">
        <f t="shared" si="62"/>
        <v>3</v>
      </c>
      <c r="J980" s="106">
        <f t="shared" si="63"/>
        <v>-0.2</v>
      </c>
      <c r="K980" s="106">
        <f t="shared" si="64"/>
        <v>5.6000000000003958</v>
      </c>
    </row>
    <row r="981" spans="8:11" ht="17.45" customHeight="1" x14ac:dyDescent="0.3">
      <c r="H981" s="101">
        <f t="shared" si="61"/>
        <v>973</v>
      </c>
      <c r="I981" s="101">
        <f t="shared" si="62"/>
        <v>3</v>
      </c>
      <c r="J981" s="106">
        <f t="shared" si="63"/>
        <v>-0.2</v>
      </c>
      <c r="K981" s="106">
        <f t="shared" si="64"/>
        <v>5.4000000000003956</v>
      </c>
    </row>
    <row r="982" spans="8:11" ht="17.45" customHeight="1" x14ac:dyDescent="0.3">
      <c r="H982" s="101">
        <f t="shared" si="61"/>
        <v>974</v>
      </c>
      <c r="I982" s="101">
        <f t="shared" si="62"/>
        <v>3</v>
      </c>
      <c r="J982" s="106">
        <f t="shared" si="63"/>
        <v>-0.2</v>
      </c>
      <c r="K982" s="106">
        <f t="shared" si="64"/>
        <v>5.2000000000003954</v>
      </c>
    </row>
    <row r="983" spans="8:11" ht="17.45" customHeight="1" x14ac:dyDescent="0.3">
      <c r="H983" s="101">
        <f t="shared" ref="H983:H1046" si="65">H982+1</f>
        <v>975</v>
      </c>
      <c r="I983" s="101">
        <f t="shared" si="62"/>
        <v>3</v>
      </c>
      <c r="J983" s="106">
        <f t="shared" si="63"/>
        <v>-0.2</v>
      </c>
      <c r="K983" s="106">
        <f t="shared" si="64"/>
        <v>5.0000000000003952</v>
      </c>
    </row>
    <row r="984" spans="8:11" ht="17.45" customHeight="1" x14ac:dyDescent="0.3">
      <c r="H984" s="101">
        <f t="shared" si="65"/>
        <v>976</v>
      </c>
      <c r="I984" s="101">
        <f t="shared" si="62"/>
        <v>3</v>
      </c>
      <c r="J984" s="106">
        <f t="shared" si="63"/>
        <v>-0.2</v>
      </c>
      <c r="K984" s="106">
        <f t="shared" si="64"/>
        <v>4.8000000000003951</v>
      </c>
    </row>
    <row r="985" spans="8:11" ht="17.45" customHeight="1" x14ac:dyDescent="0.3">
      <c r="H985" s="101">
        <f t="shared" si="65"/>
        <v>977</v>
      </c>
      <c r="I985" s="101">
        <f t="shared" si="62"/>
        <v>3</v>
      </c>
      <c r="J985" s="106">
        <f t="shared" si="63"/>
        <v>-0.2</v>
      </c>
      <c r="K985" s="106">
        <f t="shared" si="64"/>
        <v>4.6000000000003949</v>
      </c>
    </row>
    <row r="986" spans="8:11" ht="17.45" customHeight="1" x14ac:dyDescent="0.3">
      <c r="H986" s="101">
        <f t="shared" si="65"/>
        <v>978</v>
      </c>
      <c r="I986" s="101">
        <f t="shared" si="62"/>
        <v>3</v>
      </c>
      <c r="J986" s="106">
        <f t="shared" si="63"/>
        <v>-0.2</v>
      </c>
      <c r="K986" s="106">
        <f t="shared" si="64"/>
        <v>4.4000000000003947</v>
      </c>
    </row>
    <row r="987" spans="8:11" ht="17.45" customHeight="1" x14ac:dyDescent="0.3">
      <c r="H987" s="101">
        <f t="shared" si="65"/>
        <v>979</v>
      </c>
      <c r="I987" s="101">
        <f t="shared" si="62"/>
        <v>3</v>
      </c>
      <c r="J987" s="106">
        <f t="shared" si="63"/>
        <v>-0.2</v>
      </c>
      <c r="K987" s="106">
        <f t="shared" si="64"/>
        <v>4.2000000000003945</v>
      </c>
    </row>
    <row r="988" spans="8:11" ht="17.45" customHeight="1" x14ac:dyDescent="0.3">
      <c r="H988" s="101">
        <f t="shared" si="65"/>
        <v>980</v>
      </c>
      <c r="I988" s="101">
        <f t="shared" si="62"/>
        <v>3</v>
      </c>
      <c r="J988" s="106">
        <f t="shared" si="63"/>
        <v>-0.2</v>
      </c>
      <c r="K988" s="106">
        <f t="shared" si="64"/>
        <v>4.0000000000003944</v>
      </c>
    </row>
    <row r="989" spans="8:11" ht="17.45" customHeight="1" x14ac:dyDescent="0.3">
      <c r="H989" s="101">
        <f t="shared" si="65"/>
        <v>981</v>
      </c>
      <c r="I989" s="101">
        <f t="shared" si="62"/>
        <v>3</v>
      </c>
      <c r="J989" s="106">
        <f t="shared" si="63"/>
        <v>-0.2</v>
      </c>
      <c r="K989" s="106">
        <f t="shared" si="64"/>
        <v>3.8000000000003942</v>
      </c>
    </row>
    <row r="990" spans="8:11" ht="17.45" customHeight="1" x14ac:dyDescent="0.3">
      <c r="H990" s="101">
        <f t="shared" si="65"/>
        <v>982</v>
      </c>
      <c r="I990" s="101">
        <f t="shared" si="62"/>
        <v>3</v>
      </c>
      <c r="J990" s="106">
        <f t="shared" si="63"/>
        <v>-0.2</v>
      </c>
      <c r="K990" s="106">
        <f t="shared" si="64"/>
        <v>3.600000000000394</v>
      </c>
    </row>
    <row r="991" spans="8:11" ht="17.45" customHeight="1" x14ac:dyDescent="0.3">
      <c r="H991" s="101">
        <f t="shared" si="65"/>
        <v>983</v>
      </c>
      <c r="I991" s="101">
        <f t="shared" si="62"/>
        <v>3</v>
      </c>
      <c r="J991" s="106">
        <f t="shared" si="63"/>
        <v>-0.2</v>
      </c>
      <c r="K991" s="106">
        <f t="shared" si="64"/>
        <v>3.4000000000003938</v>
      </c>
    </row>
    <row r="992" spans="8:11" ht="17.45" customHeight="1" x14ac:dyDescent="0.3">
      <c r="H992" s="101">
        <f t="shared" si="65"/>
        <v>984</v>
      </c>
      <c r="I992" s="101">
        <f t="shared" si="62"/>
        <v>3</v>
      </c>
      <c r="J992" s="106">
        <f t="shared" si="63"/>
        <v>-0.2</v>
      </c>
      <c r="K992" s="106">
        <f t="shared" si="64"/>
        <v>3.2000000000003936</v>
      </c>
    </row>
    <row r="993" spans="8:11" ht="17.45" customHeight="1" x14ac:dyDescent="0.3">
      <c r="H993" s="101">
        <f t="shared" si="65"/>
        <v>985</v>
      </c>
      <c r="I993" s="101">
        <f t="shared" si="62"/>
        <v>3</v>
      </c>
      <c r="J993" s="106">
        <f t="shared" si="63"/>
        <v>-0.2</v>
      </c>
      <c r="K993" s="106">
        <f t="shared" si="64"/>
        <v>3.0000000000003935</v>
      </c>
    </row>
    <row r="994" spans="8:11" ht="17.45" customHeight="1" x14ac:dyDescent="0.3">
      <c r="H994" s="101">
        <f t="shared" si="65"/>
        <v>986</v>
      </c>
      <c r="I994" s="101">
        <f t="shared" si="62"/>
        <v>3</v>
      </c>
      <c r="J994" s="106">
        <f t="shared" si="63"/>
        <v>-0.2</v>
      </c>
      <c r="K994" s="106">
        <f t="shared" si="64"/>
        <v>2.8000000000003933</v>
      </c>
    </row>
    <row r="995" spans="8:11" ht="17.45" customHeight="1" x14ac:dyDescent="0.3">
      <c r="H995" s="101">
        <f t="shared" si="65"/>
        <v>987</v>
      </c>
      <c r="I995" s="101">
        <f t="shared" si="62"/>
        <v>3</v>
      </c>
      <c r="J995" s="106">
        <f t="shared" si="63"/>
        <v>-0.2</v>
      </c>
      <c r="K995" s="106">
        <f t="shared" si="64"/>
        <v>2.6000000000003931</v>
      </c>
    </row>
    <row r="996" spans="8:11" ht="17.45" customHeight="1" x14ac:dyDescent="0.3">
      <c r="H996" s="101">
        <f t="shared" si="65"/>
        <v>988</v>
      </c>
      <c r="I996" s="101">
        <f t="shared" si="62"/>
        <v>3</v>
      </c>
      <c r="J996" s="106">
        <f t="shared" si="63"/>
        <v>-0.2</v>
      </c>
      <c r="K996" s="106">
        <f t="shared" si="64"/>
        <v>2.4000000000003929</v>
      </c>
    </row>
    <row r="997" spans="8:11" ht="17.45" customHeight="1" x14ac:dyDescent="0.3">
      <c r="H997" s="101">
        <f t="shared" si="65"/>
        <v>989</v>
      </c>
      <c r="I997" s="101">
        <f t="shared" si="62"/>
        <v>3</v>
      </c>
      <c r="J997" s="106">
        <f t="shared" si="63"/>
        <v>-0.2</v>
      </c>
      <c r="K997" s="106">
        <f t="shared" si="64"/>
        <v>2.2000000000003928</v>
      </c>
    </row>
    <row r="998" spans="8:11" ht="17.45" customHeight="1" x14ac:dyDescent="0.3">
      <c r="H998" s="101">
        <f t="shared" si="65"/>
        <v>990</v>
      </c>
      <c r="I998" s="101">
        <f t="shared" si="62"/>
        <v>3</v>
      </c>
      <c r="J998" s="106">
        <f t="shared" si="63"/>
        <v>-0.2</v>
      </c>
      <c r="K998" s="106">
        <f t="shared" si="64"/>
        <v>2.0000000000003926</v>
      </c>
    </row>
    <row r="999" spans="8:11" ht="17.45" customHeight="1" x14ac:dyDescent="0.3">
      <c r="H999" s="101">
        <f t="shared" si="65"/>
        <v>991</v>
      </c>
      <c r="I999" s="101">
        <f t="shared" si="62"/>
        <v>3</v>
      </c>
      <c r="J999" s="106">
        <f t="shared" si="63"/>
        <v>-0.2</v>
      </c>
      <c r="K999" s="106">
        <f t="shared" si="64"/>
        <v>1.8000000000003926</v>
      </c>
    </row>
    <row r="1000" spans="8:11" ht="17.45" customHeight="1" x14ac:dyDescent="0.3">
      <c r="H1000" s="101">
        <f t="shared" si="65"/>
        <v>992</v>
      </c>
      <c r="I1000" s="101">
        <f t="shared" si="62"/>
        <v>3</v>
      </c>
      <c r="J1000" s="106">
        <f t="shared" si="63"/>
        <v>-0.2</v>
      </c>
      <c r="K1000" s="106">
        <f t="shared" si="64"/>
        <v>1.6000000000003927</v>
      </c>
    </row>
    <row r="1001" spans="8:11" ht="17.45" customHeight="1" x14ac:dyDescent="0.3">
      <c r="H1001" s="101">
        <f t="shared" si="65"/>
        <v>993</v>
      </c>
      <c r="I1001" s="101">
        <f t="shared" si="62"/>
        <v>3</v>
      </c>
      <c r="J1001" s="106">
        <f t="shared" si="63"/>
        <v>-0.2</v>
      </c>
      <c r="K1001" s="106">
        <f t="shared" si="64"/>
        <v>1.4000000000003927</v>
      </c>
    </row>
    <row r="1002" spans="8:11" ht="17.45" customHeight="1" x14ac:dyDescent="0.3">
      <c r="H1002" s="101">
        <f t="shared" si="65"/>
        <v>994</v>
      </c>
      <c r="I1002" s="101">
        <f t="shared" si="62"/>
        <v>3</v>
      </c>
      <c r="J1002" s="106">
        <f t="shared" si="63"/>
        <v>-0.2</v>
      </c>
      <c r="K1002" s="106">
        <f t="shared" si="64"/>
        <v>1.2000000000003928</v>
      </c>
    </row>
    <row r="1003" spans="8:11" ht="17.45" customHeight="1" x14ac:dyDescent="0.3">
      <c r="H1003" s="101">
        <f t="shared" si="65"/>
        <v>995</v>
      </c>
      <c r="I1003" s="101">
        <f t="shared" si="62"/>
        <v>3</v>
      </c>
      <c r="J1003" s="106">
        <f t="shared" si="63"/>
        <v>-0.2</v>
      </c>
      <c r="K1003" s="106">
        <f t="shared" si="64"/>
        <v>1.0000000000003928</v>
      </c>
    </row>
    <row r="1004" spans="8:11" ht="17.45" customHeight="1" x14ac:dyDescent="0.3">
      <c r="H1004" s="101">
        <f t="shared" si="65"/>
        <v>996</v>
      </c>
      <c r="I1004" s="101">
        <f t="shared" si="62"/>
        <v>3</v>
      </c>
      <c r="J1004" s="106">
        <f t="shared" si="63"/>
        <v>-0.2</v>
      </c>
      <c r="K1004" s="106">
        <f t="shared" si="64"/>
        <v>0.80000000000039284</v>
      </c>
    </row>
    <row r="1005" spans="8:11" ht="17.45" customHeight="1" x14ac:dyDescent="0.3">
      <c r="H1005" s="101">
        <f t="shared" si="65"/>
        <v>997</v>
      </c>
      <c r="I1005" s="101">
        <f t="shared" si="62"/>
        <v>3</v>
      </c>
      <c r="J1005" s="106">
        <f t="shared" si="63"/>
        <v>-0.2</v>
      </c>
      <c r="K1005" s="106">
        <f t="shared" si="64"/>
        <v>0.60000000000039289</v>
      </c>
    </row>
    <row r="1006" spans="8:11" ht="17.45" customHeight="1" x14ac:dyDescent="0.3">
      <c r="H1006" s="101">
        <f t="shared" si="65"/>
        <v>998</v>
      </c>
      <c r="I1006" s="101">
        <f t="shared" si="62"/>
        <v>3</v>
      </c>
      <c r="J1006" s="106">
        <f t="shared" si="63"/>
        <v>-0.2</v>
      </c>
      <c r="K1006" s="106">
        <f t="shared" si="64"/>
        <v>0.40000000000039287</v>
      </c>
    </row>
    <row r="1007" spans="8:11" ht="17.45" customHeight="1" x14ac:dyDescent="0.3">
      <c r="H1007" s="101">
        <f t="shared" si="65"/>
        <v>999</v>
      </c>
      <c r="I1007" s="101">
        <f t="shared" si="62"/>
        <v>3</v>
      </c>
      <c r="J1007" s="106">
        <f t="shared" si="63"/>
        <v>-0.2</v>
      </c>
      <c r="K1007" s="106">
        <f t="shared" si="64"/>
        <v>0.20000000000039286</v>
      </c>
    </row>
    <row r="1008" spans="8:11" ht="17.45" customHeight="1" x14ac:dyDescent="0.3">
      <c r="H1008" s="101">
        <f t="shared" si="65"/>
        <v>1000</v>
      </c>
      <c r="I1008" s="101">
        <f t="shared" si="62"/>
        <v>4</v>
      </c>
      <c r="J1008" s="106">
        <f t="shared" si="63"/>
        <v>-0.2</v>
      </c>
      <c r="K1008" s="106">
        <f t="shared" si="64"/>
        <v>3.9285241726361164E-13</v>
      </c>
    </row>
    <row r="1009" spans="8:11" ht="17.45" customHeight="1" x14ac:dyDescent="0.3">
      <c r="H1009" s="101">
        <f t="shared" si="65"/>
        <v>1001</v>
      </c>
      <c r="I1009" s="101">
        <f t="shared" si="62"/>
        <v>4</v>
      </c>
      <c r="J1009" s="106">
        <f t="shared" si="63"/>
        <v>-0.75</v>
      </c>
      <c r="K1009" s="106">
        <f t="shared" si="64"/>
        <v>-0.7499999999996072</v>
      </c>
    </row>
    <row r="1010" spans="8:11" ht="17.45" customHeight="1" x14ac:dyDescent="0.3">
      <c r="H1010" s="101">
        <f t="shared" si="65"/>
        <v>1002</v>
      </c>
      <c r="I1010" s="101">
        <f t="shared" si="62"/>
        <v>4</v>
      </c>
      <c r="J1010" s="106">
        <f t="shared" si="63"/>
        <v>-0.75</v>
      </c>
      <c r="K1010" s="106">
        <f t="shared" si="64"/>
        <v>-1.4999999999996072</v>
      </c>
    </row>
    <row r="1011" spans="8:11" ht="17.45" customHeight="1" x14ac:dyDescent="0.3">
      <c r="H1011" s="101">
        <f t="shared" si="65"/>
        <v>1003</v>
      </c>
      <c r="I1011" s="101">
        <f t="shared" si="62"/>
        <v>4</v>
      </c>
      <c r="J1011" s="106">
        <f t="shared" si="63"/>
        <v>-0.75</v>
      </c>
      <c r="K1011" s="106">
        <f t="shared" si="64"/>
        <v>-2.2499999999996074</v>
      </c>
    </row>
    <row r="1012" spans="8:11" ht="17.45" customHeight="1" x14ac:dyDescent="0.3">
      <c r="H1012" s="101">
        <f t="shared" si="65"/>
        <v>1004</v>
      </c>
      <c r="I1012" s="101">
        <f t="shared" si="62"/>
        <v>4</v>
      </c>
      <c r="J1012" s="106">
        <f t="shared" si="63"/>
        <v>-0.75</v>
      </c>
      <c r="K1012" s="106">
        <f t="shared" si="64"/>
        <v>-2.9999999999996074</v>
      </c>
    </row>
    <row r="1013" spans="8:11" ht="17.45" customHeight="1" x14ac:dyDescent="0.3">
      <c r="H1013" s="101">
        <f t="shared" si="65"/>
        <v>1005</v>
      </c>
      <c r="I1013" s="101">
        <f t="shared" si="62"/>
        <v>4</v>
      </c>
      <c r="J1013" s="106">
        <f t="shared" si="63"/>
        <v>-0.75</v>
      </c>
      <c r="K1013" s="106">
        <f t="shared" si="64"/>
        <v>-3.7499999999996074</v>
      </c>
    </row>
    <row r="1014" spans="8:11" ht="17.45" customHeight="1" x14ac:dyDescent="0.3">
      <c r="H1014" s="101">
        <f t="shared" si="65"/>
        <v>1006</v>
      </c>
      <c r="I1014" s="101">
        <f t="shared" si="62"/>
        <v>4</v>
      </c>
      <c r="J1014" s="106">
        <f t="shared" si="63"/>
        <v>-0.75</v>
      </c>
      <c r="K1014" s="106">
        <f t="shared" si="64"/>
        <v>-4.4999999999996074</v>
      </c>
    </row>
    <row r="1015" spans="8:11" ht="17.45" customHeight="1" x14ac:dyDescent="0.3">
      <c r="H1015" s="101">
        <f t="shared" si="65"/>
        <v>1007</v>
      </c>
      <c r="I1015" s="101">
        <f t="shared" si="62"/>
        <v>4</v>
      </c>
      <c r="J1015" s="106">
        <f t="shared" si="63"/>
        <v>-0.75</v>
      </c>
      <c r="K1015" s="106">
        <f t="shared" si="64"/>
        <v>-5.2499999999996074</v>
      </c>
    </row>
    <row r="1016" spans="8:11" ht="17.45" customHeight="1" x14ac:dyDescent="0.3">
      <c r="H1016" s="101">
        <f t="shared" si="65"/>
        <v>1008</v>
      </c>
      <c r="I1016" s="101">
        <f t="shared" si="62"/>
        <v>4</v>
      </c>
      <c r="J1016" s="106">
        <f t="shared" si="63"/>
        <v>-0.75</v>
      </c>
      <c r="K1016" s="106">
        <f t="shared" si="64"/>
        <v>-5.9999999999996074</v>
      </c>
    </row>
    <row r="1017" spans="8:11" ht="17.45" customHeight="1" x14ac:dyDescent="0.3">
      <c r="H1017" s="101">
        <f t="shared" si="65"/>
        <v>1009</v>
      </c>
      <c r="I1017" s="101">
        <f t="shared" si="62"/>
        <v>4</v>
      </c>
      <c r="J1017" s="106">
        <f t="shared" si="63"/>
        <v>-0.75</v>
      </c>
      <c r="K1017" s="106">
        <f t="shared" si="64"/>
        <v>-6.7499999999996074</v>
      </c>
    </row>
    <row r="1018" spans="8:11" ht="17.45" customHeight="1" x14ac:dyDescent="0.3">
      <c r="H1018" s="101">
        <f t="shared" si="65"/>
        <v>1010</v>
      </c>
      <c r="I1018" s="101">
        <f t="shared" si="62"/>
        <v>4</v>
      </c>
      <c r="J1018" s="106">
        <f t="shared" si="63"/>
        <v>-0.75</v>
      </c>
      <c r="K1018" s="106">
        <f t="shared" si="64"/>
        <v>-7.4999999999996074</v>
      </c>
    </row>
    <row r="1019" spans="8:11" ht="17.45" customHeight="1" x14ac:dyDescent="0.3">
      <c r="H1019" s="101">
        <f t="shared" si="65"/>
        <v>1011</v>
      </c>
      <c r="I1019" s="101">
        <f t="shared" si="62"/>
        <v>4</v>
      </c>
      <c r="J1019" s="106">
        <f t="shared" si="63"/>
        <v>-0.75</v>
      </c>
      <c r="K1019" s="106">
        <f t="shared" si="64"/>
        <v>-8.2499999999996074</v>
      </c>
    </row>
    <row r="1020" spans="8:11" ht="17.45" customHeight="1" x14ac:dyDescent="0.3">
      <c r="H1020" s="101">
        <f t="shared" si="65"/>
        <v>1012</v>
      </c>
      <c r="I1020" s="101">
        <f t="shared" si="62"/>
        <v>4</v>
      </c>
      <c r="J1020" s="106">
        <f t="shared" si="63"/>
        <v>-0.75</v>
      </c>
      <c r="K1020" s="106">
        <f t="shared" si="64"/>
        <v>-8.9999999999996074</v>
      </c>
    </row>
    <row r="1021" spans="8:11" ht="17.45" customHeight="1" x14ac:dyDescent="0.3">
      <c r="H1021" s="101">
        <f t="shared" si="65"/>
        <v>1013</v>
      </c>
      <c r="I1021" s="101">
        <f t="shared" si="62"/>
        <v>4</v>
      </c>
      <c r="J1021" s="106">
        <f t="shared" si="63"/>
        <v>-0.75</v>
      </c>
      <c r="K1021" s="106">
        <f t="shared" si="64"/>
        <v>-9.7499999999996074</v>
      </c>
    </row>
    <row r="1022" spans="8:11" ht="17.45" customHeight="1" x14ac:dyDescent="0.3">
      <c r="H1022" s="101">
        <f t="shared" si="65"/>
        <v>1014</v>
      </c>
      <c r="I1022" s="101">
        <f t="shared" si="62"/>
        <v>4</v>
      </c>
      <c r="J1022" s="106">
        <f t="shared" si="63"/>
        <v>-0.75</v>
      </c>
      <c r="K1022" s="106">
        <f t="shared" si="64"/>
        <v>-10.499999999999607</v>
      </c>
    </row>
    <row r="1023" spans="8:11" ht="17.45" customHeight="1" x14ac:dyDescent="0.3">
      <c r="H1023" s="101">
        <f t="shared" si="65"/>
        <v>1015</v>
      </c>
      <c r="I1023" s="101">
        <f t="shared" si="62"/>
        <v>4</v>
      </c>
      <c r="J1023" s="106">
        <f t="shared" si="63"/>
        <v>-0.75</v>
      </c>
      <c r="K1023" s="106">
        <f t="shared" si="64"/>
        <v>-11.249999999999607</v>
      </c>
    </row>
    <row r="1024" spans="8:11" ht="17.45" customHeight="1" x14ac:dyDescent="0.3">
      <c r="H1024" s="101">
        <f t="shared" si="65"/>
        <v>1016</v>
      </c>
      <c r="I1024" s="101">
        <f t="shared" si="62"/>
        <v>4</v>
      </c>
      <c r="J1024" s="106">
        <f t="shared" si="63"/>
        <v>-0.75</v>
      </c>
      <c r="K1024" s="106">
        <f t="shared" si="64"/>
        <v>-11.999999999999607</v>
      </c>
    </row>
    <row r="1025" spans="8:11" ht="17.45" customHeight="1" x14ac:dyDescent="0.3">
      <c r="H1025" s="101">
        <f t="shared" si="65"/>
        <v>1017</v>
      </c>
      <c r="I1025" s="101">
        <f t="shared" si="62"/>
        <v>4</v>
      </c>
      <c r="J1025" s="106">
        <f t="shared" si="63"/>
        <v>-0.75</v>
      </c>
      <c r="K1025" s="106">
        <f t="shared" si="64"/>
        <v>-12.749999999999607</v>
      </c>
    </row>
    <row r="1026" spans="8:11" ht="17.45" customHeight="1" x14ac:dyDescent="0.3">
      <c r="H1026" s="101">
        <f t="shared" si="65"/>
        <v>1018</v>
      </c>
      <c r="I1026" s="101">
        <f t="shared" si="62"/>
        <v>4</v>
      </c>
      <c r="J1026" s="106">
        <f t="shared" si="63"/>
        <v>-0.75</v>
      </c>
      <c r="K1026" s="106">
        <f t="shared" si="64"/>
        <v>-13.499999999999607</v>
      </c>
    </row>
    <row r="1027" spans="8:11" ht="17.45" customHeight="1" x14ac:dyDescent="0.3">
      <c r="H1027" s="101">
        <f t="shared" si="65"/>
        <v>1019</v>
      </c>
      <c r="I1027" s="101">
        <f t="shared" si="62"/>
        <v>4</v>
      </c>
      <c r="J1027" s="106">
        <f t="shared" si="63"/>
        <v>-0.75</v>
      </c>
      <c r="K1027" s="106">
        <f t="shared" si="64"/>
        <v>-14.249999999999607</v>
      </c>
    </row>
    <row r="1028" spans="8:11" ht="17.45" customHeight="1" x14ac:dyDescent="0.3">
      <c r="H1028" s="101">
        <f t="shared" si="65"/>
        <v>1020</v>
      </c>
      <c r="I1028" s="101">
        <f t="shared" si="62"/>
        <v>4</v>
      </c>
      <c r="J1028" s="106">
        <f t="shared" si="63"/>
        <v>-0.75</v>
      </c>
      <c r="K1028" s="106">
        <f t="shared" si="64"/>
        <v>-14.999999999999607</v>
      </c>
    </row>
    <row r="1029" spans="8:11" ht="17.45" customHeight="1" x14ac:dyDescent="0.3">
      <c r="H1029" s="101">
        <f t="shared" si="65"/>
        <v>1021</v>
      </c>
      <c r="I1029" s="101">
        <f t="shared" si="62"/>
        <v>4</v>
      </c>
      <c r="J1029" s="106">
        <f t="shared" si="63"/>
        <v>-0.75</v>
      </c>
      <c r="K1029" s="106">
        <f t="shared" si="64"/>
        <v>-15.749999999999607</v>
      </c>
    </row>
    <row r="1030" spans="8:11" ht="17.45" customHeight="1" x14ac:dyDescent="0.3">
      <c r="H1030" s="101">
        <f t="shared" si="65"/>
        <v>1022</v>
      </c>
      <c r="I1030" s="101">
        <f t="shared" si="62"/>
        <v>4</v>
      </c>
      <c r="J1030" s="106">
        <f t="shared" si="63"/>
        <v>-0.75</v>
      </c>
      <c r="K1030" s="106">
        <f t="shared" si="64"/>
        <v>-16.499999999999609</v>
      </c>
    </row>
    <row r="1031" spans="8:11" ht="17.45" customHeight="1" x14ac:dyDescent="0.3">
      <c r="H1031" s="101">
        <f t="shared" si="65"/>
        <v>1023</v>
      </c>
      <c r="I1031" s="101">
        <f t="shared" si="62"/>
        <v>4</v>
      </c>
      <c r="J1031" s="106">
        <f t="shared" si="63"/>
        <v>-0.75</v>
      </c>
      <c r="K1031" s="106">
        <f t="shared" si="64"/>
        <v>-17.249999999999609</v>
      </c>
    </row>
    <row r="1032" spans="8:11" ht="17.45" customHeight="1" x14ac:dyDescent="0.3">
      <c r="H1032" s="101">
        <f t="shared" si="65"/>
        <v>1024</v>
      </c>
      <c r="I1032" s="101">
        <f t="shared" si="62"/>
        <v>4</v>
      </c>
      <c r="J1032" s="106">
        <f t="shared" si="63"/>
        <v>-0.75</v>
      </c>
      <c r="K1032" s="106">
        <f t="shared" si="64"/>
        <v>-17.999999999999609</v>
      </c>
    </row>
    <row r="1033" spans="8:11" ht="17.45" customHeight="1" x14ac:dyDescent="0.3">
      <c r="H1033" s="101">
        <f t="shared" si="65"/>
        <v>1025</v>
      </c>
      <c r="I1033" s="101">
        <f t="shared" ref="I1033:I1096" si="66">MATCH(H1033,$C$8:$C$13,1)</f>
        <v>4</v>
      </c>
      <c r="J1033" s="106">
        <f t="shared" si="63"/>
        <v>-0.75</v>
      </c>
      <c r="K1033" s="106">
        <f t="shared" si="64"/>
        <v>-18.749999999999609</v>
      </c>
    </row>
    <row r="1034" spans="8:11" ht="17.45" customHeight="1" x14ac:dyDescent="0.3">
      <c r="H1034" s="101">
        <f t="shared" si="65"/>
        <v>1026</v>
      </c>
      <c r="I1034" s="101">
        <f t="shared" si="66"/>
        <v>4</v>
      </c>
      <c r="J1034" s="106">
        <f t="shared" ref="J1034:J1097" si="67">INDEX($E$8:$E$13,I1033)</f>
        <v>-0.75</v>
      </c>
      <c r="K1034" s="106">
        <f t="shared" ref="K1034:K1097" si="68">K1033+J1034</f>
        <v>-19.499999999999609</v>
      </c>
    </row>
    <row r="1035" spans="8:11" ht="17.45" customHeight="1" x14ac:dyDescent="0.3">
      <c r="H1035" s="101">
        <f t="shared" si="65"/>
        <v>1027</v>
      </c>
      <c r="I1035" s="101">
        <f t="shared" si="66"/>
        <v>4</v>
      </c>
      <c r="J1035" s="106">
        <f t="shared" si="67"/>
        <v>-0.75</v>
      </c>
      <c r="K1035" s="106">
        <f t="shared" si="68"/>
        <v>-20.249999999999609</v>
      </c>
    </row>
    <row r="1036" spans="8:11" ht="17.45" customHeight="1" x14ac:dyDescent="0.3">
      <c r="H1036" s="101">
        <f t="shared" si="65"/>
        <v>1028</v>
      </c>
      <c r="I1036" s="101">
        <f t="shared" si="66"/>
        <v>4</v>
      </c>
      <c r="J1036" s="106">
        <f t="shared" si="67"/>
        <v>-0.75</v>
      </c>
      <c r="K1036" s="106">
        <f t="shared" si="68"/>
        <v>-20.999999999999609</v>
      </c>
    </row>
    <row r="1037" spans="8:11" ht="17.45" customHeight="1" x14ac:dyDescent="0.3">
      <c r="H1037" s="101">
        <f t="shared" si="65"/>
        <v>1029</v>
      </c>
      <c r="I1037" s="101">
        <f t="shared" si="66"/>
        <v>4</v>
      </c>
      <c r="J1037" s="106">
        <f t="shared" si="67"/>
        <v>-0.75</v>
      </c>
      <c r="K1037" s="106">
        <f t="shared" si="68"/>
        <v>-21.749999999999609</v>
      </c>
    </row>
    <row r="1038" spans="8:11" ht="17.45" customHeight="1" x14ac:dyDescent="0.3">
      <c r="H1038" s="101">
        <f t="shared" si="65"/>
        <v>1030</v>
      </c>
      <c r="I1038" s="101">
        <f t="shared" si="66"/>
        <v>4</v>
      </c>
      <c r="J1038" s="106">
        <f t="shared" si="67"/>
        <v>-0.75</v>
      </c>
      <c r="K1038" s="106">
        <f t="shared" si="68"/>
        <v>-22.499999999999609</v>
      </c>
    </row>
    <row r="1039" spans="8:11" ht="17.45" customHeight="1" x14ac:dyDescent="0.3">
      <c r="H1039" s="101">
        <f t="shared" si="65"/>
        <v>1031</v>
      </c>
      <c r="I1039" s="101">
        <f t="shared" si="66"/>
        <v>4</v>
      </c>
      <c r="J1039" s="106">
        <f t="shared" si="67"/>
        <v>-0.75</v>
      </c>
      <c r="K1039" s="106">
        <f t="shared" si="68"/>
        <v>-23.249999999999609</v>
      </c>
    </row>
    <row r="1040" spans="8:11" ht="17.45" customHeight="1" x14ac:dyDescent="0.3">
      <c r="H1040" s="101">
        <f t="shared" si="65"/>
        <v>1032</v>
      </c>
      <c r="I1040" s="101">
        <f t="shared" si="66"/>
        <v>4</v>
      </c>
      <c r="J1040" s="106">
        <f t="shared" si="67"/>
        <v>-0.75</v>
      </c>
      <c r="K1040" s="106">
        <f t="shared" si="68"/>
        <v>-23.999999999999609</v>
      </c>
    </row>
    <row r="1041" spans="8:11" ht="17.45" customHeight="1" x14ac:dyDescent="0.3">
      <c r="H1041" s="101">
        <f t="shared" si="65"/>
        <v>1033</v>
      </c>
      <c r="I1041" s="101">
        <f t="shared" si="66"/>
        <v>4</v>
      </c>
      <c r="J1041" s="106">
        <f t="shared" si="67"/>
        <v>-0.75</v>
      </c>
      <c r="K1041" s="106">
        <f t="shared" si="68"/>
        <v>-24.749999999999609</v>
      </c>
    </row>
    <row r="1042" spans="8:11" ht="17.45" customHeight="1" x14ac:dyDescent="0.3">
      <c r="H1042" s="101">
        <f t="shared" si="65"/>
        <v>1034</v>
      </c>
      <c r="I1042" s="101">
        <f t="shared" si="66"/>
        <v>4</v>
      </c>
      <c r="J1042" s="106">
        <f t="shared" si="67"/>
        <v>-0.75</v>
      </c>
      <c r="K1042" s="106">
        <f t="shared" si="68"/>
        <v>-25.499999999999609</v>
      </c>
    </row>
    <row r="1043" spans="8:11" ht="17.45" customHeight="1" x14ac:dyDescent="0.3">
      <c r="H1043" s="101">
        <f t="shared" si="65"/>
        <v>1035</v>
      </c>
      <c r="I1043" s="101">
        <f t="shared" si="66"/>
        <v>4</v>
      </c>
      <c r="J1043" s="106">
        <f t="shared" si="67"/>
        <v>-0.75</v>
      </c>
      <c r="K1043" s="106">
        <f t="shared" si="68"/>
        <v>-26.249999999999609</v>
      </c>
    </row>
    <row r="1044" spans="8:11" ht="17.45" customHeight="1" x14ac:dyDescent="0.3">
      <c r="H1044" s="101">
        <f t="shared" si="65"/>
        <v>1036</v>
      </c>
      <c r="I1044" s="101">
        <f t="shared" si="66"/>
        <v>4</v>
      </c>
      <c r="J1044" s="106">
        <f t="shared" si="67"/>
        <v>-0.75</v>
      </c>
      <c r="K1044" s="106">
        <f t="shared" si="68"/>
        <v>-26.999999999999609</v>
      </c>
    </row>
    <row r="1045" spans="8:11" ht="17.45" customHeight="1" x14ac:dyDescent="0.3">
      <c r="H1045" s="101">
        <f t="shared" si="65"/>
        <v>1037</v>
      </c>
      <c r="I1045" s="101">
        <f t="shared" si="66"/>
        <v>4</v>
      </c>
      <c r="J1045" s="106">
        <f t="shared" si="67"/>
        <v>-0.75</v>
      </c>
      <c r="K1045" s="106">
        <f t="shared" si="68"/>
        <v>-27.749999999999609</v>
      </c>
    </row>
    <row r="1046" spans="8:11" ht="17.45" customHeight="1" x14ac:dyDescent="0.3">
      <c r="H1046" s="101">
        <f t="shared" si="65"/>
        <v>1038</v>
      </c>
      <c r="I1046" s="101">
        <f t="shared" si="66"/>
        <v>4</v>
      </c>
      <c r="J1046" s="106">
        <f t="shared" si="67"/>
        <v>-0.75</v>
      </c>
      <c r="K1046" s="106">
        <f t="shared" si="68"/>
        <v>-28.499999999999609</v>
      </c>
    </row>
    <row r="1047" spans="8:11" ht="17.45" customHeight="1" x14ac:dyDescent="0.3">
      <c r="H1047" s="101">
        <f t="shared" ref="H1047:H1110" si="69">H1046+1</f>
        <v>1039</v>
      </c>
      <c r="I1047" s="101">
        <f t="shared" si="66"/>
        <v>4</v>
      </c>
      <c r="J1047" s="106">
        <f t="shared" si="67"/>
        <v>-0.75</v>
      </c>
      <c r="K1047" s="106">
        <f t="shared" si="68"/>
        <v>-29.249999999999609</v>
      </c>
    </row>
    <row r="1048" spans="8:11" ht="17.45" customHeight="1" x14ac:dyDescent="0.3">
      <c r="H1048" s="101">
        <f t="shared" si="69"/>
        <v>1040</v>
      </c>
      <c r="I1048" s="101">
        <f t="shared" si="66"/>
        <v>4</v>
      </c>
      <c r="J1048" s="106">
        <f t="shared" si="67"/>
        <v>-0.75</v>
      </c>
      <c r="K1048" s="106">
        <f t="shared" si="68"/>
        <v>-29.999999999999609</v>
      </c>
    </row>
    <row r="1049" spans="8:11" ht="17.45" customHeight="1" x14ac:dyDescent="0.3">
      <c r="H1049" s="101">
        <f t="shared" si="69"/>
        <v>1041</v>
      </c>
      <c r="I1049" s="101">
        <f t="shared" si="66"/>
        <v>4</v>
      </c>
      <c r="J1049" s="106">
        <f t="shared" si="67"/>
        <v>-0.75</v>
      </c>
      <c r="K1049" s="106">
        <f t="shared" si="68"/>
        <v>-30.749999999999609</v>
      </c>
    </row>
    <row r="1050" spans="8:11" ht="17.45" customHeight="1" x14ac:dyDescent="0.3">
      <c r="H1050" s="101">
        <f t="shared" si="69"/>
        <v>1042</v>
      </c>
      <c r="I1050" s="101">
        <f t="shared" si="66"/>
        <v>4</v>
      </c>
      <c r="J1050" s="106">
        <f t="shared" si="67"/>
        <v>-0.75</v>
      </c>
      <c r="K1050" s="106">
        <f t="shared" si="68"/>
        <v>-31.499999999999609</v>
      </c>
    </row>
    <row r="1051" spans="8:11" ht="17.45" customHeight="1" x14ac:dyDescent="0.3">
      <c r="H1051" s="101">
        <f t="shared" si="69"/>
        <v>1043</v>
      </c>
      <c r="I1051" s="101">
        <f t="shared" si="66"/>
        <v>4</v>
      </c>
      <c r="J1051" s="106">
        <f t="shared" si="67"/>
        <v>-0.75</v>
      </c>
      <c r="K1051" s="106">
        <f t="shared" si="68"/>
        <v>-32.249999999999609</v>
      </c>
    </row>
    <row r="1052" spans="8:11" ht="17.45" customHeight="1" x14ac:dyDescent="0.3">
      <c r="H1052" s="101">
        <f t="shared" si="69"/>
        <v>1044</v>
      </c>
      <c r="I1052" s="101">
        <f t="shared" si="66"/>
        <v>4</v>
      </c>
      <c r="J1052" s="106">
        <f t="shared" si="67"/>
        <v>-0.75</v>
      </c>
      <c r="K1052" s="106">
        <f t="shared" si="68"/>
        <v>-32.999999999999609</v>
      </c>
    </row>
    <row r="1053" spans="8:11" ht="17.45" customHeight="1" x14ac:dyDescent="0.3">
      <c r="H1053" s="101">
        <f t="shared" si="69"/>
        <v>1045</v>
      </c>
      <c r="I1053" s="101">
        <f t="shared" si="66"/>
        <v>4</v>
      </c>
      <c r="J1053" s="106">
        <f t="shared" si="67"/>
        <v>-0.75</v>
      </c>
      <c r="K1053" s="106">
        <f t="shared" si="68"/>
        <v>-33.749999999999609</v>
      </c>
    </row>
    <row r="1054" spans="8:11" ht="17.45" customHeight="1" x14ac:dyDescent="0.3">
      <c r="H1054" s="101">
        <f t="shared" si="69"/>
        <v>1046</v>
      </c>
      <c r="I1054" s="101">
        <f t="shared" si="66"/>
        <v>4</v>
      </c>
      <c r="J1054" s="106">
        <f t="shared" si="67"/>
        <v>-0.75</v>
      </c>
      <c r="K1054" s="106">
        <f t="shared" si="68"/>
        <v>-34.499999999999609</v>
      </c>
    </row>
    <row r="1055" spans="8:11" ht="17.45" customHeight="1" x14ac:dyDescent="0.3">
      <c r="H1055" s="101">
        <f t="shared" si="69"/>
        <v>1047</v>
      </c>
      <c r="I1055" s="101">
        <f t="shared" si="66"/>
        <v>4</v>
      </c>
      <c r="J1055" s="106">
        <f t="shared" si="67"/>
        <v>-0.75</v>
      </c>
      <c r="K1055" s="106">
        <f t="shared" si="68"/>
        <v>-35.249999999999609</v>
      </c>
    </row>
    <row r="1056" spans="8:11" ht="17.45" customHeight="1" x14ac:dyDescent="0.3">
      <c r="H1056" s="101">
        <f t="shared" si="69"/>
        <v>1048</v>
      </c>
      <c r="I1056" s="101">
        <f t="shared" si="66"/>
        <v>4</v>
      </c>
      <c r="J1056" s="106">
        <f t="shared" si="67"/>
        <v>-0.75</v>
      </c>
      <c r="K1056" s="106">
        <f t="shared" si="68"/>
        <v>-35.999999999999609</v>
      </c>
    </row>
    <row r="1057" spans="8:11" ht="17.45" customHeight="1" x14ac:dyDescent="0.3">
      <c r="H1057" s="101">
        <f t="shared" si="69"/>
        <v>1049</v>
      </c>
      <c r="I1057" s="101">
        <f t="shared" si="66"/>
        <v>4</v>
      </c>
      <c r="J1057" s="106">
        <f t="shared" si="67"/>
        <v>-0.75</v>
      </c>
      <c r="K1057" s="106">
        <f t="shared" si="68"/>
        <v>-36.749999999999609</v>
      </c>
    </row>
    <row r="1058" spans="8:11" ht="17.45" customHeight="1" x14ac:dyDescent="0.3">
      <c r="H1058" s="101">
        <f t="shared" si="69"/>
        <v>1050</v>
      </c>
      <c r="I1058" s="101">
        <f t="shared" si="66"/>
        <v>4</v>
      </c>
      <c r="J1058" s="106">
        <f t="shared" si="67"/>
        <v>-0.75</v>
      </c>
      <c r="K1058" s="106">
        <f t="shared" si="68"/>
        <v>-37.499999999999609</v>
      </c>
    </row>
    <row r="1059" spans="8:11" ht="17.45" customHeight="1" x14ac:dyDescent="0.3">
      <c r="H1059" s="101">
        <f t="shared" si="69"/>
        <v>1051</v>
      </c>
      <c r="I1059" s="101">
        <f t="shared" si="66"/>
        <v>4</v>
      </c>
      <c r="J1059" s="106">
        <f t="shared" si="67"/>
        <v>-0.75</v>
      </c>
      <c r="K1059" s="106">
        <f t="shared" si="68"/>
        <v>-38.249999999999609</v>
      </c>
    </row>
    <row r="1060" spans="8:11" ht="17.45" customHeight="1" x14ac:dyDescent="0.3">
      <c r="H1060" s="101">
        <f t="shared" si="69"/>
        <v>1052</v>
      </c>
      <c r="I1060" s="101">
        <f t="shared" si="66"/>
        <v>4</v>
      </c>
      <c r="J1060" s="106">
        <f t="shared" si="67"/>
        <v>-0.75</v>
      </c>
      <c r="K1060" s="106">
        <f t="shared" si="68"/>
        <v>-38.999999999999609</v>
      </c>
    </row>
    <row r="1061" spans="8:11" ht="17.45" customHeight="1" x14ac:dyDescent="0.3">
      <c r="H1061" s="101">
        <f t="shared" si="69"/>
        <v>1053</v>
      </c>
      <c r="I1061" s="101">
        <f t="shared" si="66"/>
        <v>4</v>
      </c>
      <c r="J1061" s="106">
        <f t="shared" si="67"/>
        <v>-0.75</v>
      </c>
      <c r="K1061" s="106">
        <f t="shared" si="68"/>
        <v>-39.749999999999609</v>
      </c>
    </row>
    <row r="1062" spans="8:11" ht="17.45" customHeight="1" x14ac:dyDescent="0.3">
      <c r="H1062" s="101">
        <f t="shared" si="69"/>
        <v>1054</v>
      </c>
      <c r="I1062" s="101">
        <f t="shared" si="66"/>
        <v>4</v>
      </c>
      <c r="J1062" s="106">
        <f t="shared" si="67"/>
        <v>-0.75</v>
      </c>
      <c r="K1062" s="106">
        <f t="shared" si="68"/>
        <v>-40.499999999999609</v>
      </c>
    </row>
    <row r="1063" spans="8:11" ht="17.45" customHeight="1" x14ac:dyDescent="0.3">
      <c r="H1063" s="101">
        <f t="shared" si="69"/>
        <v>1055</v>
      </c>
      <c r="I1063" s="101">
        <f t="shared" si="66"/>
        <v>4</v>
      </c>
      <c r="J1063" s="106">
        <f t="shared" si="67"/>
        <v>-0.75</v>
      </c>
      <c r="K1063" s="106">
        <f t="shared" si="68"/>
        <v>-41.249999999999609</v>
      </c>
    </row>
    <row r="1064" spans="8:11" ht="17.45" customHeight="1" x14ac:dyDescent="0.3">
      <c r="H1064" s="101">
        <f t="shared" si="69"/>
        <v>1056</v>
      </c>
      <c r="I1064" s="101">
        <f t="shared" si="66"/>
        <v>4</v>
      </c>
      <c r="J1064" s="106">
        <f t="shared" si="67"/>
        <v>-0.75</v>
      </c>
      <c r="K1064" s="106">
        <f t="shared" si="68"/>
        <v>-41.999999999999609</v>
      </c>
    </row>
    <row r="1065" spans="8:11" ht="17.45" customHeight="1" x14ac:dyDescent="0.3">
      <c r="H1065" s="101">
        <f t="shared" si="69"/>
        <v>1057</v>
      </c>
      <c r="I1065" s="101">
        <f t="shared" si="66"/>
        <v>4</v>
      </c>
      <c r="J1065" s="106">
        <f t="shared" si="67"/>
        <v>-0.75</v>
      </c>
      <c r="K1065" s="106">
        <f t="shared" si="68"/>
        <v>-42.749999999999609</v>
      </c>
    </row>
    <row r="1066" spans="8:11" ht="17.45" customHeight="1" x14ac:dyDescent="0.3">
      <c r="H1066" s="101">
        <f t="shared" si="69"/>
        <v>1058</v>
      </c>
      <c r="I1066" s="101">
        <f t="shared" si="66"/>
        <v>4</v>
      </c>
      <c r="J1066" s="106">
        <f t="shared" si="67"/>
        <v>-0.75</v>
      </c>
      <c r="K1066" s="106">
        <f t="shared" si="68"/>
        <v>-43.499999999999609</v>
      </c>
    </row>
    <row r="1067" spans="8:11" ht="17.45" customHeight="1" x14ac:dyDescent="0.3">
      <c r="H1067" s="101">
        <f t="shared" si="69"/>
        <v>1059</v>
      </c>
      <c r="I1067" s="101">
        <f t="shared" si="66"/>
        <v>4</v>
      </c>
      <c r="J1067" s="106">
        <f t="shared" si="67"/>
        <v>-0.75</v>
      </c>
      <c r="K1067" s="106">
        <f t="shared" si="68"/>
        <v>-44.249999999999609</v>
      </c>
    </row>
    <row r="1068" spans="8:11" ht="17.45" customHeight="1" x14ac:dyDescent="0.3">
      <c r="H1068" s="101">
        <f t="shared" si="69"/>
        <v>1060</v>
      </c>
      <c r="I1068" s="101">
        <f t="shared" si="66"/>
        <v>4</v>
      </c>
      <c r="J1068" s="106">
        <f t="shared" si="67"/>
        <v>-0.75</v>
      </c>
      <c r="K1068" s="106">
        <f t="shared" si="68"/>
        <v>-44.999999999999609</v>
      </c>
    </row>
    <row r="1069" spans="8:11" ht="17.45" customHeight="1" x14ac:dyDescent="0.3">
      <c r="H1069" s="101">
        <f t="shared" si="69"/>
        <v>1061</v>
      </c>
      <c r="I1069" s="101">
        <f t="shared" si="66"/>
        <v>4</v>
      </c>
      <c r="J1069" s="106">
        <f t="shared" si="67"/>
        <v>-0.75</v>
      </c>
      <c r="K1069" s="106">
        <f t="shared" si="68"/>
        <v>-45.749999999999609</v>
      </c>
    </row>
    <row r="1070" spans="8:11" ht="17.45" customHeight="1" x14ac:dyDescent="0.3">
      <c r="H1070" s="101">
        <f t="shared" si="69"/>
        <v>1062</v>
      </c>
      <c r="I1070" s="101">
        <f t="shared" si="66"/>
        <v>4</v>
      </c>
      <c r="J1070" s="106">
        <f t="shared" si="67"/>
        <v>-0.75</v>
      </c>
      <c r="K1070" s="106">
        <f t="shared" si="68"/>
        <v>-46.499999999999609</v>
      </c>
    </row>
    <row r="1071" spans="8:11" ht="17.45" customHeight="1" x14ac:dyDescent="0.3">
      <c r="H1071" s="101">
        <f t="shared" si="69"/>
        <v>1063</v>
      </c>
      <c r="I1071" s="101">
        <f t="shared" si="66"/>
        <v>4</v>
      </c>
      <c r="J1071" s="106">
        <f t="shared" si="67"/>
        <v>-0.75</v>
      </c>
      <c r="K1071" s="106">
        <f t="shared" si="68"/>
        <v>-47.249999999999609</v>
      </c>
    </row>
    <row r="1072" spans="8:11" ht="17.45" customHeight="1" x14ac:dyDescent="0.3">
      <c r="H1072" s="101">
        <f t="shared" si="69"/>
        <v>1064</v>
      </c>
      <c r="I1072" s="101">
        <f t="shared" si="66"/>
        <v>4</v>
      </c>
      <c r="J1072" s="106">
        <f t="shared" si="67"/>
        <v>-0.75</v>
      </c>
      <c r="K1072" s="106">
        <f t="shared" si="68"/>
        <v>-47.999999999999609</v>
      </c>
    </row>
    <row r="1073" spans="8:11" ht="17.45" customHeight="1" x14ac:dyDescent="0.3">
      <c r="H1073" s="101">
        <f t="shared" si="69"/>
        <v>1065</v>
      </c>
      <c r="I1073" s="101">
        <f t="shared" si="66"/>
        <v>4</v>
      </c>
      <c r="J1073" s="106">
        <f t="shared" si="67"/>
        <v>-0.75</v>
      </c>
      <c r="K1073" s="106">
        <f t="shared" si="68"/>
        <v>-48.749999999999609</v>
      </c>
    </row>
    <row r="1074" spans="8:11" ht="17.45" customHeight="1" x14ac:dyDescent="0.3">
      <c r="H1074" s="101">
        <f t="shared" si="69"/>
        <v>1066</v>
      </c>
      <c r="I1074" s="101">
        <f t="shared" si="66"/>
        <v>4</v>
      </c>
      <c r="J1074" s="106">
        <f t="shared" si="67"/>
        <v>-0.75</v>
      </c>
      <c r="K1074" s="106">
        <f t="shared" si="68"/>
        <v>-49.499999999999609</v>
      </c>
    </row>
    <row r="1075" spans="8:11" ht="17.45" customHeight="1" x14ac:dyDescent="0.3">
      <c r="H1075" s="101">
        <f t="shared" si="69"/>
        <v>1067</v>
      </c>
      <c r="I1075" s="101">
        <f t="shared" si="66"/>
        <v>4</v>
      </c>
      <c r="J1075" s="106">
        <f t="shared" si="67"/>
        <v>-0.75</v>
      </c>
      <c r="K1075" s="106">
        <f t="shared" si="68"/>
        <v>-50.249999999999609</v>
      </c>
    </row>
    <row r="1076" spans="8:11" ht="17.45" customHeight="1" x14ac:dyDescent="0.3">
      <c r="H1076" s="101">
        <f t="shared" si="69"/>
        <v>1068</v>
      </c>
      <c r="I1076" s="101">
        <f t="shared" si="66"/>
        <v>4</v>
      </c>
      <c r="J1076" s="106">
        <f t="shared" si="67"/>
        <v>-0.75</v>
      </c>
      <c r="K1076" s="106">
        <f t="shared" si="68"/>
        <v>-50.999999999999609</v>
      </c>
    </row>
    <row r="1077" spans="8:11" ht="17.45" customHeight="1" x14ac:dyDescent="0.3">
      <c r="H1077" s="101">
        <f t="shared" si="69"/>
        <v>1069</v>
      </c>
      <c r="I1077" s="101">
        <f t="shared" si="66"/>
        <v>4</v>
      </c>
      <c r="J1077" s="106">
        <f t="shared" si="67"/>
        <v>-0.75</v>
      </c>
      <c r="K1077" s="106">
        <f t="shared" si="68"/>
        <v>-51.749999999999609</v>
      </c>
    </row>
    <row r="1078" spans="8:11" ht="17.45" customHeight="1" x14ac:dyDescent="0.3">
      <c r="H1078" s="101">
        <f t="shared" si="69"/>
        <v>1070</v>
      </c>
      <c r="I1078" s="101">
        <f t="shared" si="66"/>
        <v>4</v>
      </c>
      <c r="J1078" s="106">
        <f t="shared" si="67"/>
        <v>-0.75</v>
      </c>
      <c r="K1078" s="106">
        <f t="shared" si="68"/>
        <v>-52.499999999999609</v>
      </c>
    </row>
    <row r="1079" spans="8:11" ht="17.45" customHeight="1" x14ac:dyDescent="0.3">
      <c r="H1079" s="101">
        <f t="shared" si="69"/>
        <v>1071</v>
      </c>
      <c r="I1079" s="101">
        <f t="shared" si="66"/>
        <v>4</v>
      </c>
      <c r="J1079" s="106">
        <f t="shared" si="67"/>
        <v>-0.75</v>
      </c>
      <c r="K1079" s="106">
        <f t="shared" si="68"/>
        <v>-53.249999999999609</v>
      </c>
    </row>
    <row r="1080" spans="8:11" ht="17.45" customHeight="1" x14ac:dyDescent="0.3">
      <c r="H1080" s="101">
        <f t="shared" si="69"/>
        <v>1072</v>
      </c>
      <c r="I1080" s="101">
        <f t="shared" si="66"/>
        <v>4</v>
      </c>
      <c r="J1080" s="106">
        <f t="shared" si="67"/>
        <v>-0.75</v>
      </c>
      <c r="K1080" s="106">
        <f t="shared" si="68"/>
        <v>-53.999999999999609</v>
      </c>
    </row>
    <row r="1081" spans="8:11" ht="17.45" customHeight="1" x14ac:dyDescent="0.3">
      <c r="H1081" s="101">
        <f t="shared" si="69"/>
        <v>1073</v>
      </c>
      <c r="I1081" s="101">
        <f t="shared" si="66"/>
        <v>4</v>
      </c>
      <c r="J1081" s="106">
        <f t="shared" si="67"/>
        <v>-0.75</v>
      </c>
      <c r="K1081" s="106">
        <f t="shared" si="68"/>
        <v>-54.749999999999609</v>
      </c>
    </row>
    <row r="1082" spans="8:11" ht="17.45" customHeight="1" x14ac:dyDescent="0.3">
      <c r="H1082" s="101">
        <f t="shared" si="69"/>
        <v>1074</v>
      </c>
      <c r="I1082" s="101">
        <f t="shared" si="66"/>
        <v>4</v>
      </c>
      <c r="J1082" s="106">
        <f t="shared" si="67"/>
        <v>-0.75</v>
      </c>
      <c r="K1082" s="106">
        <f t="shared" si="68"/>
        <v>-55.499999999999609</v>
      </c>
    </row>
    <row r="1083" spans="8:11" ht="17.45" customHeight="1" x14ac:dyDescent="0.3">
      <c r="H1083" s="101">
        <f t="shared" si="69"/>
        <v>1075</v>
      </c>
      <c r="I1083" s="101">
        <f t="shared" si="66"/>
        <v>4</v>
      </c>
      <c r="J1083" s="106">
        <f t="shared" si="67"/>
        <v>-0.75</v>
      </c>
      <c r="K1083" s="106">
        <f t="shared" si="68"/>
        <v>-56.249999999999609</v>
      </c>
    </row>
    <row r="1084" spans="8:11" ht="17.45" customHeight="1" x14ac:dyDescent="0.3">
      <c r="H1084" s="101">
        <f t="shared" si="69"/>
        <v>1076</v>
      </c>
      <c r="I1084" s="101">
        <f t="shared" si="66"/>
        <v>4</v>
      </c>
      <c r="J1084" s="106">
        <f t="shared" si="67"/>
        <v>-0.75</v>
      </c>
      <c r="K1084" s="106">
        <f t="shared" si="68"/>
        <v>-56.999999999999609</v>
      </c>
    </row>
    <row r="1085" spans="8:11" ht="17.45" customHeight="1" x14ac:dyDescent="0.3">
      <c r="H1085" s="101">
        <f t="shared" si="69"/>
        <v>1077</v>
      </c>
      <c r="I1085" s="101">
        <f t="shared" si="66"/>
        <v>4</v>
      </c>
      <c r="J1085" s="106">
        <f t="shared" si="67"/>
        <v>-0.75</v>
      </c>
      <c r="K1085" s="106">
        <f t="shared" si="68"/>
        <v>-57.749999999999609</v>
      </c>
    </row>
    <row r="1086" spans="8:11" ht="17.45" customHeight="1" x14ac:dyDescent="0.3">
      <c r="H1086" s="101">
        <f t="shared" si="69"/>
        <v>1078</v>
      </c>
      <c r="I1086" s="101">
        <f t="shared" si="66"/>
        <v>4</v>
      </c>
      <c r="J1086" s="106">
        <f t="shared" si="67"/>
        <v>-0.75</v>
      </c>
      <c r="K1086" s="106">
        <f t="shared" si="68"/>
        <v>-58.499999999999609</v>
      </c>
    </row>
    <row r="1087" spans="8:11" ht="17.45" customHeight="1" x14ac:dyDescent="0.3">
      <c r="H1087" s="101">
        <f t="shared" si="69"/>
        <v>1079</v>
      </c>
      <c r="I1087" s="101">
        <f t="shared" si="66"/>
        <v>4</v>
      </c>
      <c r="J1087" s="106">
        <f t="shared" si="67"/>
        <v>-0.75</v>
      </c>
      <c r="K1087" s="106">
        <f t="shared" si="68"/>
        <v>-59.249999999999609</v>
      </c>
    </row>
    <row r="1088" spans="8:11" ht="17.45" customHeight="1" x14ac:dyDescent="0.3">
      <c r="H1088" s="101">
        <f t="shared" si="69"/>
        <v>1080</v>
      </c>
      <c r="I1088" s="101">
        <f t="shared" si="66"/>
        <v>4</v>
      </c>
      <c r="J1088" s="106">
        <f t="shared" si="67"/>
        <v>-0.75</v>
      </c>
      <c r="K1088" s="106">
        <f t="shared" si="68"/>
        <v>-59.999999999999609</v>
      </c>
    </row>
    <row r="1089" spans="8:11" ht="17.45" customHeight="1" x14ac:dyDescent="0.3">
      <c r="H1089" s="101">
        <f t="shared" si="69"/>
        <v>1081</v>
      </c>
      <c r="I1089" s="101">
        <f t="shared" si="66"/>
        <v>4</v>
      </c>
      <c r="J1089" s="106">
        <f t="shared" si="67"/>
        <v>-0.75</v>
      </c>
      <c r="K1089" s="106">
        <f t="shared" si="68"/>
        <v>-60.749999999999609</v>
      </c>
    </row>
    <row r="1090" spans="8:11" ht="17.45" customHeight="1" x14ac:dyDescent="0.3">
      <c r="H1090" s="101">
        <f t="shared" si="69"/>
        <v>1082</v>
      </c>
      <c r="I1090" s="101">
        <f t="shared" si="66"/>
        <v>4</v>
      </c>
      <c r="J1090" s="106">
        <f t="shared" si="67"/>
        <v>-0.75</v>
      </c>
      <c r="K1090" s="106">
        <f t="shared" si="68"/>
        <v>-61.499999999999609</v>
      </c>
    </row>
    <row r="1091" spans="8:11" ht="17.45" customHeight="1" x14ac:dyDescent="0.3">
      <c r="H1091" s="101">
        <f t="shared" si="69"/>
        <v>1083</v>
      </c>
      <c r="I1091" s="101">
        <f t="shared" si="66"/>
        <v>4</v>
      </c>
      <c r="J1091" s="106">
        <f t="shared" si="67"/>
        <v>-0.75</v>
      </c>
      <c r="K1091" s="106">
        <f t="shared" si="68"/>
        <v>-62.249999999999609</v>
      </c>
    </row>
    <row r="1092" spans="8:11" ht="17.45" customHeight="1" x14ac:dyDescent="0.3">
      <c r="H1092" s="101">
        <f t="shared" si="69"/>
        <v>1084</v>
      </c>
      <c r="I1092" s="101">
        <f t="shared" si="66"/>
        <v>4</v>
      </c>
      <c r="J1092" s="106">
        <f t="shared" si="67"/>
        <v>-0.75</v>
      </c>
      <c r="K1092" s="106">
        <f t="shared" si="68"/>
        <v>-62.999999999999609</v>
      </c>
    </row>
    <row r="1093" spans="8:11" ht="17.45" customHeight="1" x14ac:dyDescent="0.3">
      <c r="H1093" s="101">
        <f t="shared" si="69"/>
        <v>1085</v>
      </c>
      <c r="I1093" s="101">
        <f t="shared" si="66"/>
        <v>4</v>
      </c>
      <c r="J1093" s="106">
        <f t="shared" si="67"/>
        <v>-0.75</v>
      </c>
      <c r="K1093" s="106">
        <f t="shared" si="68"/>
        <v>-63.749999999999609</v>
      </c>
    </row>
    <row r="1094" spans="8:11" ht="17.45" customHeight="1" x14ac:dyDescent="0.3">
      <c r="H1094" s="101">
        <f t="shared" si="69"/>
        <v>1086</v>
      </c>
      <c r="I1094" s="101">
        <f t="shared" si="66"/>
        <v>4</v>
      </c>
      <c r="J1094" s="106">
        <f t="shared" si="67"/>
        <v>-0.75</v>
      </c>
      <c r="K1094" s="106">
        <f t="shared" si="68"/>
        <v>-64.499999999999602</v>
      </c>
    </row>
    <row r="1095" spans="8:11" ht="17.45" customHeight="1" x14ac:dyDescent="0.3">
      <c r="H1095" s="101">
        <f t="shared" si="69"/>
        <v>1087</v>
      </c>
      <c r="I1095" s="101">
        <f t="shared" si="66"/>
        <v>4</v>
      </c>
      <c r="J1095" s="106">
        <f t="shared" si="67"/>
        <v>-0.75</v>
      </c>
      <c r="K1095" s="106">
        <f t="shared" si="68"/>
        <v>-65.249999999999602</v>
      </c>
    </row>
    <row r="1096" spans="8:11" ht="17.45" customHeight="1" x14ac:dyDescent="0.3">
      <c r="H1096" s="101">
        <f t="shared" si="69"/>
        <v>1088</v>
      </c>
      <c r="I1096" s="101">
        <f t="shared" si="66"/>
        <v>4</v>
      </c>
      <c r="J1096" s="106">
        <f t="shared" si="67"/>
        <v>-0.75</v>
      </c>
      <c r="K1096" s="106">
        <f t="shared" si="68"/>
        <v>-65.999999999999602</v>
      </c>
    </row>
    <row r="1097" spans="8:11" ht="17.45" customHeight="1" x14ac:dyDescent="0.3">
      <c r="H1097" s="101">
        <f t="shared" si="69"/>
        <v>1089</v>
      </c>
      <c r="I1097" s="101">
        <f t="shared" ref="I1097:I1160" si="70">MATCH(H1097,$C$8:$C$13,1)</f>
        <v>4</v>
      </c>
      <c r="J1097" s="106">
        <f t="shared" si="67"/>
        <v>-0.75</v>
      </c>
      <c r="K1097" s="106">
        <f t="shared" si="68"/>
        <v>-66.749999999999602</v>
      </c>
    </row>
    <row r="1098" spans="8:11" ht="17.45" customHeight="1" x14ac:dyDescent="0.3">
      <c r="H1098" s="101">
        <f t="shared" si="69"/>
        <v>1090</v>
      </c>
      <c r="I1098" s="101">
        <f t="shared" si="70"/>
        <v>4</v>
      </c>
      <c r="J1098" s="106">
        <f t="shared" ref="J1098:J1161" si="71">INDEX($E$8:$E$13,I1097)</f>
        <v>-0.75</v>
      </c>
      <c r="K1098" s="106">
        <f t="shared" ref="K1098:K1161" si="72">K1097+J1098</f>
        <v>-67.499999999999602</v>
      </c>
    </row>
    <row r="1099" spans="8:11" ht="17.45" customHeight="1" x14ac:dyDescent="0.3">
      <c r="H1099" s="101">
        <f t="shared" si="69"/>
        <v>1091</v>
      </c>
      <c r="I1099" s="101">
        <f t="shared" si="70"/>
        <v>4</v>
      </c>
      <c r="J1099" s="106">
        <f t="shared" si="71"/>
        <v>-0.75</v>
      </c>
      <c r="K1099" s="106">
        <f t="shared" si="72"/>
        <v>-68.249999999999602</v>
      </c>
    </row>
    <row r="1100" spans="8:11" ht="17.45" customHeight="1" x14ac:dyDescent="0.3">
      <c r="H1100" s="101">
        <f t="shared" si="69"/>
        <v>1092</v>
      </c>
      <c r="I1100" s="101">
        <f t="shared" si="70"/>
        <v>4</v>
      </c>
      <c r="J1100" s="106">
        <f t="shared" si="71"/>
        <v>-0.75</v>
      </c>
      <c r="K1100" s="106">
        <f t="shared" si="72"/>
        <v>-68.999999999999602</v>
      </c>
    </row>
    <row r="1101" spans="8:11" ht="17.45" customHeight="1" x14ac:dyDescent="0.3">
      <c r="H1101" s="101">
        <f t="shared" si="69"/>
        <v>1093</v>
      </c>
      <c r="I1101" s="101">
        <f t="shared" si="70"/>
        <v>4</v>
      </c>
      <c r="J1101" s="106">
        <f t="shared" si="71"/>
        <v>-0.75</v>
      </c>
      <c r="K1101" s="106">
        <f t="shared" si="72"/>
        <v>-69.749999999999602</v>
      </c>
    </row>
    <row r="1102" spans="8:11" ht="17.45" customHeight="1" x14ac:dyDescent="0.3">
      <c r="H1102" s="101">
        <f t="shared" si="69"/>
        <v>1094</v>
      </c>
      <c r="I1102" s="101">
        <f t="shared" si="70"/>
        <v>4</v>
      </c>
      <c r="J1102" s="106">
        <f t="shared" si="71"/>
        <v>-0.75</v>
      </c>
      <c r="K1102" s="106">
        <f t="shared" si="72"/>
        <v>-70.499999999999602</v>
      </c>
    </row>
    <row r="1103" spans="8:11" ht="17.45" customHeight="1" x14ac:dyDescent="0.3">
      <c r="H1103" s="101">
        <f t="shared" si="69"/>
        <v>1095</v>
      </c>
      <c r="I1103" s="101">
        <f t="shared" si="70"/>
        <v>4</v>
      </c>
      <c r="J1103" s="106">
        <f t="shared" si="71"/>
        <v>-0.75</v>
      </c>
      <c r="K1103" s="106">
        <f t="shared" si="72"/>
        <v>-71.249999999999602</v>
      </c>
    </row>
    <row r="1104" spans="8:11" ht="17.45" customHeight="1" x14ac:dyDescent="0.3">
      <c r="H1104" s="101">
        <f t="shared" si="69"/>
        <v>1096</v>
      </c>
      <c r="I1104" s="101">
        <f t="shared" si="70"/>
        <v>4</v>
      </c>
      <c r="J1104" s="106">
        <f t="shared" si="71"/>
        <v>-0.75</v>
      </c>
      <c r="K1104" s="106">
        <f t="shared" si="72"/>
        <v>-71.999999999999602</v>
      </c>
    </row>
    <row r="1105" spans="8:11" ht="17.45" customHeight="1" x14ac:dyDescent="0.3">
      <c r="H1105" s="101">
        <f t="shared" si="69"/>
        <v>1097</v>
      </c>
      <c r="I1105" s="101">
        <f t="shared" si="70"/>
        <v>4</v>
      </c>
      <c r="J1105" s="106">
        <f t="shared" si="71"/>
        <v>-0.75</v>
      </c>
      <c r="K1105" s="106">
        <f t="shared" si="72"/>
        <v>-72.749999999999602</v>
      </c>
    </row>
    <row r="1106" spans="8:11" ht="17.45" customHeight="1" x14ac:dyDescent="0.3">
      <c r="H1106" s="101">
        <f t="shared" si="69"/>
        <v>1098</v>
      </c>
      <c r="I1106" s="101">
        <f t="shared" si="70"/>
        <v>4</v>
      </c>
      <c r="J1106" s="106">
        <f t="shared" si="71"/>
        <v>-0.75</v>
      </c>
      <c r="K1106" s="106">
        <f t="shared" si="72"/>
        <v>-73.499999999999602</v>
      </c>
    </row>
    <row r="1107" spans="8:11" ht="17.45" customHeight="1" x14ac:dyDescent="0.3">
      <c r="H1107" s="101">
        <f t="shared" si="69"/>
        <v>1099</v>
      </c>
      <c r="I1107" s="101">
        <f t="shared" si="70"/>
        <v>4</v>
      </c>
      <c r="J1107" s="106">
        <f t="shared" si="71"/>
        <v>-0.75</v>
      </c>
      <c r="K1107" s="106">
        <f t="shared" si="72"/>
        <v>-74.249999999999602</v>
      </c>
    </row>
    <row r="1108" spans="8:11" ht="17.45" customHeight="1" x14ac:dyDescent="0.3">
      <c r="H1108" s="101">
        <f t="shared" si="69"/>
        <v>1100</v>
      </c>
      <c r="I1108" s="101">
        <f t="shared" si="70"/>
        <v>5</v>
      </c>
      <c r="J1108" s="106">
        <f t="shared" si="71"/>
        <v>-0.75</v>
      </c>
      <c r="K1108" s="106">
        <f t="shared" si="72"/>
        <v>-74.999999999999602</v>
      </c>
    </row>
    <row r="1109" spans="8:11" ht="17.45" customHeight="1" x14ac:dyDescent="0.3">
      <c r="H1109" s="101">
        <f t="shared" si="69"/>
        <v>1101</v>
      </c>
      <c r="I1109" s="101">
        <f t="shared" si="70"/>
        <v>5</v>
      </c>
      <c r="J1109" s="106">
        <f t="shared" si="71"/>
        <v>0.28333333333333333</v>
      </c>
      <c r="K1109" s="106">
        <f t="shared" si="72"/>
        <v>-74.716666666666271</v>
      </c>
    </row>
    <row r="1110" spans="8:11" ht="17.45" customHeight="1" x14ac:dyDescent="0.3">
      <c r="H1110" s="101">
        <f t="shared" si="69"/>
        <v>1102</v>
      </c>
      <c r="I1110" s="101">
        <f t="shared" si="70"/>
        <v>5</v>
      </c>
      <c r="J1110" s="106">
        <f t="shared" si="71"/>
        <v>0.28333333333333333</v>
      </c>
      <c r="K1110" s="106">
        <f t="shared" si="72"/>
        <v>-74.433333333332939</v>
      </c>
    </row>
    <row r="1111" spans="8:11" ht="17.45" customHeight="1" x14ac:dyDescent="0.3">
      <c r="H1111" s="101">
        <f t="shared" ref="H1111:H1174" si="73">H1110+1</f>
        <v>1103</v>
      </c>
      <c r="I1111" s="101">
        <f t="shared" si="70"/>
        <v>5</v>
      </c>
      <c r="J1111" s="106">
        <f t="shared" si="71"/>
        <v>0.28333333333333333</v>
      </c>
      <c r="K1111" s="106">
        <f t="shared" si="72"/>
        <v>-74.149999999999608</v>
      </c>
    </row>
    <row r="1112" spans="8:11" ht="17.45" customHeight="1" x14ac:dyDescent="0.3">
      <c r="H1112" s="101">
        <f t="shared" si="73"/>
        <v>1104</v>
      </c>
      <c r="I1112" s="101">
        <f t="shared" si="70"/>
        <v>5</v>
      </c>
      <c r="J1112" s="106">
        <f t="shared" si="71"/>
        <v>0.28333333333333333</v>
      </c>
      <c r="K1112" s="106">
        <f t="shared" si="72"/>
        <v>-73.866666666666276</v>
      </c>
    </row>
    <row r="1113" spans="8:11" ht="17.45" customHeight="1" x14ac:dyDescent="0.3">
      <c r="H1113" s="101">
        <f t="shared" si="73"/>
        <v>1105</v>
      </c>
      <c r="I1113" s="101">
        <f t="shared" si="70"/>
        <v>5</v>
      </c>
      <c r="J1113" s="106">
        <f t="shared" si="71"/>
        <v>0.28333333333333333</v>
      </c>
      <c r="K1113" s="106">
        <f t="shared" si="72"/>
        <v>-73.583333333332945</v>
      </c>
    </row>
    <row r="1114" spans="8:11" ht="17.45" customHeight="1" x14ac:dyDescent="0.3">
      <c r="H1114" s="101">
        <f t="shared" si="73"/>
        <v>1106</v>
      </c>
      <c r="I1114" s="101">
        <f t="shared" si="70"/>
        <v>5</v>
      </c>
      <c r="J1114" s="106">
        <f t="shared" si="71"/>
        <v>0.28333333333333333</v>
      </c>
      <c r="K1114" s="106">
        <f t="shared" si="72"/>
        <v>-73.299999999999613</v>
      </c>
    </row>
    <row r="1115" spans="8:11" ht="17.45" customHeight="1" x14ac:dyDescent="0.3">
      <c r="H1115" s="101">
        <f t="shared" si="73"/>
        <v>1107</v>
      </c>
      <c r="I1115" s="101">
        <f t="shared" si="70"/>
        <v>5</v>
      </c>
      <c r="J1115" s="106">
        <f t="shared" si="71"/>
        <v>0.28333333333333333</v>
      </c>
      <c r="K1115" s="106">
        <f t="shared" si="72"/>
        <v>-73.016666666666282</v>
      </c>
    </row>
    <row r="1116" spans="8:11" ht="17.45" customHeight="1" x14ac:dyDescent="0.3">
      <c r="H1116" s="101">
        <f t="shared" si="73"/>
        <v>1108</v>
      </c>
      <c r="I1116" s="101">
        <f t="shared" si="70"/>
        <v>5</v>
      </c>
      <c r="J1116" s="106">
        <f t="shared" si="71"/>
        <v>0.28333333333333333</v>
      </c>
      <c r="K1116" s="106">
        <f t="shared" si="72"/>
        <v>-72.733333333332951</v>
      </c>
    </row>
    <row r="1117" spans="8:11" ht="17.45" customHeight="1" x14ac:dyDescent="0.3">
      <c r="H1117" s="101">
        <f t="shared" si="73"/>
        <v>1109</v>
      </c>
      <c r="I1117" s="101">
        <f t="shared" si="70"/>
        <v>5</v>
      </c>
      <c r="J1117" s="106">
        <f t="shared" si="71"/>
        <v>0.28333333333333333</v>
      </c>
      <c r="K1117" s="106">
        <f t="shared" si="72"/>
        <v>-72.449999999999619</v>
      </c>
    </row>
    <row r="1118" spans="8:11" ht="17.45" customHeight="1" x14ac:dyDescent="0.3">
      <c r="H1118" s="101">
        <f t="shared" si="73"/>
        <v>1110</v>
      </c>
      <c r="I1118" s="101">
        <f t="shared" si="70"/>
        <v>5</v>
      </c>
      <c r="J1118" s="106">
        <f t="shared" si="71"/>
        <v>0.28333333333333333</v>
      </c>
      <c r="K1118" s="106">
        <f t="shared" si="72"/>
        <v>-72.166666666666288</v>
      </c>
    </row>
    <row r="1119" spans="8:11" ht="17.45" customHeight="1" x14ac:dyDescent="0.3">
      <c r="H1119" s="101">
        <f t="shared" si="73"/>
        <v>1111</v>
      </c>
      <c r="I1119" s="101">
        <f t="shared" si="70"/>
        <v>5</v>
      </c>
      <c r="J1119" s="106">
        <f t="shared" si="71"/>
        <v>0.28333333333333333</v>
      </c>
      <c r="K1119" s="106">
        <f t="shared" si="72"/>
        <v>-71.883333333332956</v>
      </c>
    </row>
    <row r="1120" spans="8:11" ht="17.45" customHeight="1" x14ac:dyDescent="0.3">
      <c r="H1120" s="101">
        <f t="shared" si="73"/>
        <v>1112</v>
      </c>
      <c r="I1120" s="101">
        <f t="shared" si="70"/>
        <v>5</v>
      </c>
      <c r="J1120" s="106">
        <f t="shared" si="71"/>
        <v>0.28333333333333333</v>
      </c>
      <c r="K1120" s="106">
        <f t="shared" si="72"/>
        <v>-71.599999999999625</v>
      </c>
    </row>
    <row r="1121" spans="8:11" ht="17.45" customHeight="1" x14ac:dyDescent="0.3">
      <c r="H1121" s="101">
        <f t="shared" si="73"/>
        <v>1113</v>
      </c>
      <c r="I1121" s="101">
        <f t="shared" si="70"/>
        <v>5</v>
      </c>
      <c r="J1121" s="106">
        <f t="shared" si="71"/>
        <v>0.28333333333333333</v>
      </c>
      <c r="K1121" s="106">
        <f t="shared" si="72"/>
        <v>-71.316666666666293</v>
      </c>
    </row>
    <row r="1122" spans="8:11" ht="17.45" customHeight="1" x14ac:dyDescent="0.3">
      <c r="H1122" s="101">
        <f t="shared" si="73"/>
        <v>1114</v>
      </c>
      <c r="I1122" s="101">
        <f t="shared" si="70"/>
        <v>5</v>
      </c>
      <c r="J1122" s="106">
        <f t="shared" si="71"/>
        <v>0.28333333333333333</v>
      </c>
      <c r="K1122" s="106">
        <f t="shared" si="72"/>
        <v>-71.033333333332962</v>
      </c>
    </row>
    <row r="1123" spans="8:11" ht="17.45" customHeight="1" x14ac:dyDescent="0.3">
      <c r="H1123" s="101">
        <f t="shared" si="73"/>
        <v>1115</v>
      </c>
      <c r="I1123" s="101">
        <f t="shared" si="70"/>
        <v>5</v>
      </c>
      <c r="J1123" s="106">
        <f t="shared" si="71"/>
        <v>0.28333333333333333</v>
      </c>
      <c r="K1123" s="106">
        <f t="shared" si="72"/>
        <v>-70.749999999999631</v>
      </c>
    </row>
    <row r="1124" spans="8:11" ht="17.45" customHeight="1" x14ac:dyDescent="0.3">
      <c r="H1124" s="101">
        <f t="shared" si="73"/>
        <v>1116</v>
      </c>
      <c r="I1124" s="101">
        <f t="shared" si="70"/>
        <v>5</v>
      </c>
      <c r="J1124" s="106">
        <f t="shared" si="71"/>
        <v>0.28333333333333333</v>
      </c>
      <c r="K1124" s="106">
        <f t="shared" si="72"/>
        <v>-70.466666666666299</v>
      </c>
    </row>
    <row r="1125" spans="8:11" ht="17.45" customHeight="1" x14ac:dyDescent="0.3">
      <c r="H1125" s="101">
        <f t="shared" si="73"/>
        <v>1117</v>
      </c>
      <c r="I1125" s="101">
        <f t="shared" si="70"/>
        <v>5</v>
      </c>
      <c r="J1125" s="106">
        <f t="shared" si="71"/>
        <v>0.28333333333333333</v>
      </c>
      <c r="K1125" s="106">
        <f t="shared" si="72"/>
        <v>-70.183333333332968</v>
      </c>
    </row>
    <row r="1126" spans="8:11" ht="17.45" customHeight="1" x14ac:dyDescent="0.3">
      <c r="H1126" s="101">
        <f t="shared" si="73"/>
        <v>1118</v>
      </c>
      <c r="I1126" s="101">
        <f t="shared" si="70"/>
        <v>5</v>
      </c>
      <c r="J1126" s="106">
        <f t="shared" si="71"/>
        <v>0.28333333333333333</v>
      </c>
      <c r="K1126" s="106">
        <f t="shared" si="72"/>
        <v>-69.899999999999636</v>
      </c>
    </row>
    <row r="1127" spans="8:11" ht="17.45" customHeight="1" x14ac:dyDescent="0.3">
      <c r="H1127" s="101">
        <f t="shared" si="73"/>
        <v>1119</v>
      </c>
      <c r="I1127" s="101">
        <f t="shared" si="70"/>
        <v>5</v>
      </c>
      <c r="J1127" s="106">
        <f t="shared" si="71"/>
        <v>0.28333333333333333</v>
      </c>
      <c r="K1127" s="106">
        <f t="shared" si="72"/>
        <v>-69.616666666666305</v>
      </c>
    </row>
    <row r="1128" spans="8:11" ht="17.45" customHeight="1" x14ac:dyDescent="0.3">
      <c r="H1128" s="101">
        <f t="shared" si="73"/>
        <v>1120</v>
      </c>
      <c r="I1128" s="101">
        <f t="shared" si="70"/>
        <v>5</v>
      </c>
      <c r="J1128" s="106">
        <f t="shared" si="71"/>
        <v>0.28333333333333333</v>
      </c>
      <c r="K1128" s="106">
        <f t="shared" si="72"/>
        <v>-69.333333333332973</v>
      </c>
    </row>
    <row r="1129" spans="8:11" ht="17.45" customHeight="1" x14ac:dyDescent="0.3">
      <c r="H1129" s="101">
        <f t="shared" si="73"/>
        <v>1121</v>
      </c>
      <c r="I1129" s="101">
        <f t="shared" si="70"/>
        <v>5</v>
      </c>
      <c r="J1129" s="106">
        <f t="shared" si="71"/>
        <v>0.28333333333333333</v>
      </c>
      <c r="K1129" s="106">
        <f t="shared" si="72"/>
        <v>-69.049999999999642</v>
      </c>
    </row>
    <row r="1130" spans="8:11" ht="17.45" customHeight="1" x14ac:dyDescent="0.3">
      <c r="H1130" s="101">
        <f t="shared" si="73"/>
        <v>1122</v>
      </c>
      <c r="I1130" s="101">
        <f t="shared" si="70"/>
        <v>5</v>
      </c>
      <c r="J1130" s="106">
        <f t="shared" si="71"/>
        <v>0.28333333333333333</v>
      </c>
      <c r="K1130" s="106">
        <f t="shared" si="72"/>
        <v>-68.76666666666631</v>
      </c>
    </row>
    <row r="1131" spans="8:11" ht="17.45" customHeight="1" x14ac:dyDescent="0.3">
      <c r="H1131" s="101">
        <f t="shared" si="73"/>
        <v>1123</v>
      </c>
      <c r="I1131" s="101">
        <f t="shared" si="70"/>
        <v>5</v>
      </c>
      <c r="J1131" s="106">
        <f t="shared" si="71"/>
        <v>0.28333333333333333</v>
      </c>
      <c r="K1131" s="106">
        <f t="shared" si="72"/>
        <v>-68.483333333332979</v>
      </c>
    </row>
    <row r="1132" spans="8:11" ht="17.45" customHeight="1" x14ac:dyDescent="0.3">
      <c r="H1132" s="101">
        <f t="shared" si="73"/>
        <v>1124</v>
      </c>
      <c r="I1132" s="101">
        <f t="shared" si="70"/>
        <v>5</v>
      </c>
      <c r="J1132" s="106">
        <f t="shared" si="71"/>
        <v>0.28333333333333333</v>
      </c>
      <c r="K1132" s="106">
        <f t="shared" si="72"/>
        <v>-68.199999999999648</v>
      </c>
    </row>
    <row r="1133" spans="8:11" ht="17.45" customHeight="1" x14ac:dyDescent="0.3">
      <c r="H1133" s="101">
        <f t="shared" si="73"/>
        <v>1125</v>
      </c>
      <c r="I1133" s="101">
        <f t="shared" si="70"/>
        <v>5</v>
      </c>
      <c r="J1133" s="106">
        <f t="shared" si="71"/>
        <v>0.28333333333333333</v>
      </c>
      <c r="K1133" s="106">
        <f t="shared" si="72"/>
        <v>-67.916666666666316</v>
      </c>
    </row>
    <row r="1134" spans="8:11" ht="17.45" customHeight="1" x14ac:dyDescent="0.3">
      <c r="H1134" s="101">
        <f t="shared" si="73"/>
        <v>1126</v>
      </c>
      <c r="I1134" s="101">
        <f t="shared" si="70"/>
        <v>5</v>
      </c>
      <c r="J1134" s="106">
        <f t="shared" si="71"/>
        <v>0.28333333333333333</v>
      </c>
      <c r="K1134" s="106">
        <f t="shared" si="72"/>
        <v>-67.633333333332985</v>
      </c>
    </row>
    <row r="1135" spans="8:11" ht="17.45" customHeight="1" x14ac:dyDescent="0.3">
      <c r="H1135" s="101">
        <f t="shared" si="73"/>
        <v>1127</v>
      </c>
      <c r="I1135" s="101">
        <f t="shared" si="70"/>
        <v>5</v>
      </c>
      <c r="J1135" s="106">
        <f t="shared" si="71"/>
        <v>0.28333333333333333</v>
      </c>
      <c r="K1135" s="106">
        <f t="shared" si="72"/>
        <v>-67.349999999999653</v>
      </c>
    </row>
    <row r="1136" spans="8:11" ht="17.45" customHeight="1" x14ac:dyDescent="0.3">
      <c r="H1136" s="101">
        <f t="shared" si="73"/>
        <v>1128</v>
      </c>
      <c r="I1136" s="101">
        <f t="shared" si="70"/>
        <v>5</v>
      </c>
      <c r="J1136" s="106">
        <f t="shared" si="71"/>
        <v>0.28333333333333333</v>
      </c>
      <c r="K1136" s="106">
        <f t="shared" si="72"/>
        <v>-67.066666666666322</v>
      </c>
    </row>
    <row r="1137" spans="8:11" ht="17.45" customHeight="1" x14ac:dyDescent="0.3">
      <c r="H1137" s="101">
        <f t="shared" si="73"/>
        <v>1129</v>
      </c>
      <c r="I1137" s="101">
        <f t="shared" si="70"/>
        <v>5</v>
      </c>
      <c r="J1137" s="106">
        <f t="shared" si="71"/>
        <v>0.28333333333333333</v>
      </c>
      <c r="K1137" s="106">
        <f t="shared" si="72"/>
        <v>-66.78333333333299</v>
      </c>
    </row>
    <row r="1138" spans="8:11" ht="17.45" customHeight="1" x14ac:dyDescent="0.3">
      <c r="H1138" s="101">
        <f t="shared" si="73"/>
        <v>1130</v>
      </c>
      <c r="I1138" s="101">
        <f t="shared" si="70"/>
        <v>5</v>
      </c>
      <c r="J1138" s="106">
        <f t="shared" si="71"/>
        <v>0.28333333333333333</v>
      </c>
      <c r="K1138" s="106">
        <f t="shared" si="72"/>
        <v>-66.499999999999659</v>
      </c>
    </row>
    <row r="1139" spans="8:11" ht="17.45" customHeight="1" x14ac:dyDescent="0.3">
      <c r="H1139" s="101">
        <f t="shared" si="73"/>
        <v>1131</v>
      </c>
      <c r="I1139" s="101">
        <f t="shared" si="70"/>
        <v>5</v>
      </c>
      <c r="J1139" s="106">
        <f t="shared" si="71"/>
        <v>0.28333333333333333</v>
      </c>
      <c r="K1139" s="106">
        <f t="shared" si="72"/>
        <v>-66.216666666666328</v>
      </c>
    </row>
    <row r="1140" spans="8:11" ht="17.45" customHeight="1" x14ac:dyDescent="0.3">
      <c r="H1140" s="101">
        <f t="shared" si="73"/>
        <v>1132</v>
      </c>
      <c r="I1140" s="101">
        <f t="shared" si="70"/>
        <v>5</v>
      </c>
      <c r="J1140" s="106">
        <f t="shared" si="71"/>
        <v>0.28333333333333333</v>
      </c>
      <c r="K1140" s="106">
        <f t="shared" si="72"/>
        <v>-65.933333333332996</v>
      </c>
    </row>
    <row r="1141" spans="8:11" ht="17.45" customHeight="1" x14ac:dyDescent="0.3">
      <c r="H1141" s="101">
        <f t="shared" si="73"/>
        <v>1133</v>
      </c>
      <c r="I1141" s="101">
        <f t="shared" si="70"/>
        <v>5</v>
      </c>
      <c r="J1141" s="106">
        <f t="shared" si="71"/>
        <v>0.28333333333333333</v>
      </c>
      <c r="K1141" s="106">
        <f t="shared" si="72"/>
        <v>-65.649999999999665</v>
      </c>
    </row>
    <row r="1142" spans="8:11" ht="17.45" customHeight="1" x14ac:dyDescent="0.3">
      <c r="H1142" s="101">
        <f t="shared" si="73"/>
        <v>1134</v>
      </c>
      <c r="I1142" s="101">
        <f t="shared" si="70"/>
        <v>5</v>
      </c>
      <c r="J1142" s="106">
        <f t="shared" si="71"/>
        <v>0.28333333333333333</v>
      </c>
      <c r="K1142" s="106">
        <f t="shared" si="72"/>
        <v>-65.366666666666333</v>
      </c>
    </row>
    <row r="1143" spans="8:11" ht="17.45" customHeight="1" x14ac:dyDescent="0.3">
      <c r="H1143" s="101">
        <f t="shared" si="73"/>
        <v>1135</v>
      </c>
      <c r="I1143" s="101">
        <f t="shared" si="70"/>
        <v>5</v>
      </c>
      <c r="J1143" s="106">
        <f t="shared" si="71"/>
        <v>0.28333333333333333</v>
      </c>
      <c r="K1143" s="106">
        <f t="shared" si="72"/>
        <v>-65.083333333333002</v>
      </c>
    </row>
    <row r="1144" spans="8:11" ht="17.45" customHeight="1" x14ac:dyDescent="0.3">
      <c r="H1144" s="101">
        <f t="shared" si="73"/>
        <v>1136</v>
      </c>
      <c r="I1144" s="101">
        <f t="shared" si="70"/>
        <v>5</v>
      </c>
      <c r="J1144" s="106">
        <f t="shared" si="71"/>
        <v>0.28333333333333333</v>
      </c>
      <c r="K1144" s="106">
        <f t="shared" si="72"/>
        <v>-64.79999999999967</v>
      </c>
    </row>
    <row r="1145" spans="8:11" ht="17.45" customHeight="1" x14ac:dyDescent="0.3">
      <c r="H1145" s="101">
        <f t="shared" si="73"/>
        <v>1137</v>
      </c>
      <c r="I1145" s="101">
        <f t="shared" si="70"/>
        <v>5</v>
      </c>
      <c r="J1145" s="106">
        <f t="shared" si="71"/>
        <v>0.28333333333333333</v>
      </c>
      <c r="K1145" s="106">
        <f t="shared" si="72"/>
        <v>-64.516666666666339</v>
      </c>
    </row>
    <row r="1146" spans="8:11" ht="17.45" customHeight="1" x14ac:dyDescent="0.3">
      <c r="H1146" s="101">
        <f t="shared" si="73"/>
        <v>1138</v>
      </c>
      <c r="I1146" s="101">
        <f t="shared" si="70"/>
        <v>5</v>
      </c>
      <c r="J1146" s="106">
        <f t="shared" si="71"/>
        <v>0.28333333333333333</v>
      </c>
      <c r="K1146" s="106">
        <f t="shared" si="72"/>
        <v>-64.233333333333007</v>
      </c>
    </row>
    <row r="1147" spans="8:11" ht="17.45" customHeight="1" x14ac:dyDescent="0.3">
      <c r="H1147" s="101">
        <f t="shared" si="73"/>
        <v>1139</v>
      </c>
      <c r="I1147" s="101">
        <f t="shared" si="70"/>
        <v>5</v>
      </c>
      <c r="J1147" s="106">
        <f t="shared" si="71"/>
        <v>0.28333333333333333</v>
      </c>
      <c r="K1147" s="106">
        <f t="shared" si="72"/>
        <v>-63.949999999999676</v>
      </c>
    </row>
    <row r="1148" spans="8:11" ht="17.45" customHeight="1" x14ac:dyDescent="0.3">
      <c r="H1148" s="101">
        <f t="shared" si="73"/>
        <v>1140</v>
      </c>
      <c r="I1148" s="101">
        <f t="shared" si="70"/>
        <v>5</v>
      </c>
      <c r="J1148" s="106">
        <f t="shared" si="71"/>
        <v>0.28333333333333333</v>
      </c>
      <c r="K1148" s="106">
        <f t="shared" si="72"/>
        <v>-63.666666666666345</v>
      </c>
    </row>
    <row r="1149" spans="8:11" ht="17.45" customHeight="1" x14ac:dyDescent="0.3">
      <c r="H1149" s="101">
        <f t="shared" si="73"/>
        <v>1141</v>
      </c>
      <c r="I1149" s="101">
        <f t="shared" si="70"/>
        <v>5</v>
      </c>
      <c r="J1149" s="106">
        <f t="shared" si="71"/>
        <v>0.28333333333333333</v>
      </c>
      <c r="K1149" s="106">
        <f t="shared" si="72"/>
        <v>-63.383333333333013</v>
      </c>
    </row>
    <row r="1150" spans="8:11" ht="17.45" customHeight="1" x14ac:dyDescent="0.3">
      <c r="H1150" s="101">
        <f t="shared" si="73"/>
        <v>1142</v>
      </c>
      <c r="I1150" s="101">
        <f t="shared" si="70"/>
        <v>5</v>
      </c>
      <c r="J1150" s="106">
        <f t="shared" si="71"/>
        <v>0.28333333333333333</v>
      </c>
      <c r="K1150" s="106">
        <f t="shared" si="72"/>
        <v>-63.099999999999682</v>
      </c>
    </row>
    <row r="1151" spans="8:11" ht="17.45" customHeight="1" x14ac:dyDescent="0.3">
      <c r="H1151" s="101">
        <f t="shared" si="73"/>
        <v>1143</v>
      </c>
      <c r="I1151" s="101">
        <f t="shared" si="70"/>
        <v>5</v>
      </c>
      <c r="J1151" s="106">
        <f t="shared" si="71"/>
        <v>0.28333333333333333</v>
      </c>
      <c r="K1151" s="106">
        <f t="shared" si="72"/>
        <v>-62.81666666666635</v>
      </c>
    </row>
    <row r="1152" spans="8:11" ht="17.45" customHeight="1" x14ac:dyDescent="0.3">
      <c r="H1152" s="101">
        <f t="shared" si="73"/>
        <v>1144</v>
      </c>
      <c r="I1152" s="101">
        <f t="shared" si="70"/>
        <v>5</v>
      </c>
      <c r="J1152" s="106">
        <f t="shared" si="71"/>
        <v>0.28333333333333333</v>
      </c>
      <c r="K1152" s="106">
        <f t="shared" si="72"/>
        <v>-62.533333333333019</v>
      </c>
    </row>
    <row r="1153" spans="8:11" ht="17.45" customHeight="1" x14ac:dyDescent="0.3">
      <c r="H1153" s="101">
        <f t="shared" si="73"/>
        <v>1145</v>
      </c>
      <c r="I1153" s="101">
        <f t="shared" si="70"/>
        <v>5</v>
      </c>
      <c r="J1153" s="106">
        <f t="shared" si="71"/>
        <v>0.28333333333333333</v>
      </c>
      <c r="K1153" s="106">
        <f t="shared" si="72"/>
        <v>-62.249999999999687</v>
      </c>
    </row>
    <row r="1154" spans="8:11" ht="17.45" customHeight="1" x14ac:dyDescent="0.3">
      <c r="H1154" s="101">
        <f t="shared" si="73"/>
        <v>1146</v>
      </c>
      <c r="I1154" s="101">
        <f t="shared" si="70"/>
        <v>5</v>
      </c>
      <c r="J1154" s="106">
        <f t="shared" si="71"/>
        <v>0.28333333333333333</v>
      </c>
      <c r="K1154" s="106">
        <f t="shared" si="72"/>
        <v>-61.966666666666356</v>
      </c>
    </row>
    <row r="1155" spans="8:11" ht="17.45" customHeight="1" x14ac:dyDescent="0.3">
      <c r="H1155" s="101">
        <f t="shared" si="73"/>
        <v>1147</v>
      </c>
      <c r="I1155" s="101">
        <f t="shared" si="70"/>
        <v>5</v>
      </c>
      <c r="J1155" s="106">
        <f t="shared" si="71"/>
        <v>0.28333333333333333</v>
      </c>
      <c r="K1155" s="106">
        <f t="shared" si="72"/>
        <v>-61.683333333333024</v>
      </c>
    </row>
    <row r="1156" spans="8:11" ht="17.45" customHeight="1" x14ac:dyDescent="0.3">
      <c r="H1156" s="101">
        <f t="shared" si="73"/>
        <v>1148</v>
      </c>
      <c r="I1156" s="101">
        <f t="shared" si="70"/>
        <v>5</v>
      </c>
      <c r="J1156" s="106">
        <f t="shared" si="71"/>
        <v>0.28333333333333333</v>
      </c>
      <c r="K1156" s="106">
        <f t="shared" si="72"/>
        <v>-61.399999999999693</v>
      </c>
    </row>
    <row r="1157" spans="8:11" ht="17.45" customHeight="1" x14ac:dyDescent="0.3">
      <c r="H1157" s="101">
        <f t="shared" si="73"/>
        <v>1149</v>
      </c>
      <c r="I1157" s="101">
        <f t="shared" si="70"/>
        <v>5</v>
      </c>
      <c r="J1157" s="106">
        <f t="shared" si="71"/>
        <v>0.28333333333333333</v>
      </c>
      <c r="K1157" s="106">
        <f t="shared" si="72"/>
        <v>-61.116666666666362</v>
      </c>
    </row>
    <row r="1158" spans="8:11" ht="17.45" customHeight="1" x14ac:dyDescent="0.3">
      <c r="H1158" s="101">
        <f t="shared" si="73"/>
        <v>1150</v>
      </c>
      <c r="I1158" s="101">
        <f t="shared" si="70"/>
        <v>5</v>
      </c>
      <c r="J1158" s="106">
        <f t="shared" si="71"/>
        <v>0.28333333333333333</v>
      </c>
      <c r="K1158" s="106">
        <f t="shared" si="72"/>
        <v>-60.83333333333303</v>
      </c>
    </row>
    <row r="1159" spans="8:11" ht="17.45" customHeight="1" x14ac:dyDescent="0.3">
      <c r="H1159" s="101">
        <f t="shared" si="73"/>
        <v>1151</v>
      </c>
      <c r="I1159" s="101">
        <f t="shared" si="70"/>
        <v>5</v>
      </c>
      <c r="J1159" s="106">
        <f t="shared" si="71"/>
        <v>0.28333333333333333</v>
      </c>
      <c r="K1159" s="106">
        <f t="shared" si="72"/>
        <v>-60.549999999999699</v>
      </c>
    </row>
    <row r="1160" spans="8:11" ht="17.45" customHeight="1" x14ac:dyDescent="0.3">
      <c r="H1160" s="101">
        <f t="shared" si="73"/>
        <v>1152</v>
      </c>
      <c r="I1160" s="101">
        <f t="shared" si="70"/>
        <v>5</v>
      </c>
      <c r="J1160" s="106">
        <f t="shared" si="71"/>
        <v>0.28333333333333333</v>
      </c>
      <c r="K1160" s="106">
        <f t="shared" si="72"/>
        <v>-60.266666666666367</v>
      </c>
    </row>
    <row r="1161" spans="8:11" ht="17.45" customHeight="1" x14ac:dyDescent="0.3">
      <c r="H1161" s="101">
        <f t="shared" si="73"/>
        <v>1153</v>
      </c>
      <c r="I1161" s="101">
        <f t="shared" ref="I1161:I1224" si="74">MATCH(H1161,$C$8:$C$13,1)</f>
        <v>5</v>
      </c>
      <c r="J1161" s="106">
        <f t="shared" si="71"/>
        <v>0.28333333333333333</v>
      </c>
      <c r="K1161" s="106">
        <f t="shared" si="72"/>
        <v>-59.983333333333036</v>
      </c>
    </row>
    <row r="1162" spans="8:11" ht="17.45" customHeight="1" x14ac:dyDescent="0.3">
      <c r="H1162" s="101">
        <f t="shared" si="73"/>
        <v>1154</v>
      </c>
      <c r="I1162" s="101">
        <f t="shared" si="74"/>
        <v>5</v>
      </c>
      <c r="J1162" s="106">
        <f t="shared" ref="J1162:J1225" si="75">INDEX($E$8:$E$13,I1161)</f>
        <v>0.28333333333333333</v>
      </c>
      <c r="K1162" s="106">
        <f t="shared" ref="K1162:K1225" si="76">K1161+J1162</f>
        <v>-59.699999999999704</v>
      </c>
    </row>
    <row r="1163" spans="8:11" ht="17.45" customHeight="1" x14ac:dyDescent="0.3">
      <c r="H1163" s="101">
        <f t="shared" si="73"/>
        <v>1155</v>
      </c>
      <c r="I1163" s="101">
        <f t="shared" si="74"/>
        <v>5</v>
      </c>
      <c r="J1163" s="106">
        <f t="shared" si="75"/>
        <v>0.28333333333333333</v>
      </c>
      <c r="K1163" s="106">
        <f t="shared" si="76"/>
        <v>-59.416666666666373</v>
      </c>
    </row>
    <row r="1164" spans="8:11" ht="17.45" customHeight="1" x14ac:dyDescent="0.3">
      <c r="H1164" s="101">
        <f t="shared" si="73"/>
        <v>1156</v>
      </c>
      <c r="I1164" s="101">
        <f t="shared" si="74"/>
        <v>5</v>
      </c>
      <c r="J1164" s="106">
        <f t="shared" si="75"/>
        <v>0.28333333333333333</v>
      </c>
      <c r="K1164" s="106">
        <f t="shared" si="76"/>
        <v>-59.133333333333042</v>
      </c>
    </row>
    <row r="1165" spans="8:11" ht="17.45" customHeight="1" x14ac:dyDescent="0.3">
      <c r="H1165" s="101">
        <f t="shared" si="73"/>
        <v>1157</v>
      </c>
      <c r="I1165" s="101">
        <f t="shared" si="74"/>
        <v>5</v>
      </c>
      <c r="J1165" s="106">
        <f t="shared" si="75"/>
        <v>0.28333333333333333</v>
      </c>
      <c r="K1165" s="106">
        <f t="shared" si="76"/>
        <v>-58.84999999999971</v>
      </c>
    </row>
    <row r="1166" spans="8:11" ht="17.45" customHeight="1" x14ac:dyDescent="0.3">
      <c r="H1166" s="101">
        <f t="shared" si="73"/>
        <v>1158</v>
      </c>
      <c r="I1166" s="101">
        <f t="shared" si="74"/>
        <v>5</v>
      </c>
      <c r="J1166" s="106">
        <f t="shared" si="75"/>
        <v>0.28333333333333333</v>
      </c>
      <c r="K1166" s="106">
        <f t="shared" si="76"/>
        <v>-58.566666666666379</v>
      </c>
    </row>
    <row r="1167" spans="8:11" ht="17.45" customHeight="1" x14ac:dyDescent="0.3">
      <c r="H1167" s="101">
        <f t="shared" si="73"/>
        <v>1159</v>
      </c>
      <c r="I1167" s="101">
        <f t="shared" si="74"/>
        <v>5</v>
      </c>
      <c r="J1167" s="106">
        <f t="shared" si="75"/>
        <v>0.28333333333333333</v>
      </c>
      <c r="K1167" s="106">
        <f t="shared" si="76"/>
        <v>-58.283333333333047</v>
      </c>
    </row>
    <row r="1168" spans="8:11" ht="17.45" customHeight="1" x14ac:dyDescent="0.3">
      <c r="H1168" s="101">
        <f t="shared" si="73"/>
        <v>1160</v>
      </c>
      <c r="I1168" s="101">
        <f t="shared" si="74"/>
        <v>5</v>
      </c>
      <c r="J1168" s="106">
        <f t="shared" si="75"/>
        <v>0.28333333333333333</v>
      </c>
      <c r="K1168" s="106">
        <f t="shared" si="76"/>
        <v>-57.999999999999716</v>
      </c>
    </row>
    <row r="1169" spans="8:11" ht="17.45" customHeight="1" x14ac:dyDescent="0.3">
      <c r="H1169" s="101">
        <f t="shared" si="73"/>
        <v>1161</v>
      </c>
      <c r="I1169" s="101">
        <f t="shared" si="74"/>
        <v>5</v>
      </c>
      <c r="J1169" s="106">
        <f t="shared" si="75"/>
        <v>0.28333333333333333</v>
      </c>
      <c r="K1169" s="106">
        <f t="shared" si="76"/>
        <v>-57.716666666666384</v>
      </c>
    </row>
    <row r="1170" spans="8:11" ht="17.45" customHeight="1" x14ac:dyDescent="0.3">
      <c r="H1170" s="101">
        <f t="shared" si="73"/>
        <v>1162</v>
      </c>
      <c r="I1170" s="101">
        <f t="shared" si="74"/>
        <v>5</v>
      </c>
      <c r="J1170" s="106">
        <f t="shared" si="75"/>
        <v>0.28333333333333333</v>
      </c>
      <c r="K1170" s="106">
        <f t="shared" si="76"/>
        <v>-57.433333333333053</v>
      </c>
    </row>
    <row r="1171" spans="8:11" ht="17.45" customHeight="1" x14ac:dyDescent="0.3">
      <c r="H1171" s="101">
        <f t="shared" si="73"/>
        <v>1163</v>
      </c>
      <c r="I1171" s="101">
        <f t="shared" si="74"/>
        <v>5</v>
      </c>
      <c r="J1171" s="106">
        <f t="shared" si="75"/>
        <v>0.28333333333333333</v>
      </c>
      <c r="K1171" s="106">
        <f t="shared" si="76"/>
        <v>-57.149999999999721</v>
      </c>
    </row>
    <row r="1172" spans="8:11" ht="17.45" customHeight="1" x14ac:dyDescent="0.3">
      <c r="H1172" s="101">
        <f t="shared" si="73"/>
        <v>1164</v>
      </c>
      <c r="I1172" s="101">
        <f t="shared" si="74"/>
        <v>5</v>
      </c>
      <c r="J1172" s="106">
        <f t="shared" si="75"/>
        <v>0.28333333333333333</v>
      </c>
      <c r="K1172" s="106">
        <f t="shared" si="76"/>
        <v>-56.86666666666639</v>
      </c>
    </row>
    <row r="1173" spans="8:11" ht="17.45" customHeight="1" x14ac:dyDescent="0.3">
      <c r="H1173" s="101">
        <f t="shared" si="73"/>
        <v>1165</v>
      </c>
      <c r="I1173" s="101">
        <f t="shared" si="74"/>
        <v>5</v>
      </c>
      <c r="J1173" s="106">
        <f t="shared" si="75"/>
        <v>0.28333333333333333</v>
      </c>
      <c r="K1173" s="106">
        <f t="shared" si="76"/>
        <v>-56.583333333333059</v>
      </c>
    </row>
    <row r="1174" spans="8:11" ht="17.45" customHeight="1" x14ac:dyDescent="0.3">
      <c r="H1174" s="101">
        <f t="shared" si="73"/>
        <v>1166</v>
      </c>
      <c r="I1174" s="101">
        <f t="shared" si="74"/>
        <v>5</v>
      </c>
      <c r="J1174" s="106">
        <f t="shared" si="75"/>
        <v>0.28333333333333333</v>
      </c>
      <c r="K1174" s="106">
        <f t="shared" si="76"/>
        <v>-56.299999999999727</v>
      </c>
    </row>
    <row r="1175" spans="8:11" ht="17.45" customHeight="1" x14ac:dyDescent="0.3">
      <c r="H1175" s="101">
        <f t="shared" ref="H1175:H1238" si="77">H1174+1</f>
        <v>1167</v>
      </c>
      <c r="I1175" s="101">
        <f t="shared" si="74"/>
        <v>5</v>
      </c>
      <c r="J1175" s="106">
        <f t="shared" si="75"/>
        <v>0.28333333333333333</v>
      </c>
      <c r="K1175" s="106">
        <f t="shared" si="76"/>
        <v>-56.016666666666396</v>
      </c>
    </row>
    <row r="1176" spans="8:11" ht="17.45" customHeight="1" x14ac:dyDescent="0.3">
      <c r="H1176" s="101">
        <f t="shared" si="77"/>
        <v>1168</v>
      </c>
      <c r="I1176" s="101">
        <f t="shared" si="74"/>
        <v>5</v>
      </c>
      <c r="J1176" s="106">
        <f t="shared" si="75"/>
        <v>0.28333333333333333</v>
      </c>
      <c r="K1176" s="106">
        <f t="shared" si="76"/>
        <v>-55.733333333333064</v>
      </c>
    </row>
    <row r="1177" spans="8:11" ht="17.45" customHeight="1" x14ac:dyDescent="0.3">
      <c r="H1177" s="101">
        <f t="shared" si="77"/>
        <v>1169</v>
      </c>
      <c r="I1177" s="101">
        <f t="shared" si="74"/>
        <v>5</v>
      </c>
      <c r="J1177" s="106">
        <f t="shared" si="75"/>
        <v>0.28333333333333333</v>
      </c>
      <c r="K1177" s="106">
        <f t="shared" si="76"/>
        <v>-55.449999999999733</v>
      </c>
    </row>
    <row r="1178" spans="8:11" ht="17.45" customHeight="1" x14ac:dyDescent="0.3">
      <c r="H1178" s="101">
        <f t="shared" si="77"/>
        <v>1170</v>
      </c>
      <c r="I1178" s="101">
        <f t="shared" si="74"/>
        <v>5</v>
      </c>
      <c r="J1178" s="106">
        <f t="shared" si="75"/>
        <v>0.28333333333333333</v>
      </c>
      <c r="K1178" s="106">
        <f t="shared" si="76"/>
        <v>-55.166666666666401</v>
      </c>
    </row>
    <row r="1179" spans="8:11" ht="17.45" customHeight="1" x14ac:dyDescent="0.3">
      <c r="H1179" s="101">
        <f t="shared" si="77"/>
        <v>1171</v>
      </c>
      <c r="I1179" s="101">
        <f t="shared" si="74"/>
        <v>5</v>
      </c>
      <c r="J1179" s="106">
        <f t="shared" si="75"/>
        <v>0.28333333333333333</v>
      </c>
      <c r="K1179" s="106">
        <f t="shared" si="76"/>
        <v>-54.88333333333307</v>
      </c>
    </row>
    <row r="1180" spans="8:11" ht="17.45" customHeight="1" x14ac:dyDescent="0.3">
      <c r="H1180" s="101">
        <f t="shared" si="77"/>
        <v>1172</v>
      </c>
      <c r="I1180" s="101">
        <f t="shared" si="74"/>
        <v>5</v>
      </c>
      <c r="J1180" s="106">
        <f t="shared" si="75"/>
        <v>0.28333333333333333</v>
      </c>
      <c r="K1180" s="106">
        <f t="shared" si="76"/>
        <v>-54.599999999999739</v>
      </c>
    </row>
    <row r="1181" spans="8:11" ht="17.45" customHeight="1" x14ac:dyDescent="0.3">
      <c r="H1181" s="101">
        <f t="shared" si="77"/>
        <v>1173</v>
      </c>
      <c r="I1181" s="101">
        <f t="shared" si="74"/>
        <v>5</v>
      </c>
      <c r="J1181" s="106">
        <f t="shared" si="75"/>
        <v>0.28333333333333333</v>
      </c>
      <c r="K1181" s="106">
        <f t="shared" si="76"/>
        <v>-54.316666666666407</v>
      </c>
    </row>
    <row r="1182" spans="8:11" ht="17.45" customHeight="1" x14ac:dyDescent="0.3">
      <c r="H1182" s="101">
        <f t="shared" si="77"/>
        <v>1174</v>
      </c>
      <c r="I1182" s="101">
        <f t="shared" si="74"/>
        <v>5</v>
      </c>
      <c r="J1182" s="106">
        <f t="shared" si="75"/>
        <v>0.28333333333333333</v>
      </c>
      <c r="K1182" s="106">
        <f t="shared" si="76"/>
        <v>-54.033333333333076</v>
      </c>
    </row>
    <row r="1183" spans="8:11" ht="17.45" customHeight="1" x14ac:dyDescent="0.3">
      <c r="H1183" s="101">
        <f t="shared" si="77"/>
        <v>1175</v>
      </c>
      <c r="I1183" s="101">
        <f t="shared" si="74"/>
        <v>5</v>
      </c>
      <c r="J1183" s="106">
        <f t="shared" si="75"/>
        <v>0.28333333333333333</v>
      </c>
      <c r="K1183" s="106">
        <f t="shared" si="76"/>
        <v>-53.749999999999744</v>
      </c>
    </row>
    <row r="1184" spans="8:11" ht="17.45" customHeight="1" x14ac:dyDescent="0.3">
      <c r="H1184" s="101">
        <f t="shared" si="77"/>
        <v>1176</v>
      </c>
      <c r="I1184" s="101">
        <f t="shared" si="74"/>
        <v>5</v>
      </c>
      <c r="J1184" s="106">
        <f t="shared" si="75"/>
        <v>0.28333333333333333</v>
      </c>
      <c r="K1184" s="106">
        <f t="shared" si="76"/>
        <v>-53.466666666666413</v>
      </c>
    </row>
    <row r="1185" spans="8:11" ht="17.45" customHeight="1" x14ac:dyDescent="0.3">
      <c r="H1185" s="101">
        <f t="shared" si="77"/>
        <v>1177</v>
      </c>
      <c r="I1185" s="101">
        <f t="shared" si="74"/>
        <v>5</v>
      </c>
      <c r="J1185" s="106">
        <f t="shared" si="75"/>
        <v>0.28333333333333333</v>
      </c>
      <c r="K1185" s="106">
        <f t="shared" si="76"/>
        <v>-53.183333333333081</v>
      </c>
    </row>
    <row r="1186" spans="8:11" ht="17.45" customHeight="1" x14ac:dyDescent="0.3">
      <c r="H1186" s="101">
        <f t="shared" si="77"/>
        <v>1178</v>
      </c>
      <c r="I1186" s="101">
        <f t="shared" si="74"/>
        <v>5</v>
      </c>
      <c r="J1186" s="106">
        <f t="shared" si="75"/>
        <v>0.28333333333333333</v>
      </c>
      <c r="K1186" s="106">
        <f t="shared" si="76"/>
        <v>-52.89999999999975</v>
      </c>
    </row>
    <row r="1187" spans="8:11" ht="17.45" customHeight="1" x14ac:dyDescent="0.3">
      <c r="H1187" s="101">
        <f t="shared" si="77"/>
        <v>1179</v>
      </c>
      <c r="I1187" s="101">
        <f t="shared" si="74"/>
        <v>5</v>
      </c>
      <c r="J1187" s="106">
        <f t="shared" si="75"/>
        <v>0.28333333333333333</v>
      </c>
      <c r="K1187" s="106">
        <f t="shared" si="76"/>
        <v>-52.616666666666418</v>
      </c>
    </row>
    <row r="1188" spans="8:11" ht="17.45" customHeight="1" x14ac:dyDescent="0.3">
      <c r="H1188" s="101">
        <f t="shared" si="77"/>
        <v>1180</v>
      </c>
      <c r="I1188" s="101">
        <f t="shared" si="74"/>
        <v>5</v>
      </c>
      <c r="J1188" s="106">
        <f t="shared" si="75"/>
        <v>0.28333333333333333</v>
      </c>
      <c r="K1188" s="106">
        <f t="shared" si="76"/>
        <v>-52.333333333333087</v>
      </c>
    </row>
    <row r="1189" spans="8:11" ht="17.45" customHeight="1" x14ac:dyDescent="0.3">
      <c r="H1189" s="101">
        <f t="shared" si="77"/>
        <v>1181</v>
      </c>
      <c r="I1189" s="101">
        <f t="shared" si="74"/>
        <v>5</v>
      </c>
      <c r="J1189" s="106">
        <f t="shared" si="75"/>
        <v>0.28333333333333333</v>
      </c>
      <c r="K1189" s="106">
        <f t="shared" si="76"/>
        <v>-52.049999999999756</v>
      </c>
    </row>
    <row r="1190" spans="8:11" ht="17.45" customHeight="1" x14ac:dyDescent="0.3">
      <c r="H1190" s="101">
        <f t="shared" si="77"/>
        <v>1182</v>
      </c>
      <c r="I1190" s="101">
        <f t="shared" si="74"/>
        <v>5</v>
      </c>
      <c r="J1190" s="106">
        <f t="shared" si="75"/>
        <v>0.28333333333333333</v>
      </c>
      <c r="K1190" s="106">
        <f t="shared" si="76"/>
        <v>-51.766666666666424</v>
      </c>
    </row>
    <row r="1191" spans="8:11" ht="17.45" customHeight="1" x14ac:dyDescent="0.3">
      <c r="H1191" s="101">
        <f t="shared" si="77"/>
        <v>1183</v>
      </c>
      <c r="I1191" s="101">
        <f t="shared" si="74"/>
        <v>5</v>
      </c>
      <c r="J1191" s="106">
        <f t="shared" si="75"/>
        <v>0.28333333333333333</v>
      </c>
      <c r="K1191" s="106">
        <f t="shared" si="76"/>
        <v>-51.483333333333093</v>
      </c>
    </row>
    <row r="1192" spans="8:11" ht="17.45" customHeight="1" x14ac:dyDescent="0.3">
      <c r="H1192" s="101">
        <f t="shared" si="77"/>
        <v>1184</v>
      </c>
      <c r="I1192" s="101">
        <f t="shared" si="74"/>
        <v>5</v>
      </c>
      <c r="J1192" s="106">
        <f t="shared" si="75"/>
        <v>0.28333333333333333</v>
      </c>
      <c r="K1192" s="106">
        <f t="shared" si="76"/>
        <v>-51.199999999999761</v>
      </c>
    </row>
    <row r="1193" spans="8:11" ht="17.45" customHeight="1" x14ac:dyDescent="0.3">
      <c r="H1193" s="101">
        <f t="shared" si="77"/>
        <v>1185</v>
      </c>
      <c r="I1193" s="101">
        <f t="shared" si="74"/>
        <v>5</v>
      </c>
      <c r="J1193" s="106">
        <f t="shared" si="75"/>
        <v>0.28333333333333333</v>
      </c>
      <c r="K1193" s="106">
        <f t="shared" si="76"/>
        <v>-50.91666666666643</v>
      </c>
    </row>
    <row r="1194" spans="8:11" ht="17.45" customHeight="1" x14ac:dyDescent="0.3">
      <c r="H1194" s="101">
        <f t="shared" si="77"/>
        <v>1186</v>
      </c>
      <c r="I1194" s="101">
        <f t="shared" si="74"/>
        <v>5</v>
      </c>
      <c r="J1194" s="106">
        <f t="shared" si="75"/>
        <v>0.28333333333333333</v>
      </c>
      <c r="K1194" s="106">
        <f t="shared" si="76"/>
        <v>-50.633333333333098</v>
      </c>
    </row>
    <row r="1195" spans="8:11" ht="17.45" customHeight="1" x14ac:dyDescent="0.3">
      <c r="H1195" s="101">
        <f t="shared" si="77"/>
        <v>1187</v>
      </c>
      <c r="I1195" s="101">
        <f t="shared" si="74"/>
        <v>5</v>
      </c>
      <c r="J1195" s="106">
        <f t="shared" si="75"/>
        <v>0.28333333333333333</v>
      </c>
      <c r="K1195" s="106">
        <f t="shared" si="76"/>
        <v>-50.349999999999767</v>
      </c>
    </row>
    <row r="1196" spans="8:11" ht="17.45" customHeight="1" x14ac:dyDescent="0.3">
      <c r="H1196" s="101">
        <f t="shared" si="77"/>
        <v>1188</v>
      </c>
      <c r="I1196" s="101">
        <f t="shared" si="74"/>
        <v>5</v>
      </c>
      <c r="J1196" s="106">
        <f t="shared" si="75"/>
        <v>0.28333333333333333</v>
      </c>
      <c r="K1196" s="106">
        <f t="shared" si="76"/>
        <v>-50.066666666666436</v>
      </c>
    </row>
    <row r="1197" spans="8:11" ht="17.45" customHeight="1" x14ac:dyDescent="0.3">
      <c r="H1197" s="101">
        <f t="shared" si="77"/>
        <v>1189</v>
      </c>
      <c r="I1197" s="101">
        <f t="shared" si="74"/>
        <v>5</v>
      </c>
      <c r="J1197" s="106">
        <f t="shared" si="75"/>
        <v>0.28333333333333333</v>
      </c>
      <c r="K1197" s="106">
        <f t="shared" si="76"/>
        <v>-49.783333333333104</v>
      </c>
    </row>
    <row r="1198" spans="8:11" ht="17.45" customHeight="1" x14ac:dyDescent="0.3">
      <c r="H1198" s="101">
        <f t="shared" si="77"/>
        <v>1190</v>
      </c>
      <c r="I1198" s="101">
        <f t="shared" si="74"/>
        <v>5</v>
      </c>
      <c r="J1198" s="106">
        <f t="shared" si="75"/>
        <v>0.28333333333333333</v>
      </c>
      <c r="K1198" s="106">
        <f t="shared" si="76"/>
        <v>-49.499999999999773</v>
      </c>
    </row>
    <row r="1199" spans="8:11" ht="17.45" customHeight="1" x14ac:dyDescent="0.3">
      <c r="H1199" s="101">
        <f t="shared" si="77"/>
        <v>1191</v>
      </c>
      <c r="I1199" s="101">
        <f t="shared" si="74"/>
        <v>5</v>
      </c>
      <c r="J1199" s="106">
        <f t="shared" si="75"/>
        <v>0.28333333333333333</v>
      </c>
      <c r="K1199" s="106">
        <f t="shared" si="76"/>
        <v>-49.216666666666441</v>
      </c>
    </row>
    <row r="1200" spans="8:11" ht="17.45" customHeight="1" x14ac:dyDescent="0.3">
      <c r="H1200" s="101">
        <f t="shared" si="77"/>
        <v>1192</v>
      </c>
      <c r="I1200" s="101">
        <f t="shared" si="74"/>
        <v>5</v>
      </c>
      <c r="J1200" s="106">
        <f t="shared" si="75"/>
        <v>0.28333333333333333</v>
      </c>
      <c r="K1200" s="106">
        <f t="shared" si="76"/>
        <v>-48.93333333333311</v>
      </c>
    </row>
    <row r="1201" spans="8:11" ht="17.45" customHeight="1" x14ac:dyDescent="0.3">
      <c r="H1201" s="101">
        <f t="shared" si="77"/>
        <v>1193</v>
      </c>
      <c r="I1201" s="101">
        <f t="shared" si="74"/>
        <v>5</v>
      </c>
      <c r="J1201" s="106">
        <f t="shared" si="75"/>
        <v>0.28333333333333333</v>
      </c>
      <c r="K1201" s="106">
        <f t="shared" si="76"/>
        <v>-48.649999999999778</v>
      </c>
    </row>
    <row r="1202" spans="8:11" ht="17.45" customHeight="1" x14ac:dyDescent="0.3">
      <c r="H1202" s="101">
        <f t="shared" si="77"/>
        <v>1194</v>
      </c>
      <c r="I1202" s="101">
        <f t="shared" si="74"/>
        <v>5</v>
      </c>
      <c r="J1202" s="106">
        <f t="shared" si="75"/>
        <v>0.28333333333333333</v>
      </c>
      <c r="K1202" s="106">
        <f t="shared" si="76"/>
        <v>-48.366666666666447</v>
      </c>
    </row>
    <row r="1203" spans="8:11" ht="17.45" customHeight="1" x14ac:dyDescent="0.3">
      <c r="H1203" s="101">
        <f t="shared" si="77"/>
        <v>1195</v>
      </c>
      <c r="I1203" s="101">
        <f t="shared" si="74"/>
        <v>5</v>
      </c>
      <c r="J1203" s="106">
        <f t="shared" si="75"/>
        <v>0.28333333333333333</v>
      </c>
      <c r="K1203" s="106">
        <f t="shared" si="76"/>
        <v>-48.083333333333115</v>
      </c>
    </row>
    <row r="1204" spans="8:11" ht="17.45" customHeight="1" x14ac:dyDescent="0.3">
      <c r="H1204" s="101">
        <f t="shared" si="77"/>
        <v>1196</v>
      </c>
      <c r="I1204" s="101">
        <f t="shared" si="74"/>
        <v>5</v>
      </c>
      <c r="J1204" s="106">
        <f t="shared" si="75"/>
        <v>0.28333333333333333</v>
      </c>
      <c r="K1204" s="106">
        <f t="shared" si="76"/>
        <v>-47.799999999999784</v>
      </c>
    </row>
    <row r="1205" spans="8:11" ht="17.45" customHeight="1" x14ac:dyDescent="0.3">
      <c r="H1205" s="101">
        <f t="shared" si="77"/>
        <v>1197</v>
      </c>
      <c r="I1205" s="101">
        <f t="shared" si="74"/>
        <v>5</v>
      </c>
      <c r="J1205" s="106">
        <f t="shared" si="75"/>
        <v>0.28333333333333333</v>
      </c>
      <c r="K1205" s="106">
        <f t="shared" si="76"/>
        <v>-47.516666666666453</v>
      </c>
    </row>
    <row r="1206" spans="8:11" ht="17.45" customHeight="1" x14ac:dyDescent="0.3">
      <c r="H1206" s="101">
        <f t="shared" si="77"/>
        <v>1198</v>
      </c>
      <c r="I1206" s="101">
        <f t="shared" si="74"/>
        <v>5</v>
      </c>
      <c r="J1206" s="106">
        <f t="shared" si="75"/>
        <v>0.28333333333333333</v>
      </c>
      <c r="K1206" s="106">
        <f t="shared" si="76"/>
        <v>-47.233333333333121</v>
      </c>
    </row>
    <row r="1207" spans="8:11" ht="17.45" customHeight="1" x14ac:dyDescent="0.3">
      <c r="H1207" s="101">
        <f t="shared" si="77"/>
        <v>1199</v>
      </c>
      <c r="I1207" s="101">
        <f t="shared" si="74"/>
        <v>5</v>
      </c>
      <c r="J1207" s="106">
        <f t="shared" si="75"/>
        <v>0.28333333333333333</v>
      </c>
      <c r="K1207" s="106">
        <f t="shared" si="76"/>
        <v>-46.94999999999979</v>
      </c>
    </row>
    <row r="1208" spans="8:11" ht="17.45" customHeight="1" x14ac:dyDescent="0.3">
      <c r="H1208" s="101">
        <f t="shared" si="77"/>
        <v>1200</v>
      </c>
      <c r="I1208" s="101">
        <f t="shared" si="74"/>
        <v>5</v>
      </c>
      <c r="J1208" s="106">
        <f t="shared" si="75"/>
        <v>0.28333333333333333</v>
      </c>
      <c r="K1208" s="106">
        <f t="shared" si="76"/>
        <v>-46.666666666666458</v>
      </c>
    </row>
    <row r="1209" spans="8:11" ht="17.45" customHeight="1" x14ac:dyDescent="0.3">
      <c r="H1209" s="101">
        <f t="shared" si="77"/>
        <v>1201</v>
      </c>
      <c r="I1209" s="101">
        <f t="shared" si="74"/>
        <v>5</v>
      </c>
      <c r="J1209" s="106">
        <f t="shared" si="75"/>
        <v>0.28333333333333333</v>
      </c>
      <c r="K1209" s="106">
        <f t="shared" si="76"/>
        <v>-46.383333333333127</v>
      </c>
    </row>
    <row r="1210" spans="8:11" ht="17.45" customHeight="1" x14ac:dyDescent="0.3">
      <c r="H1210" s="101">
        <f t="shared" si="77"/>
        <v>1202</v>
      </c>
      <c r="I1210" s="101">
        <f t="shared" si="74"/>
        <v>5</v>
      </c>
      <c r="J1210" s="106">
        <f t="shared" si="75"/>
        <v>0.28333333333333333</v>
      </c>
      <c r="K1210" s="106">
        <f t="shared" si="76"/>
        <v>-46.099999999999795</v>
      </c>
    </row>
    <row r="1211" spans="8:11" ht="17.45" customHeight="1" x14ac:dyDescent="0.3">
      <c r="H1211" s="101">
        <f t="shared" si="77"/>
        <v>1203</v>
      </c>
      <c r="I1211" s="101">
        <f t="shared" si="74"/>
        <v>5</v>
      </c>
      <c r="J1211" s="106">
        <f t="shared" si="75"/>
        <v>0.28333333333333333</v>
      </c>
      <c r="K1211" s="106">
        <f t="shared" si="76"/>
        <v>-45.816666666666464</v>
      </c>
    </row>
    <row r="1212" spans="8:11" ht="17.45" customHeight="1" x14ac:dyDescent="0.3">
      <c r="H1212" s="101">
        <f t="shared" si="77"/>
        <v>1204</v>
      </c>
      <c r="I1212" s="101">
        <f t="shared" si="74"/>
        <v>5</v>
      </c>
      <c r="J1212" s="106">
        <f t="shared" si="75"/>
        <v>0.28333333333333333</v>
      </c>
      <c r="K1212" s="106">
        <f t="shared" si="76"/>
        <v>-45.533333333333132</v>
      </c>
    </row>
    <row r="1213" spans="8:11" ht="17.45" customHeight="1" x14ac:dyDescent="0.3">
      <c r="H1213" s="101">
        <f t="shared" si="77"/>
        <v>1205</v>
      </c>
      <c r="I1213" s="101">
        <f t="shared" si="74"/>
        <v>5</v>
      </c>
      <c r="J1213" s="106">
        <f t="shared" si="75"/>
        <v>0.28333333333333333</v>
      </c>
      <c r="K1213" s="106">
        <f t="shared" si="76"/>
        <v>-45.249999999999801</v>
      </c>
    </row>
    <row r="1214" spans="8:11" ht="17.45" customHeight="1" x14ac:dyDescent="0.3">
      <c r="H1214" s="101">
        <f t="shared" si="77"/>
        <v>1206</v>
      </c>
      <c r="I1214" s="101">
        <f t="shared" si="74"/>
        <v>5</v>
      </c>
      <c r="J1214" s="106">
        <f t="shared" si="75"/>
        <v>0.28333333333333333</v>
      </c>
      <c r="K1214" s="106">
        <f t="shared" si="76"/>
        <v>-44.96666666666647</v>
      </c>
    </row>
    <row r="1215" spans="8:11" ht="17.45" customHeight="1" x14ac:dyDescent="0.3">
      <c r="H1215" s="101">
        <f t="shared" si="77"/>
        <v>1207</v>
      </c>
      <c r="I1215" s="101">
        <f t="shared" si="74"/>
        <v>5</v>
      </c>
      <c r="J1215" s="106">
        <f t="shared" si="75"/>
        <v>0.28333333333333333</v>
      </c>
      <c r="K1215" s="106">
        <f t="shared" si="76"/>
        <v>-44.683333333333138</v>
      </c>
    </row>
    <row r="1216" spans="8:11" ht="17.45" customHeight="1" x14ac:dyDescent="0.3">
      <c r="H1216" s="101">
        <f t="shared" si="77"/>
        <v>1208</v>
      </c>
      <c r="I1216" s="101">
        <f t="shared" si="74"/>
        <v>5</v>
      </c>
      <c r="J1216" s="106">
        <f t="shared" si="75"/>
        <v>0.28333333333333333</v>
      </c>
      <c r="K1216" s="106">
        <f t="shared" si="76"/>
        <v>-44.399999999999807</v>
      </c>
    </row>
    <row r="1217" spans="8:11" ht="17.45" customHeight="1" x14ac:dyDescent="0.3">
      <c r="H1217" s="101">
        <f t="shared" si="77"/>
        <v>1209</v>
      </c>
      <c r="I1217" s="101">
        <f t="shared" si="74"/>
        <v>5</v>
      </c>
      <c r="J1217" s="106">
        <f t="shared" si="75"/>
        <v>0.28333333333333333</v>
      </c>
      <c r="K1217" s="106">
        <f t="shared" si="76"/>
        <v>-44.116666666666475</v>
      </c>
    </row>
    <row r="1218" spans="8:11" ht="17.45" customHeight="1" x14ac:dyDescent="0.3">
      <c r="H1218" s="101">
        <f t="shared" si="77"/>
        <v>1210</v>
      </c>
      <c r="I1218" s="101">
        <f t="shared" si="74"/>
        <v>5</v>
      </c>
      <c r="J1218" s="106">
        <f t="shared" si="75"/>
        <v>0.28333333333333333</v>
      </c>
      <c r="K1218" s="106">
        <f t="shared" si="76"/>
        <v>-43.833333333333144</v>
      </c>
    </row>
    <row r="1219" spans="8:11" ht="17.45" customHeight="1" x14ac:dyDescent="0.3">
      <c r="H1219" s="101">
        <f t="shared" si="77"/>
        <v>1211</v>
      </c>
      <c r="I1219" s="101">
        <f t="shared" si="74"/>
        <v>5</v>
      </c>
      <c r="J1219" s="106">
        <f t="shared" si="75"/>
        <v>0.28333333333333333</v>
      </c>
      <c r="K1219" s="106">
        <f t="shared" si="76"/>
        <v>-43.549999999999812</v>
      </c>
    </row>
    <row r="1220" spans="8:11" ht="17.45" customHeight="1" x14ac:dyDescent="0.3">
      <c r="H1220" s="101">
        <f t="shared" si="77"/>
        <v>1212</v>
      </c>
      <c r="I1220" s="101">
        <f t="shared" si="74"/>
        <v>5</v>
      </c>
      <c r="J1220" s="106">
        <f t="shared" si="75"/>
        <v>0.28333333333333333</v>
      </c>
      <c r="K1220" s="106">
        <f t="shared" si="76"/>
        <v>-43.266666666666481</v>
      </c>
    </row>
    <row r="1221" spans="8:11" ht="17.45" customHeight="1" x14ac:dyDescent="0.3">
      <c r="H1221" s="101">
        <f t="shared" si="77"/>
        <v>1213</v>
      </c>
      <c r="I1221" s="101">
        <f t="shared" si="74"/>
        <v>5</v>
      </c>
      <c r="J1221" s="106">
        <f t="shared" si="75"/>
        <v>0.28333333333333333</v>
      </c>
      <c r="K1221" s="106">
        <f t="shared" si="76"/>
        <v>-42.98333333333315</v>
      </c>
    </row>
    <row r="1222" spans="8:11" ht="17.45" customHeight="1" x14ac:dyDescent="0.3">
      <c r="H1222" s="101">
        <f t="shared" si="77"/>
        <v>1214</v>
      </c>
      <c r="I1222" s="101">
        <f t="shared" si="74"/>
        <v>5</v>
      </c>
      <c r="J1222" s="106">
        <f t="shared" si="75"/>
        <v>0.28333333333333333</v>
      </c>
      <c r="K1222" s="106">
        <f t="shared" si="76"/>
        <v>-42.699999999999818</v>
      </c>
    </row>
    <row r="1223" spans="8:11" ht="17.45" customHeight="1" x14ac:dyDescent="0.3">
      <c r="H1223" s="101">
        <f t="shared" si="77"/>
        <v>1215</v>
      </c>
      <c r="I1223" s="101">
        <f t="shared" si="74"/>
        <v>5</v>
      </c>
      <c r="J1223" s="106">
        <f t="shared" si="75"/>
        <v>0.28333333333333333</v>
      </c>
      <c r="K1223" s="106">
        <f t="shared" si="76"/>
        <v>-42.416666666666487</v>
      </c>
    </row>
    <row r="1224" spans="8:11" ht="17.45" customHeight="1" x14ac:dyDescent="0.3">
      <c r="H1224" s="101">
        <f t="shared" si="77"/>
        <v>1216</v>
      </c>
      <c r="I1224" s="101">
        <f t="shared" si="74"/>
        <v>5</v>
      </c>
      <c r="J1224" s="106">
        <f t="shared" si="75"/>
        <v>0.28333333333333333</v>
      </c>
      <c r="K1224" s="106">
        <f t="shared" si="76"/>
        <v>-42.133333333333155</v>
      </c>
    </row>
    <row r="1225" spans="8:11" ht="17.45" customHeight="1" x14ac:dyDescent="0.3">
      <c r="H1225" s="101">
        <f t="shared" si="77"/>
        <v>1217</v>
      </c>
      <c r="I1225" s="101">
        <f t="shared" ref="I1225:I1288" si="78">MATCH(H1225,$C$8:$C$13,1)</f>
        <v>5</v>
      </c>
      <c r="J1225" s="106">
        <f t="shared" si="75"/>
        <v>0.28333333333333333</v>
      </c>
      <c r="K1225" s="106">
        <f t="shared" si="76"/>
        <v>-41.849999999999824</v>
      </c>
    </row>
    <row r="1226" spans="8:11" ht="17.45" customHeight="1" x14ac:dyDescent="0.3">
      <c r="H1226" s="101">
        <f t="shared" si="77"/>
        <v>1218</v>
      </c>
      <c r="I1226" s="101">
        <f t="shared" si="78"/>
        <v>5</v>
      </c>
      <c r="J1226" s="106">
        <f t="shared" ref="J1226:J1289" si="79">INDEX($E$8:$E$13,I1225)</f>
        <v>0.28333333333333333</v>
      </c>
      <c r="K1226" s="106">
        <f t="shared" ref="K1226:K1289" si="80">K1225+J1226</f>
        <v>-41.566666666666492</v>
      </c>
    </row>
    <row r="1227" spans="8:11" ht="17.45" customHeight="1" x14ac:dyDescent="0.3">
      <c r="H1227" s="101">
        <f t="shared" si="77"/>
        <v>1219</v>
      </c>
      <c r="I1227" s="101">
        <f t="shared" si="78"/>
        <v>5</v>
      </c>
      <c r="J1227" s="106">
        <f t="shared" si="79"/>
        <v>0.28333333333333333</v>
      </c>
      <c r="K1227" s="106">
        <f t="shared" si="80"/>
        <v>-41.283333333333161</v>
      </c>
    </row>
    <row r="1228" spans="8:11" ht="17.45" customHeight="1" x14ac:dyDescent="0.3">
      <c r="H1228" s="101">
        <f t="shared" si="77"/>
        <v>1220</v>
      </c>
      <c r="I1228" s="101">
        <f t="shared" si="78"/>
        <v>5</v>
      </c>
      <c r="J1228" s="106">
        <f t="shared" si="79"/>
        <v>0.28333333333333333</v>
      </c>
      <c r="K1228" s="106">
        <f t="shared" si="80"/>
        <v>-40.999999999999829</v>
      </c>
    </row>
    <row r="1229" spans="8:11" ht="17.45" customHeight="1" x14ac:dyDescent="0.3">
      <c r="H1229" s="101">
        <f t="shared" si="77"/>
        <v>1221</v>
      </c>
      <c r="I1229" s="101">
        <f t="shared" si="78"/>
        <v>5</v>
      </c>
      <c r="J1229" s="106">
        <f t="shared" si="79"/>
        <v>0.28333333333333333</v>
      </c>
      <c r="K1229" s="106">
        <f t="shared" si="80"/>
        <v>-40.716666666666498</v>
      </c>
    </row>
    <row r="1230" spans="8:11" ht="17.45" customHeight="1" x14ac:dyDescent="0.3">
      <c r="H1230" s="101">
        <f t="shared" si="77"/>
        <v>1222</v>
      </c>
      <c r="I1230" s="101">
        <f t="shared" si="78"/>
        <v>5</v>
      </c>
      <c r="J1230" s="106">
        <f t="shared" si="79"/>
        <v>0.28333333333333333</v>
      </c>
      <c r="K1230" s="106">
        <f t="shared" si="80"/>
        <v>-40.433333333333167</v>
      </c>
    </row>
    <row r="1231" spans="8:11" ht="17.45" customHeight="1" x14ac:dyDescent="0.3">
      <c r="H1231" s="101">
        <f t="shared" si="77"/>
        <v>1223</v>
      </c>
      <c r="I1231" s="101">
        <f t="shared" si="78"/>
        <v>5</v>
      </c>
      <c r="J1231" s="106">
        <f t="shared" si="79"/>
        <v>0.28333333333333333</v>
      </c>
      <c r="K1231" s="106">
        <f t="shared" si="80"/>
        <v>-40.149999999999835</v>
      </c>
    </row>
    <row r="1232" spans="8:11" ht="17.45" customHeight="1" x14ac:dyDescent="0.3">
      <c r="H1232" s="101">
        <f t="shared" si="77"/>
        <v>1224</v>
      </c>
      <c r="I1232" s="101">
        <f t="shared" si="78"/>
        <v>5</v>
      </c>
      <c r="J1232" s="106">
        <f t="shared" si="79"/>
        <v>0.28333333333333333</v>
      </c>
      <c r="K1232" s="106">
        <f t="shared" si="80"/>
        <v>-39.866666666666504</v>
      </c>
    </row>
    <row r="1233" spans="8:11" ht="17.45" customHeight="1" x14ac:dyDescent="0.3">
      <c r="H1233" s="101">
        <f t="shared" si="77"/>
        <v>1225</v>
      </c>
      <c r="I1233" s="101">
        <f t="shared" si="78"/>
        <v>5</v>
      </c>
      <c r="J1233" s="106">
        <f t="shared" si="79"/>
        <v>0.28333333333333333</v>
      </c>
      <c r="K1233" s="106">
        <f t="shared" si="80"/>
        <v>-39.583333333333172</v>
      </c>
    </row>
    <row r="1234" spans="8:11" ht="17.45" customHeight="1" x14ac:dyDescent="0.3">
      <c r="H1234" s="101">
        <f t="shared" si="77"/>
        <v>1226</v>
      </c>
      <c r="I1234" s="101">
        <f t="shared" si="78"/>
        <v>5</v>
      </c>
      <c r="J1234" s="106">
        <f t="shared" si="79"/>
        <v>0.28333333333333333</v>
      </c>
      <c r="K1234" s="106">
        <f t="shared" si="80"/>
        <v>-39.299999999999841</v>
      </c>
    </row>
    <row r="1235" spans="8:11" ht="17.45" customHeight="1" x14ac:dyDescent="0.3">
      <c r="H1235" s="101">
        <f t="shared" si="77"/>
        <v>1227</v>
      </c>
      <c r="I1235" s="101">
        <f t="shared" si="78"/>
        <v>5</v>
      </c>
      <c r="J1235" s="106">
        <f t="shared" si="79"/>
        <v>0.28333333333333333</v>
      </c>
      <c r="K1235" s="106">
        <f t="shared" si="80"/>
        <v>-39.016666666666509</v>
      </c>
    </row>
    <row r="1236" spans="8:11" ht="17.45" customHeight="1" x14ac:dyDescent="0.3">
      <c r="H1236" s="101">
        <f t="shared" si="77"/>
        <v>1228</v>
      </c>
      <c r="I1236" s="101">
        <f t="shared" si="78"/>
        <v>5</v>
      </c>
      <c r="J1236" s="106">
        <f t="shared" si="79"/>
        <v>0.28333333333333333</v>
      </c>
      <c r="K1236" s="106">
        <f t="shared" si="80"/>
        <v>-38.733333333333178</v>
      </c>
    </row>
    <row r="1237" spans="8:11" ht="17.45" customHeight="1" x14ac:dyDescent="0.3">
      <c r="H1237" s="101">
        <f t="shared" si="77"/>
        <v>1229</v>
      </c>
      <c r="I1237" s="101">
        <f t="shared" si="78"/>
        <v>5</v>
      </c>
      <c r="J1237" s="106">
        <f t="shared" si="79"/>
        <v>0.28333333333333333</v>
      </c>
      <c r="K1237" s="106">
        <f t="shared" si="80"/>
        <v>-38.449999999999847</v>
      </c>
    </row>
    <row r="1238" spans="8:11" ht="17.45" customHeight="1" x14ac:dyDescent="0.3">
      <c r="H1238" s="101">
        <f t="shared" si="77"/>
        <v>1230</v>
      </c>
      <c r="I1238" s="101">
        <f t="shared" si="78"/>
        <v>5</v>
      </c>
      <c r="J1238" s="106">
        <f t="shared" si="79"/>
        <v>0.28333333333333333</v>
      </c>
      <c r="K1238" s="106">
        <f t="shared" si="80"/>
        <v>-38.166666666666515</v>
      </c>
    </row>
    <row r="1239" spans="8:11" ht="17.45" customHeight="1" x14ac:dyDescent="0.3">
      <c r="H1239" s="101">
        <f t="shared" ref="H1239:H1302" si="81">H1238+1</f>
        <v>1231</v>
      </c>
      <c r="I1239" s="101">
        <f t="shared" si="78"/>
        <v>5</v>
      </c>
      <c r="J1239" s="106">
        <f t="shared" si="79"/>
        <v>0.28333333333333333</v>
      </c>
      <c r="K1239" s="106">
        <f t="shared" si="80"/>
        <v>-37.883333333333184</v>
      </c>
    </row>
    <row r="1240" spans="8:11" ht="17.45" customHeight="1" x14ac:dyDescent="0.3">
      <c r="H1240" s="101">
        <f t="shared" si="81"/>
        <v>1232</v>
      </c>
      <c r="I1240" s="101">
        <f t="shared" si="78"/>
        <v>5</v>
      </c>
      <c r="J1240" s="106">
        <f t="shared" si="79"/>
        <v>0.28333333333333333</v>
      </c>
      <c r="K1240" s="106">
        <f t="shared" si="80"/>
        <v>-37.599999999999852</v>
      </c>
    </row>
    <row r="1241" spans="8:11" ht="17.45" customHeight="1" x14ac:dyDescent="0.3">
      <c r="H1241" s="101">
        <f t="shared" si="81"/>
        <v>1233</v>
      </c>
      <c r="I1241" s="101">
        <f t="shared" si="78"/>
        <v>5</v>
      </c>
      <c r="J1241" s="106">
        <f t="shared" si="79"/>
        <v>0.28333333333333333</v>
      </c>
      <c r="K1241" s="106">
        <f t="shared" si="80"/>
        <v>-37.316666666666521</v>
      </c>
    </row>
    <row r="1242" spans="8:11" ht="17.45" customHeight="1" x14ac:dyDescent="0.3">
      <c r="H1242" s="101">
        <f t="shared" si="81"/>
        <v>1234</v>
      </c>
      <c r="I1242" s="101">
        <f t="shared" si="78"/>
        <v>5</v>
      </c>
      <c r="J1242" s="106">
        <f t="shared" si="79"/>
        <v>0.28333333333333333</v>
      </c>
      <c r="K1242" s="106">
        <f t="shared" si="80"/>
        <v>-37.033333333333189</v>
      </c>
    </row>
    <row r="1243" spans="8:11" ht="17.45" customHeight="1" x14ac:dyDescent="0.3">
      <c r="H1243" s="101">
        <f t="shared" si="81"/>
        <v>1235</v>
      </c>
      <c r="I1243" s="101">
        <f t="shared" si="78"/>
        <v>5</v>
      </c>
      <c r="J1243" s="106">
        <f t="shared" si="79"/>
        <v>0.28333333333333333</v>
      </c>
      <c r="K1243" s="106">
        <f t="shared" si="80"/>
        <v>-36.749999999999858</v>
      </c>
    </row>
    <row r="1244" spans="8:11" ht="17.45" customHeight="1" x14ac:dyDescent="0.3">
      <c r="H1244" s="101">
        <f t="shared" si="81"/>
        <v>1236</v>
      </c>
      <c r="I1244" s="101">
        <f t="shared" si="78"/>
        <v>5</v>
      </c>
      <c r="J1244" s="106">
        <f t="shared" si="79"/>
        <v>0.28333333333333333</v>
      </c>
      <c r="K1244" s="106">
        <f t="shared" si="80"/>
        <v>-36.466666666666526</v>
      </c>
    </row>
    <row r="1245" spans="8:11" ht="17.45" customHeight="1" x14ac:dyDescent="0.3">
      <c r="H1245" s="101">
        <f t="shared" si="81"/>
        <v>1237</v>
      </c>
      <c r="I1245" s="101">
        <f t="shared" si="78"/>
        <v>5</v>
      </c>
      <c r="J1245" s="106">
        <f t="shared" si="79"/>
        <v>0.28333333333333333</v>
      </c>
      <c r="K1245" s="106">
        <f t="shared" si="80"/>
        <v>-36.183333333333195</v>
      </c>
    </row>
    <row r="1246" spans="8:11" ht="17.45" customHeight="1" x14ac:dyDescent="0.3">
      <c r="H1246" s="101">
        <f t="shared" si="81"/>
        <v>1238</v>
      </c>
      <c r="I1246" s="101">
        <f t="shared" si="78"/>
        <v>5</v>
      </c>
      <c r="J1246" s="106">
        <f t="shared" si="79"/>
        <v>0.28333333333333333</v>
      </c>
      <c r="K1246" s="106">
        <f t="shared" si="80"/>
        <v>-35.899999999999864</v>
      </c>
    </row>
    <row r="1247" spans="8:11" ht="17.45" customHeight="1" x14ac:dyDescent="0.3">
      <c r="H1247" s="101">
        <f t="shared" si="81"/>
        <v>1239</v>
      </c>
      <c r="I1247" s="101">
        <f t="shared" si="78"/>
        <v>5</v>
      </c>
      <c r="J1247" s="106">
        <f t="shared" si="79"/>
        <v>0.28333333333333333</v>
      </c>
      <c r="K1247" s="106">
        <f t="shared" si="80"/>
        <v>-35.616666666666532</v>
      </c>
    </row>
    <row r="1248" spans="8:11" ht="17.45" customHeight="1" x14ac:dyDescent="0.3">
      <c r="H1248" s="101">
        <f t="shared" si="81"/>
        <v>1240</v>
      </c>
      <c r="I1248" s="101">
        <f t="shared" si="78"/>
        <v>5</v>
      </c>
      <c r="J1248" s="106">
        <f t="shared" si="79"/>
        <v>0.28333333333333333</v>
      </c>
      <c r="K1248" s="106">
        <f t="shared" si="80"/>
        <v>-35.333333333333201</v>
      </c>
    </row>
    <row r="1249" spans="8:11" ht="17.45" customHeight="1" x14ac:dyDescent="0.3">
      <c r="H1249" s="101">
        <f t="shared" si="81"/>
        <v>1241</v>
      </c>
      <c r="I1249" s="101">
        <f t="shared" si="78"/>
        <v>5</v>
      </c>
      <c r="J1249" s="106">
        <f t="shared" si="79"/>
        <v>0.28333333333333333</v>
      </c>
      <c r="K1249" s="106">
        <f t="shared" si="80"/>
        <v>-35.049999999999869</v>
      </c>
    </row>
    <row r="1250" spans="8:11" ht="17.45" customHeight="1" x14ac:dyDescent="0.3">
      <c r="H1250" s="101">
        <f t="shared" si="81"/>
        <v>1242</v>
      </c>
      <c r="I1250" s="101">
        <f t="shared" si="78"/>
        <v>5</v>
      </c>
      <c r="J1250" s="106">
        <f t="shared" si="79"/>
        <v>0.28333333333333333</v>
      </c>
      <c r="K1250" s="106">
        <f t="shared" si="80"/>
        <v>-34.766666666666538</v>
      </c>
    </row>
    <row r="1251" spans="8:11" ht="17.45" customHeight="1" x14ac:dyDescent="0.3">
      <c r="H1251" s="101">
        <f t="shared" si="81"/>
        <v>1243</v>
      </c>
      <c r="I1251" s="101">
        <f t="shared" si="78"/>
        <v>5</v>
      </c>
      <c r="J1251" s="106">
        <f t="shared" si="79"/>
        <v>0.28333333333333333</v>
      </c>
      <c r="K1251" s="106">
        <f t="shared" si="80"/>
        <v>-34.483333333333206</v>
      </c>
    </row>
    <row r="1252" spans="8:11" ht="17.45" customHeight="1" x14ac:dyDescent="0.3">
      <c r="H1252" s="101">
        <f t="shared" si="81"/>
        <v>1244</v>
      </c>
      <c r="I1252" s="101">
        <f t="shared" si="78"/>
        <v>5</v>
      </c>
      <c r="J1252" s="106">
        <f t="shared" si="79"/>
        <v>0.28333333333333333</v>
      </c>
      <c r="K1252" s="106">
        <f t="shared" si="80"/>
        <v>-34.199999999999875</v>
      </c>
    </row>
    <row r="1253" spans="8:11" ht="17.45" customHeight="1" x14ac:dyDescent="0.3">
      <c r="H1253" s="101">
        <f t="shared" si="81"/>
        <v>1245</v>
      </c>
      <c r="I1253" s="101">
        <f t="shared" si="78"/>
        <v>5</v>
      </c>
      <c r="J1253" s="106">
        <f t="shared" si="79"/>
        <v>0.28333333333333333</v>
      </c>
      <c r="K1253" s="106">
        <f t="shared" si="80"/>
        <v>-33.916666666666544</v>
      </c>
    </row>
    <row r="1254" spans="8:11" ht="17.45" customHeight="1" x14ac:dyDescent="0.3">
      <c r="H1254" s="101">
        <f t="shared" si="81"/>
        <v>1246</v>
      </c>
      <c r="I1254" s="101">
        <f t="shared" si="78"/>
        <v>5</v>
      </c>
      <c r="J1254" s="106">
        <f t="shared" si="79"/>
        <v>0.28333333333333333</v>
      </c>
      <c r="K1254" s="106">
        <f t="shared" si="80"/>
        <v>-33.633333333333212</v>
      </c>
    </row>
    <row r="1255" spans="8:11" ht="17.45" customHeight="1" x14ac:dyDescent="0.3">
      <c r="H1255" s="101">
        <f t="shared" si="81"/>
        <v>1247</v>
      </c>
      <c r="I1255" s="101">
        <f t="shared" si="78"/>
        <v>5</v>
      </c>
      <c r="J1255" s="106">
        <f t="shared" si="79"/>
        <v>0.28333333333333333</v>
      </c>
      <c r="K1255" s="106">
        <f t="shared" si="80"/>
        <v>-33.349999999999881</v>
      </c>
    </row>
    <row r="1256" spans="8:11" ht="17.45" customHeight="1" x14ac:dyDescent="0.3">
      <c r="H1256" s="101">
        <f t="shared" si="81"/>
        <v>1248</v>
      </c>
      <c r="I1256" s="101">
        <f t="shared" si="78"/>
        <v>5</v>
      </c>
      <c r="J1256" s="106">
        <f t="shared" si="79"/>
        <v>0.28333333333333333</v>
      </c>
      <c r="K1256" s="106">
        <f t="shared" si="80"/>
        <v>-33.066666666666549</v>
      </c>
    </row>
    <row r="1257" spans="8:11" ht="17.45" customHeight="1" x14ac:dyDescent="0.3">
      <c r="H1257" s="101">
        <f t="shared" si="81"/>
        <v>1249</v>
      </c>
      <c r="I1257" s="101">
        <f t="shared" si="78"/>
        <v>5</v>
      </c>
      <c r="J1257" s="106">
        <f t="shared" si="79"/>
        <v>0.28333333333333333</v>
      </c>
      <c r="K1257" s="106">
        <f t="shared" si="80"/>
        <v>-32.783333333333218</v>
      </c>
    </row>
    <row r="1258" spans="8:11" ht="17.45" customHeight="1" x14ac:dyDescent="0.3">
      <c r="H1258" s="101">
        <f t="shared" si="81"/>
        <v>1250</v>
      </c>
      <c r="I1258" s="101">
        <f t="shared" si="78"/>
        <v>5</v>
      </c>
      <c r="J1258" s="106">
        <f t="shared" si="79"/>
        <v>0.28333333333333333</v>
      </c>
      <c r="K1258" s="106">
        <f t="shared" si="80"/>
        <v>-32.499999999999886</v>
      </c>
    </row>
    <row r="1259" spans="8:11" ht="17.45" customHeight="1" x14ac:dyDescent="0.3">
      <c r="H1259" s="101">
        <f t="shared" si="81"/>
        <v>1251</v>
      </c>
      <c r="I1259" s="101">
        <f t="shared" si="78"/>
        <v>5</v>
      </c>
      <c r="J1259" s="106">
        <f t="shared" si="79"/>
        <v>0.28333333333333333</v>
      </c>
      <c r="K1259" s="106">
        <f t="shared" si="80"/>
        <v>-32.216666666666555</v>
      </c>
    </row>
    <row r="1260" spans="8:11" ht="17.45" customHeight="1" x14ac:dyDescent="0.3">
      <c r="H1260" s="101">
        <f t="shared" si="81"/>
        <v>1252</v>
      </c>
      <c r="I1260" s="101">
        <f t="shared" si="78"/>
        <v>5</v>
      </c>
      <c r="J1260" s="106">
        <f t="shared" si="79"/>
        <v>0.28333333333333333</v>
      </c>
      <c r="K1260" s="106">
        <f t="shared" si="80"/>
        <v>-31.93333333333322</v>
      </c>
    </row>
    <row r="1261" spans="8:11" ht="17.45" customHeight="1" x14ac:dyDescent="0.3">
      <c r="H1261" s="101">
        <f t="shared" si="81"/>
        <v>1253</v>
      </c>
      <c r="I1261" s="101">
        <f t="shared" si="78"/>
        <v>5</v>
      </c>
      <c r="J1261" s="106">
        <f t="shared" si="79"/>
        <v>0.28333333333333333</v>
      </c>
      <c r="K1261" s="106">
        <f t="shared" si="80"/>
        <v>-31.649999999999885</v>
      </c>
    </row>
    <row r="1262" spans="8:11" ht="17.45" customHeight="1" x14ac:dyDescent="0.3">
      <c r="H1262" s="101">
        <f t="shared" si="81"/>
        <v>1254</v>
      </c>
      <c r="I1262" s="101">
        <f t="shared" si="78"/>
        <v>5</v>
      </c>
      <c r="J1262" s="106">
        <f t="shared" si="79"/>
        <v>0.28333333333333333</v>
      </c>
      <c r="K1262" s="106">
        <f t="shared" si="80"/>
        <v>-31.36666666666655</v>
      </c>
    </row>
    <row r="1263" spans="8:11" ht="17.45" customHeight="1" x14ac:dyDescent="0.3">
      <c r="H1263" s="101">
        <f t="shared" si="81"/>
        <v>1255</v>
      </c>
      <c r="I1263" s="101">
        <f t="shared" si="78"/>
        <v>5</v>
      </c>
      <c r="J1263" s="106">
        <f t="shared" si="79"/>
        <v>0.28333333333333333</v>
      </c>
      <c r="K1263" s="106">
        <f t="shared" si="80"/>
        <v>-31.083333333333215</v>
      </c>
    </row>
    <row r="1264" spans="8:11" ht="17.45" customHeight="1" x14ac:dyDescent="0.3">
      <c r="H1264" s="101">
        <f t="shared" si="81"/>
        <v>1256</v>
      </c>
      <c r="I1264" s="101">
        <f t="shared" si="78"/>
        <v>5</v>
      </c>
      <c r="J1264" s="106">
        <f t="shared" si="79"/>
        <v>0.28333333333333333</v>
      </c>
      <c r="K1264" s="106">
        <f t="shared" si="80"/>
        <v>-30.79999999999988</v>
      </c>
    </row>
    <row r="1265" spans="8:11" ht="17.45" customHeight="1" x14ac:dyDescent="0.3">
      <c r="H1265" s="101">
        <f t="shared" si="81"/>
        <v>1257</v>
      </c>
      <c r="I1265" s="101">
        <f t="shared" si="78"/>
        <v>5</v>
      </c>
      <c r="J1265" s="106">
        <f t="shared" si="79"/>
        <v>0.28333333333333333</v>
      </c>
      <c r="K1265" s="106">
        <f t="shared" si="80"/>
        <v>-30.516666666666545</v>
      </c>
    </row>
    <row r="1266" spans="8:11" ht="17.45" customHeight="1" x14ac:dyDescent="0.3">
      <c r="H1266" s="101">
        <f t="shared" si="81"/>
        <v>1258</v>
      </c>
      <c r="I1266" s="101">
        <f t="shared" si="78"/>
        <v>5</v>
      </c>
      <c r="J1266" s="106">
        <f t="shared" si="79"/>
        <v>0.28333333333333333</v>
      </c>
      <c r="K1266" s="106">
        <f t="shared" si="80"/>
        <v>-30.23333333333321</v>
      </c>
    </row>
    <row r="1267" spans="8:11" ht="17.45" customHeight="1" x14ac:dyDescent="0.3">
      <c r="H1267" s="101">
        <f t="shared" si="81"/>
        <v>1259</v>
      </c>
      <c r="I1267" s="101">
        <f t="shared" si="78"/>
        <v>5</v>
      </c>
      <c r="J1267" s="106">
        <f t="shared" si="79"/>
        <v>0.28333333333333333</v>
      </c>
      <c r="K1267" s="106">
        <f t="shared" si="80"/>
        <v>-29.949999999999875</v>
      </c>
    </row>
    <row r="1268" spans="8:11" ht="17.45" customHeight="1" x14ac:dyDescent="0.3">
      <c r="H1268" s="101">
        <f t="shared" si="81"/>
        <v>1260</v>
      </c>
      <c r="I1268" s="101">
        <f t="shared" si="78"/>
        <v>5</v>
      </c>
      <c r="J1268" s="106">
        <f t="shared" si="79"/>
        <v>0.28333333333333333</v>
      </c>
      <c r="K1268" s="106">
        <f t="shared" si="80"/>
        <v>-29.66666666666654</v>
      </c>
    </row>
    <row r="1269" spans="8:11" ht="17.45" customHeight="1" x14ac:dyDescent="0.3">
      <c r="H1269" s="101">
        <f t="shared" si="81"/>
        <v>1261</v>
      </c>
      <c r="I1269" s="101">
        <f t="shared" si="78"/>
        <v>5</v>
      </c>
      <c r="J1269" s="106">
        <f t="shared" si="79"/>
        <v>0.28333333333333333</v>
      </c>
      <c r="K1269" s="106">
        <f t="shared" si="80"/>
        <v>-29.383333333333205</v>
      </c>
    </row>
    <row r="1270" spans="8:11" ht="17.45" customHeight="1" x14ac:dyDescent="0.3">
      <c r="H1270" s="101">
        <f t="shared" si="81"/>
        <v>1262</v>
      </c>
      <c r="I1270" s="101">
        <f t="shared" si="78"/>
        <v>5</v>
      </c>
      <c r="J1270" s="106">
        <f t="shared" si="79"/>
        <v>0.28333333333333333</v>
      </c>
      <c r="K1270" s="106">
        <f t="shared" si="80"/>
        <v>-29.09999999999987</v>
      </c>
    </row>
    <row r="1271" spans="8:11" ht="17.45" customHeight="1" x14ac:dyDescent="0.3">
      <c r="H1271" s="101">
        <f t="shared" si="81"/>
        <v>1263</v>
      </c>
      <c r="I1271" s="101">
        <f t="shared" si="78"/>
        <v>5</v>
      </c>
      <c r="J1271" s="106">
        <f t="shared" si="79"/>
        <v>0.28333333333333333</v>
      </c>
      <c r="K1271" s="106">
        <f t="shared" si="80"/>
        <v>-28.816666666666535</v>
      </c>
    </row>
    <row r="1272" spans="8:11" ht="17.45" customHeight="1" x14ac:dyDescent="0.3">
      <c r="H1272" s="101">
        <f t="shared" si="81"/>
        <v>1264</v>
      </c>
      <c r="I1272" s="101">
        <f t="shared" si="78"/>
        <v>5</v>
      </c>
      <c r="J1272" s="106">
        <f t="shared" si="79"/>
        <v>0.28333333333333333</v>
      </c>
      <c r="K1272" s="106">
        <f t="shared" si="80"/>
        <v>-28.5333333333332</v>
      </c>
    </row>
    <row r="1273" spans="8:11" ht="17.45" customHeight="1" x14ac:dyDescent="0.3">
      <c r="H1273" s="101">
        <f t="shared" si="81"/>
        <v>1265</v>
      </c>
      <c r="I1273" s="101">
        <f t="shared" si="78"/>
        <v>5</v>
      </c>
      <c r="J1273" s="106">
        <f t="shared" si="79"/>
        <v>0.28333333333333333</v>
      </c>
      <c r="K1273" s="106">
        <f t="shared" si="80"/>
        <v>-28.249999999999865</v>
      </c>
    </row>
    <row r="1274" spans="8:11" ht="17.45" customHeight="1" x14ac:dyDescent="0.3">
      <c r="H1274" s="101">
        <f t="shared" si="81"/>
        <v>1266</v>
      </c>
      <c r="I1274" s="101">
        <f t="shared" si="78"/>
        <v>5</v>
      </c>
      <c r="J1274" s="106">
        <f t="shared" si="79"/>
        <v>0.28333333333333333</v>
      </c>
      <c r="K1274" s="106">
        <f t="shared" si="80"/>
        <v>-27.96666666666653</v>
      </c>
    </row>
    <row r="1275" spans="8:11" ht="17.45" customHeight="1" x14ac:dyDescent="0.3">
      <c r="H1275" s="101">
        <f t="shared" si="81"/>
        <v>1267</v>
      </c>
      <c r="I1275" s="101">
        <f t="shared" si="78"/>
        <v>5</v>
      </c>
      <c r="J1275" s="106">
        <f t="shared" si="79"/>
        <v>0.28333333333333333</v>
      </c>
      <c r="K1275" s="106">
        <f t="shared" si="80"/>
        <v>-27.683333333333195</v>
      </c>
    </row>
    <row r="1276" spans="8:11" ht="17.45" customHeight="1" x14ac:dyDescent="0.3">
      <c r="H1276" s="101">
        <f t="shared" si="81"/>
        <v>1268</v>
      </c>
      <c r="I1276" s="101">
        <f t="shared" si="78"/>
        <v>5</v>
      </c>
      <c r="J1276" s="106">
        <f t="shared" si="79"/>
        <v>0.28333333333333333</v>
      </c>
      <c r="K1276" s="106">
        <f t="shared" si="80"/>
        <v>-27.39999999999986</v>
      </c>
    </row>
    <row r="1277" spans="8:11" ht="17.45" customHeight="1" x14ac:dyDescent="0.3">
      <c r="H1277" s="101">
        <f t="shared" si="81"/>
        <v>1269</v>
      </c>
      <c r="I1277" s="101">
        <f t="shared" si="78"/>
        <v>5</v>
      </c>
      <c r="J1277" s="106">
        <f t="shared" si="79"/>
        <v>0.28333333333333333</v>
      </c>
      <c r="K1277" s="106">
        <f t="shared" si="80"/>
        <v>-27.116666666666525</v>
      </c>
    </row>
    <row r="1278" spans="8:11" ht="17.45" customHeight="1" x14ac:dyDescent="0.3">
      <c r="H1278" s="101">
        <f t="shared" si="81"/>
        <v>1270</v>
      </c>
      <c r="I1278" s="101">
        <f t="shared" si="78"/>
        <v>5</v>
      </c>
      <c r="J1278" s="106">
        <f t="shared" si="79"/>
        <v>0.28333333333333333</v>
      </c>
      <c r="K1278" s="106">
        <f t="shared" si="80"/>
        <v>-26.83333333333319</v>
      </c>
    </row>
    <row r="1279" spans="8:11" ht="17.45" customHeight="1" x14ac:dyDescent="0.3">
      <c r="H1279" s="101">
        <f t="shared" si="81"/>
        <v>1271</v>
      </c>
      <c r="I1279" s="101">
        <f t="shared" si="78"/>
        <v>5</v>
      </c>
      <c r="J1279" s="106">
        <f t="shared" si="79"/>
        <v>0.28333333333333333</v>
      </c>
      <c r="K1279" s="106">
        <f t="shared" si="80"/>
        <v>-26.549999999999855</v>
      </c>
    </row>
    <row r="1280" spans="8:11" ht="17.45" customHeight="1" x14ac:dyDescent="0.3">
      <c r="H1280" s="101">
        <f t="shared" si="81"/>
        <v>1272</v>
      </c>
      <c r="I1280" s="101">
        <f t="shared" si="78"/>
        <v>5</v>
      </c>
      <c r="J1280" s="106">
        <f t="shared" si="79"/>
        <v>0.28333333333333333</v>
      </c>
      <c r="K1280" s="106">
        <f t="shared" si="80"/>
        <v>-26.26666666666652</v>
      </c>
    </row>
    <row r="1281" spans="8:11" ht="17.45" customHeight="1" x14ac:dyDescent="0.3">
      <c r="H1281" s="101">
        <f t="shared" si="81"/>
        <v>1273</v>
      </c>
      <c r="I1281" s="101">
        <f t="shared" si="78"/>
        <v>5</v>
      </c>
      <c r="J1281" s="106">
        <f t="shared" si="79"/>
        <v>0.28333333333333333</v>
      </c>
      <c r="K1281" s="106">
        <f t="shared" si="80"/>
        <v>-25.983333333333185</v>
      </c>
    </row>
    <row r="1282" spans="8:11" ht="17.45" customHeight="1" x14ac:dyDescent="0.3">
      <c r="H1282" s="101">
        <f t="shared" si="81"/>
        <v>1274</v>
      </c>
      <c r="I1282" s="101">
        <f t="shared" si="78"/>
        <v>5</v>
      </c>
      <c r="J1282" s="106">
        <f t="shared" si="79"/>
        <v>0.28333333333333333</v>
      </c>
      <c r="K1282" s="106">
        <f t="shared" si="80"/>
        <v>-25.69999999999985</v>
      </c>
    </row>
    <row r="1283" spans="8:11" ht="17.45" customHeight="1" x14ac:dyDescent="0.3">
      <c r="H1283" s="101">
        <f t="shared" si="81"/>
        <v>1275</v>
      </c>
      <c r="I1283" s="101">
        <f t="shared" si="78"/>
        <v>5</v>
      </c>
      <c r="J1283" s="106">
        <f t="shared" si="79"/>
        <v>0.28333333333333333</v>
      </c>
      <c r="K1283" s="106">
        <f t="shared" si="80"/>
        <v>-25.416666666666515</v>
      </c>
    </row>
    <row r="1284" spans="8:11" ht="17.45" customHeight="1" x14ac:dyDescent="0.3">
      <c r="H1284" s="101">
        <f t="shared" si="81"/>
        <v>1276</v>
      </c>
      <c r="I1284" s="101">
        <f t="shared" si="78"/>
        <v>5</v>
      </c>
      <c r="J1284" s="106">
        <f t="shared" si="79"/>
        <v>0.28333333333333333</v>
      </c>
      <c r="K1284" s="106">
        <f t="shared" si="80"/>
        <v>-25.13333333333318</v>
      </c>
    </row>
    <row r="1285" spans="8:11" ht="17.45" customHeight="1" x14ac:dyDescent="0.3">
      <c r="H1285" s="101">
        <f t="shared" si="81"/>
        <v>1277</v>
      </c>
      <c r="I1285" s="101">
        <f t="shared" si="78"/>
        <v>5</v>
      </c>
      <c r="J1285" s="106">
        <f t="shared" si="79"/>
        <v>0.28333333333333333</v>
      </c>
      <c r="K1285" s="106">
        <f t="shared" si="80"/>
        <v>-24.849999999999845</v>
      </c>
    </row>
    <row r="1286" spans="8:11" ht="17.45" customHeight="1" x14ac:dyDescent="0.3">
      <c r="H1286" s="101">
        <f t="shared" si="81"/>
        <v>1278</v>
      </c>
      <c r="I1286" s="101">
        <f t="shared" si="78"/>
        <v>5</v>
      </c>
      <c r="J1286" s="106">
        <f t="shared" si="79"/>
        <v>0.28333333333333333</v>
      </c>
      <c r="K1286" s="106">
        <f t="shared" si="80"/>
        <v>-24.56666666666651</v>
      </c>
    </row>
    <row r="1287" spans="8:11" ht="17.45" customHeight="1" x14ac:dyDescent="0.3">
      <c r="H1287" s="101">
        <f t="shared" si="81"/>
        <v>1279</v>
      </c>
      <c r="I1287" s="101">
        <f t="shared" si="78"/>
        <v>5</v>
      </c>
      <c r="J1287" s="106">
        <f t="shared" si="79"/>
        <v>0.28333333333333333</v>
      </c>
      <c r="K1287" s="106">
        <f t="shared" si="80"/>
        <v>-24.283333333333175</v>
      </c>
    </row>
    <row r="1288" spans="8:11" ht="17.45" customHeight="1" x14ac:dyDescent="0.3">
      <c r="H1288" s="101">
        <f t="shared" si="81"/>
        <v>1280</v>
      </c>
      <c r="I1288" s="101">
        <f t="shared" si="78"/>
        <v>5</v>
      </c>
      <c r="J1288" s="106">
        <f t="shared" si="79"/>
        <v>0.28333333333333333</v>
      </c>
      <c r="K1288" s="106">
        <f t="shared" si="80"/>
        <v>-23.99999999999984</v>
      </c>
    </row>
    <row r="1289" spans="8:11" ht="17.45" customHeight="1" x14ac:dyDescent="0.3">
      <c r="H1289" s="101">
        <f t="shared" si="81"/>
        <v>1281</v>
      </c>
      <c r="I1289" s="101">
        <f t="shared" ref="I1289:I1352" si="82">MATCH(H1289,$C$8:$C$13,1)</f>
        <v>5</v>
      </c>
      <c r="J1289" s="106">
        <f t="shared" si="79"/>
        <v>0.28333333333333333</v>
      </c>
      <c r="K1289" s="106">
        <f t="shared" si="80"/>
        <v>-23.716666666666505</v>
      </c>
    </row>
    <row r="1290" spans="8:11" ht="17.45" customHeight="1" x14ac:dyDescent="0.3">
      <c r="H1290" s="101">
        <f t="shared" si="81"/>
        <v>1282</v>
      </c>
      <c r="I1290" s="101">
        <f t="shared" si="82"/>
        <v>5</v>
      </c>
      <c r="J1290" s="106">
        <f t="shared" ref="J1290:J1353" si="83">INDEX($E$8:$E$13,I1289)</f>
        <v>0.28333333333333333</v>
      </c>
      <c r="K1290" s="106">
        <f t="shared" ref="K1290:K1353" si="84">K1289+J1290</f>
        <v>-23.43333333333317</v>
      </c>
    </row>
    <row r="1291" spans="8:11" ht="17.45" customHeight="1" x14ac:dyDescent="0.3">
      <c r="H1291" s="101">
        <f t="shared" si="81"/>
        <v>1283</v>
      </c>
      <c r="I1291" s="101">
        <f t="shared" si="82"/>
        <v>5</v>
      </c>
      <c r="J1291" s="106">
        <f t="shared" si="83"/>
        <v>0.28333333333333333</v>
      </c>
      <c r="K1291" s="106">
        <f t="shared" si="84"/>
        <v>-23.149999999999835</v>
      </c>
    </row>
    <row r="1292" spans="8:11" ht="17.45" customHeight="1" x14ac:dyDescent="0.3">
      <c r="H1292" s="101">
        <f t="shared" si="81"/>
        <v>1284</v>
      </c>
      <c r="I1292" s="101">
        <f t="shared" si="82"/>
        <v>5</v>
      </c>
      <c r="J1292" s="106">
        <f t="shared" si="83"/>
        <v>0.28333333333333333</v>
      </c>
      <c r="K1292" s="106">
        <f t="shared" si="84"/>
        <v>-22.8666666666665</v>
      </c>
    </row>
    <row r="1293" spans="8:11" ht="17.45" customHeight="1" x14ac:dyDescent="0.3">
      <c r="H1293" s="101">
        <f t="shared" si="81"/>
        <v>1285</v>
      </c>
      <c r="I1293" s="101">
        <f t="shared" si="82"/>
        <v>5</v>
      </c>
      <c r="J1293" s="106">
        <f t="shared" si="83"/>
        <v>0.28333333333333333</v>
      </c>
      <c r="K1293" s="106">
        <f t="shared" si="84"/>
        <v>-22.583333333333165</v>
      </c>
    </row>
    <row r="1294" spans="8:11" ht="17.45" customHeight="1" x14ac:dyDescent="0.3">
      <c r="H1294" s="101">
        <f t="shared" si="81"/>
        <v>1286</v>
      </c>
      <c r="I1294" s="101">
        <f t="shared" si="82"/>
        <v>5</v>
      </c>
      <c r="J1294" s="106">
        <f t="shared" si="83"/>
        <v>0.28333333333333333</v>
      </c>
      <c r="K1294" s="106">
        <f t="shared" si="84"/>
        <v>-22.29999999999983</v>
      </c>
    </row>
    <row r="1295" spans="8:11" ht="17.45" customHeight="1" x14ac:dyDescent="0.3">
      <c r="H1295" s="101">
        <f t="shared" si="81"/>
        <v>1287</v>
      </c>
      <c r="I1295" s="101">
        <f t="shared" si="82"/>
        <v>5</v>
      </c>
      <c r="J1295" s="106">
        <f t="shared" si="83"/>
        <v>0.28333333333333333</v>
      </c>
      <c r="K1295" s="106">
        <f t="shared" si="84"/>
        <v>-22.016666666666495</v>
      </c>
    </row>
    <row r="1296" spans="8:11" ht="17.45" customHeight="1" x14ac:dyDescent="0.3">
      <c r="H1296" s="101">
        <f t="shared" si="81"/>
        <v>1288</v>
      </c>
      <c r="I1296" s="101">
        <f t="shared" si="82"/>
        <v>5</v>
      </c>
      <c r="J1296" s="106">
        <f t="shared" si="83"/>
        <v>0.28333333333333333</v>
      </c>
      <c r="K1296" s="106">
        <f t="shared" si="84"/>
        <v>-21.73333333333316</v>
      </c>
    </row>
    <row r="1297" spans="8:11" ht="17.45" customHeight="1" x14ac:dyDescent="0.3">
      <c r="H1297" s="101">
        <f t="shared" si="81"/>
        <v>1289</v>
      </c>
      <c r="I1297" s="101">
        <f t="shared" si="82"/>
        <v>5</v>
      </c>
      <c r="J1297" s="106">
        <f t="shared" si="83"/>
        <v>0.28333333333333333</v>
      </c>
      <c r="K1297" s="106">
        <f t="shared" si="84"/>
        <v>-21.449999999999825</v>
      </c>
    </row>
    <row r="1298" spans="8:11" ht="17.45" customHeight="1" x14ac:dyDescent="0.3">
      <c r="H1298" s="101">
        <f t="shared" si="81"/>
        <v>1290</v>
      </c>
      <c r="I1298" s="101">
        <f t="shared" si="82"/>
        <v>5</v>
      </c>
      <c r="J1298" s="106">
        <f t="shared" si="83"/>
        <v>0.28333333333333333</v>
      </c>
      <c r="K1298" s="106">
        <f t="shared" si="84"/>
        <v>-21.16666666666649</v>
      </c>
    </row>
    <row r="1299" spans="8:11" ht="17.45" customHeight="1" x14ac:dyDescent="0.3">
      <c r="H1299" s="101">
        <f t="shared" si="81"/>
        <v>1291</v>
      </c>
      <c r="I1299" s="101">
        <f t="shared" si="82"/>
        <v>5</v>
      </c>
      <c r="J1299" s="106">
        <f t="shared" si="83"/>
        <v>0.28333333333333333</v>
      </c>
      <c r="K1299" s="106">
        <f t="shared" si="84"/>
        <v>-20.883333333333155</v>
      </c>
    </row>
    <row r="1300" spans="8:11" ht="17.45" customHeight="1" x14ac:dyDescent="0.3">
      <c r="H1300" s="101">
        <f t="shared" si="81"/>
        <v>1292</v>
      </c>
      <c r="I1300" s="101">
        <f t="shared" si="82"/>
        <v>5</v>
      </c>
      <c r="J1300" s="106">
        <f t="shared" si="83"/>
        <v>0.28333333333333333</v>
      </c>
      <c r="K1300" s="106">
        <f t="shared" si="84"/>
        <v>-20.59999999999982</v>
      </c>
    </row>
    <row r="1301" spans="8:11" ht="17.45" customHeight="1" x14ac:dyDescent="0.3">
      <c r="H1301" s="101">
        <f t="shared" si="81"/>
        <v>1293</v>
      </c>
      <c r="I1301" s="101">
        <f t="shared" si="82"/>
        <v>5</v>
      </c>
      <c r="J1301" s="106">
        <f t="shared" si="83"/>
        <v>0.28333333333333333</v>
      </c>
      <c r="K1301" s="106">
        <f t="shared" si="84"/>
        <v>-20.316666666666485</v>
      </c>
    </row>
    <row r="1302" spans="8:11" ht="17.45" customHeight="1" x14ac:dyDescent="0.3">
      <c r="H1302" s="101">
        <f t="shared" si="81"/>
        <v>1294</v>
      </c>
      <c r="I1302" s="101">
        <f t="shared" si="82"/>
        <v>5</v>
      </c>
      <c r="J1302" s="106">
        <f t="shared" si="83"/>
        <v>0.28333333333333333</v>
      </c>
      <c r="K1302" s="106">
        <f t="shared" si="84"/>
        <v>-20.03333333333315</v>
      </c>
    </row>
    <row r="1303" spans="8:11" ht="17.45" customHeight="1" x14ac:dyDescent="0.3">
      <c r="H1303" s="101">
        <f t="shared" ref="H1303:H1366" si="85">H1302+1</f>
        <v>1295</v>
      </c>
      <c r="I1303" s="101">
        <f t="shared" si="82"/>
        <v>5</v>
      </c>
      <c r="J1303" s="106">
        <f t="shared" si="83"/>
        <v>0.28333333333333333</v>
      </c>
      <c r="K1303" s="106">
        <f t="shared" si="84"/>
        <v>-19.749999999999815</v>
      </c>
    </row>
    <row r="1304" spans="8:11" ht="17.45" customHeight="1" x14ac:dyDescent="0.3">
      <c r="H1304" s="101">
        <f t="shared" si="85"/>
        <v>1296</v>
      </c>
      <c r="I1304" s="101">
        <f t="shared" si="82"/>
        <v>5</v>
      </c>
      <c r="J1304" s="106">
        <f t="shared" si="83"/>
        <v>0.28333333333333333</v>
      </c>
      <c r="K1304" s="106">
        <f t="shared" si="84"/>
        <v>-19.46666666666648</v>
      </c>
    </row>
    <row r="1305" spans="8:11" ht="17.45" customHeight="1" x14ac:dyDescent="0.3">
      <c r="H1305" s="101">
        <f t="shared" si="85"/>
        <v>1297</v>
      </c>
      <c r="I1305" s="101">
        <f t="shared" si="82"/>
        <v>5</v>
      </c>
      <c r="J1305" s="106">
        <f t="shared" si="83"/>
        <v>0.28333333333333333</v>
      </c>
      <c r="K1305" s="106">
        <f t="shared" si="84"/>
        <v>-19.183333333333145</v>
      </c>
    </row>
    <row r="1306" spans="8:11" ht="17.45" customHeight="1" x14ac:dyDescent="0.3">
      <c r="H1306" s="101">
        <f t="shared" si="85"/>
        <v>1298</v>
      </c>
      <c r="I1306" s="101">
        <f t="shared" si="82"/>
        <v>5</v>
      </c>
      <c r="J1306" s="106">
        <f t="shared" si="83"/>
        <v>0.28333333333333333</v>
      </c>
      <c r="K1306" s="106">
        <f t="shared" si="84"/>
        <v>-18.89999999999981</v>
      </c>
    </row>
    <row r="1307" spans="8:11" ht="17.45" customHeight="1" x14ac:dyDescent="0.3">
      <c r="H1307" s="101">
        <f t="shared" si="85"/>
        <v>1299</v>
      </c>
      <c r="I1307" s="101">
        <f t="shared" si="82"/>
        <v>5</v>
      </c>
      <c r="J1307" s="106">
        <f t="shared" si="83"/>
        <v>0.28333333333333333</v>
      </c>
      <c r="K1307" s="106">
        <f t="shared" si="84"/>
        <v>-18.616666666666475</v>
      </c>
    </row>
    <row r="1308" spans="8:11" ht="17.45" customHeight="1" x14ac:dyDescent="0.3">
      <c r="H1308" s="101">
        <f t="shared" si="85"/>
        <v>1300</v>
      </c>
      <c r="I1308" s="101">
        <f t="shared" si="82"/>
        <v>5</v>
      </c>
      <c r="J1308" s="106">
        <f t="shared" si="83"/>
        <v>0.28333333333333333</v>
      </c>
      <c r="K1308" s="106">
        <f t="shared" si="84"/>
        <v>-18.33333333333314</v>
      </c>
    </row>
    <row r="1309" spans="8:11" ht="17.45" customHeight="1" x14ac:dyDescent="0.3">
      <c r="H1309" s="101">
        <f t="shared" si="85"/>
        <v>1301</v>
      </c>
      <c r="I1309" s="101">
        <f t="shared" si="82"/>
        <v>5</v>
      </c>
      <c r="J1309" s="106">
        <f t="shared" si="83"/>
        <v>0.28333333333333333</v>
      </c>
      <c r="K1309" s="106">
        <f t="shared" si="84"/>
        <v>-18.049999999999805</v>
      </c>
    </row>
    <row r="1310" spans="8:11" ht="17.45" customHeight="1" x14ac:dyDescent="0.3">
      <c r="H1310" s="101">
        <f t="shared" si="85"/>
        <v>1302</v>
      </c>
      <c r="I1310" s="101">
        <f t="shared" si="82"/>
        <v>5</v>
      </c>
      <c r="J1310" s="106">
        <f t="shared" si="83"/>
        <v>0.28333333333333333</v>
      </c>
      <c r="K1310" s="106">
        <f t="shared" si="84"/>
        <v>-17.76666666666647</v>
      </c>
    </row>
    <row r="1311" spans="8:11" ht="17.45" customHeight="1" x14ac:dyDescent="0.3">
      <c r="H1311" s="101">
        <f t="shared" si="85"/>
        <v>1303</v>
      </c>
      <c r="I1311" s="101">
        <f t="shared" si="82"/>
        <v>5</v>
      </c>
      <c r="J1311" s="106">
        <f t="shared" si="83"/>
        <v>0.28333333333333333</v>
      </c>
      <c r="K1311" s="106">
        <f t="shared" si="84"/>
        <v>-17.483333333333135</v>
      </c>
    </row>
    <row r="1312" spans="8:11" ht="17.45" customHeight="1" x14ac:dyDescent="0.3">
      <c r="H1312" s="101">
        <f t="shared" si="85"/>
        <v>1304</v>
      </c>
      <c r="I1312" s="101">
        <f t="shared" si="82"/>
        <v>5</v>
      </c>
      <c r="J1312" s="106">
        <f t="shared" si="83"/>
        <v>0.28333333333333333</v>
      </c>
      <c r="K1312" s="106">
        <f t="shared" si="84"/>
        <v>-17.1999999999998</v>
      </c>
    </row>
    <row r="1313" spans="8:11" ht="17.45" customHeight="1" x14ac:dyDescent="0.3">
      <c r="H1313" s="101">
        <f t="shared" si="85"/>
        <v>1305</v>
      </c>
      <c r="I1313" s="101">
        <f t="shared" si="82"/>
        <v>5</v>
      </c>
      <c r="J1313" s="106">
        <f t="shared" si="83"/>
        <v>0.28333333333333333</v>
      </c>
      <c r="K1313" s="106">
        <f t="shared" si="84"/>
        <v>-16.916666666666465</v>
      </c>
    </row>
    <row r="1314" spans="8:11" ht="17.45" customHeight="1" x14ac:dyDescent="0.3">
      <c r="H1314" s="101">
        <f t="shared" si="85"/>
        <v>1306</v>
      </c>
      <c r="I1314" s="101">
        <f t="shared" si="82"/>
        <v>5</v>
      </c>
      <c r="J1314" s="106">
        <f t="shared" si="83"/>
        <v>0.28333333333333333</v>
      </c>
      <c r="K1314" s="106">
        <f t="shared" si="84"/>
        <v>-16.63333333333313</v>
      </c>
    </row>
    <row r="1315" spans="8:11" ht="17.45" customHeight="1" x14ac:dyDescent="0.3">
      <c r="H1315" s="101">
        <f t="shared" si="85"/>
        <v>1307</v>
      </c>
      <c r="I1315" s="101">
        <f t="shared" si="82"/>
        <v>5</v>
      </c>
      <c r="J1315" s="106">
        <f t="shared" si="83"/>
        <v>0.28333333333333333</v>
      </c>
      <c r="K1315" s="106">
        <f t="shared" si="84"/>
        <v>-16.349999999999795</v>
      </c>
    </row>
    <row r="1316" spans="8:11" ht="17.45" customHeight="1" x14ac:dyDescent="0.3">
      <c r="H1316" s="101">
        <f t="shared" si="85"/>
        <v>1308</v>
      </c>
      <c r="I1316" s="101">
        <f t="shared" si="82"/>
        <v>5</v>
      </c>
      <c r="J1316" s="106">
        <f t="shared" si="83"/>
        <v>0.28333333333333333</v>
      </c>
      <c r="K1316" s="106">
        <f t="shared" si="84"/>
        <v>-16.06666666666646</v>
      </c>
    </row>
    <row r="1317" spans="8:11" ht="17.45" customHeight="1" x14ac:dyDescent="0.3">
      <c r="H1317" s="101">
        <f t="shared" si="85"/>
        <v>1309</v>
      </c>
      <c r="I1317" s="101">
        <f t="shared" si="82"/>
        <v>5</v>
      </c>
      <c r="J1317" s="106">
        <f t="shared" si="83"/>
        <v>0.28333333333333333</v>
      </c>
      <c r="K1317" s="106">
        <f t="shared" si="84"/>
        <v>-15.783333333333127</v>
      </c>
    </row>
    <row r="1318" spans="8:11" ht="17.45" customHeight="1" x14ac:dyDescent="0.3">
      <c r="H1318" s="101">
        <f t="shared" si="85"/>
        <v>1310</v>
      </c>
      <c r="I1318" s="101">
        <f t="shared" si="82"/>
        <v>5</v>
      </c>
      <c r="J1318" s="106">
        <f t="shared" si="83"/>
        <v>0.28333333333333333</v>
      </c>
      <c r="K1318" s="106">
        <f t="shared" si="84"/>
        <v>-15.499999999999794</v>
      </c>
    </row>
    <row r="1319" spans="8:11" ht="17.45" customHeight="1" x14ac:dyDescent="0.3">
      <c r="H1319" s="101">
        <f t="shared" si="85"/>
        <v>1311</v>
      </c>
      <c r="I1319" s="101">
        <f t="shared" si="82"/>
        <v>5</v>
      </c>
      <c r="J1319" s="106">
        <f t="shared" si="83"/>
        <v>0.28333333333333333</v>
      </c>
      <c r="K1319" s="106">
        <f t="shared" si="84"/>
        <v>-15.216666666666461</v>
      </c>
    </row>
    <row r="1320" spans="8:11" ht="17.45" customHeight="1" x14ac:dyDescent="0.3">
      <c r="H1320" s="101">
        <f t="shared" si="85"/>
        <v>1312</v>
      </c>
      <c r="I1320" s="101">
        <f t="shared" si="82"/>
        <v>5</v>
      </c>
      <c r="J1320" s="106">
        <f t="shared" si="83"/>
        <v>0.28333333333333333</v>
      </c>
      <c r="K1320" s="106">
        <f t="shared" si="84"/>
        <v>-14.933333333333128</v>
      </c>
    </row>
    <row r="1321" spans="8:11" ht="17.45" customHeight="1" x14ac:dyDescent="0.3">
      <c r="H1321" s="101">
        <f t="shared" si="85"/>
        <v>1313</v>
      </c>
      <c r="I1321" s="101">
        <f t="shared" si="82"/>
        <v>5</v>
      </c>
      <c r="J1321" s="106">
        <f t="shared" si="83"/>
        <v>0.28333333333333333</v>
      </c>
      <c r="K1321" s="106">
        <f t="shared" si="84"/>
        <v>-14.649999999999794</v>
      </c>
    </row>
    <row r="1322" spans="8:11" ht="17.45" customHeight="1" x14ac:dyDescent="0.3">
      <c r="H1322" s="101">
        <f t="shared" si="85"/>
        <v>1314</v>
      </c>
      <c r="I1322" s="101">
        <f t="shared" si="82"/>
        <v>5</v>
      </c>
      <c r="J1322" s="106">
        <f t="shared" si="83"/>
        <v>0.28333333333333333</v>
      </c>
      <c r="K1322" s="106">
        <f t="shared" si="84"/>
        <v>-14.366666666666461</v>
      </c>
    </row>
    <row r="1323" spans="8:11" ht="17.45" customHeight="1" x14ac:dyDescent="0.3">
      <c r="H1323" s="101">
        <f t="shared" si="85"/>
        <v>1315</v>
      </c>
      <c r="I1323" s="101">
        <f t="shared" si="82"/>
        <v>5</v>
      </c>
      <c r="J1323" s="106">
        <f t="shared" si="83"/>
        <v>0.28333333333333333</v>
      </c>
      <c r="K1323" s="106">
        <f t="shared" si="84"/>
        <v>-14.083333333333128</v>
      </c>
    </row>
    <row r="1324" spans="8:11" ht="17.45" customHeight="1" x14ac:dyDescent="0.3">
      <c r="H1324" s="101">
        <f t="shared" si="85"/>
        <v>1316</v>
      </c>
      <c r="I1324" s="101">
        <f t="shared" si="82"/>
        <v>5</v>
      </c>
      <c r="J1324" s="106">
        <f t="shared" si="83"/>
        <v>0.28333333333333333</v>
      </c>
      <c r="K1324" s="106">
        <f t="shared" si="84"/>
        <v>-13.799999999999795</v>
      </c>
    </row>
    <row r="1325" spans="8:11" ht="17.45" customHeight="1" x14ac:dyDescent="0.3">
      <c r="H1325" s="101">
        <f t="shared" si="85"/>
        <v>1317</v>
      </c>
      <c r="I1325" s="101">
        <f t="shared" si="82"/>
        <v>5</v>
      </c>
      <c r="J1325" s="106">
        <f t="shared" si="83"/>
        <v>0.28333333333333333</v>
      </c>
      <c r="K1325" s="106">
        <f t="shared" si="84"/>
        <v>-13.516666666666461</v>
      </c>
    </row>
    <row r="1326" spans="8:11" ht="17.45" customHeight="1" x14ac:dyDescent="0.3">
      <c r="H1326" s="101">
        <f t="shared" si="85"/>
        <v>1318</v>
      </c>
      <c r="I1326" s="101">
        <f t="shared" si="82"/>
        <v>5</v>
      </c>
      <c r="J1326" s="106">
        <f t="shared" si="83"/>
        <v>0.28333333333333333</v>
      </c>
      <c r="K1326" s="106">
        <f t="shared" si="84"/>
        <v>-13.233333333333128</v>
      </c>
    </row>
    <row r="1327" spans="8:11" ht="17.45" customHeight="1" x14ac:dyDescent="0.3">
      <c r="H1327" s="101">
        <f t="shared" si="85"/>
        <v>1319</v>
      </c>
      <c r="I1327" s="101">
        <f t="shared" si="82"/>
        <v>5</v>
      </c>
      <c r="J1327" s="106">
        <f t="shared" si="83"/>
        <v>0.28333333333333333</v>
      </c>
      <c r="K1327" s="106">
        <f t="shared" si="84"/>
        <v>-12.949999999999795</v>
      </c>
    </row>
    <row r="1328" spans="8:11" ht="17.45" customHeight="1" x14ac:dyDescent="0.3">
      <c r="H1328" s="101">
        <f t="shared" si="85"/>
        <v>1320</v>
      </c>
      <c r="I1328" s="101">
        <f t="shared" si="82"/>
        <v>5</v>
      </c>
      <c r="J1328" s="106">
        <f t="shared" si="83"/>
        <v>0.28333333333333333</v>
      </c>
      <c r="K1328" s="106">
        <f t="shared" si="84"/>
        <v>-12.666666666666462</v>
      </c>
    </row>
    <row r="1329" spans="8:11" ht="17.45" customHeight="1" x14ac:dyDescent="0.3">
      <c r="H1329" s="101">
        <f t="shared" si="85"/>
        <v>1321</v>
      </c>
      <c r="I1329" s="101">
        <f t="shared" si="82"/>
        <v>5</v>
      </c>
      <c r="J1329" s="106">
        <f t="shared" si="83"/>
        <v>0.28333333333333333</v>
      </c>
      <c r="K1329" s="106">
        <f t="shared" si="84"/>
        <v>-12.383333333333129</v>
      </c>
    </row>
    <row r="1330" spans="8:11" ht="17.45" customHeight="1" x14ac:dyDescent="0.3">
      <c r="H1330" s="101">
        <f t="shared" si="85"/>
        <v>1322</v>
      </c>
      <c r="I1330" s="101">
        <f t="shared" si="82"/>
        <v>5</v>
      </c>
      <c r="J1330" s="106">
        <f t="shared" si="83"/>
        <v>0.28333333333333333</v>
      </c>
      <c r="K1330" s="106">
        <f t="shared" si="84"/>
        <v>-12.099999999999795</v>
      </c>
    </row>
    <row r="1331" spans="8:11" ht="17.45" customHeight="1" x14ac:dyDescent="0.3">
      <c r="H1331" s="101">
        <f t="shared" si="85"/>
        <v>1323</v>
      </c>
      <c r="I1331" s="101">
        <f t="shared" si="82"/>
        <v>5</v>
      </c>
      <c r="J1331" s="106">
        <f t="shared" si="83"/>
        <v>0.28333333333333333</v>
      </c>
      <c r="K1331" s="106">
        <f t="shared" si="84"/>
        <v>-11.816666666666462</v>
      </c>
    </row>
    <row r="1332" spans="8:11" ht="17.45" customHeight="1" x14ac:dyDescent="0.3">
      <c r="H1332" s="101">
        <f t="shared" si="85"/>
        <v>1324</v>
      </c>
      <c r="I1332" s="101">
        <f t="shared" si="82"/>
        <v>5</v>
      </c>
      <c r="J1332" s="106">
        <f t="shared" si="83"/>
        <v>0.28333333333333333</v>
      </c>
      <c r="K1332" s="106">
        <f t="shared" si="84"/>
        <v>-11.533333333333129</v>
      </c>
    </row>
    <row r="1333" spans="8:11" ht="17.45" customHeight="1" x14ac:dyDescent="0.3">
      <c r="H1333" s="101">
        <f t="shared" si="85"/>
        <v>1325</v>
      </c>
      <c r="I1333" s="101">
        <f t="shared" si="82"/>
        <v>5</v>
      </c>
      <c r="J1333" s="106">
        <f t="shared" si="83"/>
        <v>0.28333333333333333</v>
      </c>
      <c r="K1333" s="106">
        <f t="shared" si="84"/>
        <v>-11.249999999999796</v>
      </c>
    </row>
    <row r="1334" spans="8:11" ht="17.45" customHeight="1" x14ac:dyDescent="0.3">
      <c r="H1334" s="101">
        <f t="shared" si="85"/>
        <v>1326</v>
      </c>
      <c r="I1334" s="101">
        <f t="shared" si="82"/>
        <v>5</v>
      </c>
      <c r="J1334" s="106">
        <f t="shared" si="83"/>
        <v>0.28333333333333333</v>
      </c>
      <c r="K1334" s="106">
        <f t="shared" si="84"/>
        <v>-10.966666666666463</v>
      </c>
    </row>
    <row r="1335" spans="8:11" ht="17.45" customHeight="1" x14ac:dyDescent="0.3">
      <c r="H1335" s="101">
        <f t="shared" si="85"/>
        <v>1327</v>
      </c>
      <c r="I1335" s="101">
        <f t="shared" si="82"/>
        <v>5</v>
      </c>
      <c r="J1335" s="106">
        <f t="shared" si="83"/>
        <v>0.28333333333333333</v>
      </c>
      <c r="K1335" s="106">
        <f t="shared" si="84"/>
        <v>-10.683333333333129</v>
      </c>
    </row>
    <row r="1336" spans="8:11" ht="17.45" customHeight="1" x14ac:dyDescent="0.3">
      <c r="H1336" s="101">
        <f t="shared" si="85"/>
        <v>1328</v>
      </c>
      <c r="I1336" s="101">
        <f t="shared" si="82"/>
        <v>5</v>
      </c>
      <c r="J1336" s="106">
        <f t="shared" si="83"/>
        <v>0.28333333333333333</v>
      </c>
      <c r="K1336" s="106">
        <f t="shared" si="84"/>
        <v>-10.399999999999796</v>
      </c>
    </row>
    <row r="1337" spans="8:11" ht="17.45" customHeight="1" x14ac:dyDescent="0.3">
      <c r="H1337" s="101">
        <f t="shared" si="85"/>
        <v>1329</v>
      </c>
      <c r="I1337" s="101">
        <f t="shared" si="82"/>
        <v>5</v>
      </c>
      <c r="J1337" s="106">
        <f t="shared" si="83"/>
        <v>0.28333333333333333</v>
      </c>
      <c r="K1337" s="106">
        <f t="shared" si="84"/>
        <v>-10.116666666666463</v>
      </c>
    </row>
    <row r="1338" spans="8:11" ht="17.45" customHeight="1" x14ac:dyDescent="0.3">
      <c r="H1338" s="101">
        <f t="shared" si="85"/>
        <v>1330</v>
      </c>
      <c r="I1338" s="101">
        <f t="shared" si="82"/>
        <v>5</v>
      </c>
      <c r="J1338" s="106">
        <f t="shared" si="83"/>
        <v>0.28333333333333333</v>
      </c>
      <c r="K1338" s="106">
        <f t="shared" si="84"/>
        <v>-9.8333333333331296</v>
      </c>
    </row>
    <row r="1339" spans="8:11" ht="17.45" customHeight="1" x14ac:dyDescent="0.3">
      <c r="H1339" s="101">
        <f t="shared" si="85"/>
        <v>1331</v>
      </c>
      <c r="I1339" s="101">
        <f t="shared" si="82"/>
        <v>5</v>
      </c>
      <c r="J1339" s="106">
        <f t="shared" si="83"/>
        <v>0.28333333333333333</v>
      </c>
      <c r="K1339" s="106">
        <f t="shared" si="84"/>
        <v>-9.5499999999997964</v>
      </c>
    </row>
    <row r="1340" spans="8:11" ht="17.45" customHeight="1" x14ac:dyDescent="0.3">
      <c r="H1340" s="101">
        <f t="shared" si="85"/>
        <v>1332</v>
      </c>
      <c r="I1340" s="101">
        <f t="shared" si="82"/>
        <v>5</v>
      </c>
      <c r="J1340" s="106">
        <f t="shared" si="83"/>
        <v>0.28333333333333333</v>
      </c>
      <c r="K1340" s="106">
        <f t="shared" si="84"/>
        <v>-9.2666666666664632</v>
      </c>
    </row>
    <row r="1341" spans="8:11" ht="17.45" customHeight="1" x14ac:dyDescent="0.3">
      <c r="H1341" s="101">
        <f t="shared" si="85"/>
        <v>1333</v>
      </c>
      <c r="I1341" s="101">
        <f t="shared" si="82"/>
        <v>5</v>
      </c>
      <c r="J1341" s="106">
        <f t="shared" si="83"/>
        <v>0.28333333333333333</v>
      </c>
      <c r="K1341" s="106">
        <f t="shared" si="84"/>
        <v>-8.98333333333313</v>
      </c>
    </row>
    <row r="1342" spans="8:11" ht="17.45" customHeight="1" x14ac:dyDescent="0.3">
      <c r="H1342" s="101">
        <f t="shared" si="85"/>
        <v>1334</v>
      </c>
      <c r="I1342" s="101">
        <f t="shared" si="82"/>
        <v>5</v>
      </c>
      <c r="J1342" s="106">
        <f t="shared" si="83"/>
        <v>0.28333333333333333</v>
      </c>
      <c r="K1342" s="106">
        <f t="shared" si="84"/>
        <v>-8.6999999999997968</v>
      </c>
    </row>
    <row r="1343" spans="8:11" ht="17.45" customHeight="1" x14ac:dyDescent="0.3">
      <c r="H1343" s="101">
        <f t="shared" si="85"/>
        <v>1335</v>
      </c>
      <c r="I1343" s="101">
        <f t="shared" si="82"/>
        <v>5</v>
      </c>
      <c r="J1343" s="106">
        <f t="shared" si="83"/>
        <v>0.28333333333333333</v>
      </c>
      <c r="K1343" s="106">
        <f t="shared" si="84"/>
        <v>-8.4166666666664636</v>
      </c>
    </row>
    <row r="1344" spans="8:11" ht="17.45" customHeight="1" x14ac:dyDescent="0.3">
      <c r="H1344" s="101">
        <f t="shared" si="85"/>
        <v>1336</v>
      </c>
      <c r="I1344" s="101">
        <f t="shared" si="82"/>
        <v>5</v>
      </c>
      <c r="J1344" s="106">
        <f t="shared" si="83"/>
        <v>0.28333333333333333</v>
      </c>
      <c r="K1344" s="106">
        <f t="shared" si="84"/>
        <v>-8.1333333333331304</v>
      </c>
    </row>
    <row r="1345" spans="8:11" ht="17.45" customHeight="1" x14ac:dyDescent="0.3">
      <c r="H1345" s="101">
        <f t="shared" si="85"/>
        <v>1337</v>
      </c>
      <c r="I1345" s="101">
        <f t="shared" si="82"/>
        <v>5</v>
      </c>
      <c r="J1345" s="106">
        <f t="shared" si="83"/>
        <v>0.28333333333333333</v>
      </c>
      <c r="K1345" s="106">
        <f t="shared" si="84"/>
        <v>-7.8499999999997971</v>
      </c>
    </row>
    <row r="1346" spans="8:11" ht="17.45" customHeight="1" x14ac:dyDescent="0.3">
      <c r="H1346" s="101">
        <f t="shared" si="85"/>
        <v>1338</v>
      </c>
      <c r="I1346" s="101">
        <f t="shared" si="82"/>
        <v>5</v>
      </c>
      <c r="J1346" s="106">
        <f t="shared" si="83"/>
        <v>0.28333333333333333</v>
      </c>
      <c r="K1346" s="106">
        <f t="shared" si="84"/>
        <v>-7.5666666666664639</v>
      </c>
    </row>
    <row r="1347" spans="8:11" ht="17.45" customHeight="1" x14ac:dyDescent="0.3">
      <c r="H1347" s="101">
        <f t="shared" si="85"/>
        <v>1339</v>
      </c>
      <c r="I1347" s="101">
        <f t="shared" si="82"/>
        <v>5</v>
      </c>
      <c r="J1347" s="106">
        <f t="shared" si="83"/>
        <v>0.28333333333333333</v>
      </c>
      <c r="K1347" s="106">
        <f t="shared" si="84"/>
        <v>-7.2833333333331307</v>
      </c>
    </row>
    <row r="1348" spans="8:11" ht="17.45" customHeight="1" x14ac:dyDescent="0.3">
      <c r="H1348" s="101">
        <f t="shared" si="85"/>
        <v>1340</v>
      </c>
      <c r="I1348" s="101">
        <f t="shared" si="82"/>
        <v>5</v>
      </c>
      <c r="J1348" s="106">
        <f t="shared" si="83"/>
        <v>0.28333333333333333</v>
      </c>
      <c r="K1348" s="106">
        <f t="shared" si="84"/>
        <v>-6.9999999999997975</v>
      </c>
    </row>
    <row r="1349" spans="8:11" ht="17.45" customHeight="1" x14ac:dyDescent="0.3">
      <c r="H1349" s="101">
        <f t="shared" si="85"/>
        <v>1341</v>
      </c>
      <c r="I1349" s="101">
        <f t="shared" si="82"/>
        <v>5</v>
      </c>
      <c r="J1349" s="106">
        <f t="shared" si="83"/>
        <v>0.28333333333333333</v>
      </c>
      <c r="K1349" s="106">
        <f t="shared" si="84"/>
        <v>-6.7166666666664643</v>
      </c>
    </row>
    <row r="1350" spans="8:11" ht="17.45" customHeight="1" x14ac:dyDescent="0.3">
      <c r="H1350" s="101">
        <f t="shared" si="85"/>
        <v>1342</v>
      </c>
      <c r="I1350" s="101">
        <f t="shared" si="82"/>
        <v>5</v>
      </c>
      <c r="J1350" s="106">
        <f t="shared" si="83"/>
        <v>0.28333333333333333</v>
      </c>
      <c r="K1350" s="106">
        <f t="shared" si="84"/>
        <v>-6.4333333333331311</v>
      </c>
    </row>
    <row r="1351" spans="8:11" ht="17.45" customHeight="1" x14ac:dyDescent="0.3">
      <c r="H1351" s="101">
        <f t="shared" si="85"/>
        <v>1343</v>
      </c>
      <c r="I1351" s="101">
        <f t="shared" si="82"/>
        <v>5</v>
      </c>
      <c r="J1351" s="106">
        <f t="shared" si="83"/>
        <v>0.28333333333333333</v>
      </c>
      <c r="K1351" s="106">
        <f t="shared" si="84"/>
        <v>-6.1499999999997979</v>
      </c>
    </row>
    <row r="1352" spans="8:11" ht="17.45" customHeight="1" x14ac:dyDescent="0.3">
      <c r="H1352" s="101">
        <f t="shared" si="85"/>
        <v>1344</v>
      </c>
      <c r="I1352" s="101">
        <f t="shared" si="82"/>
        <v>5</v>
      </c>
      <c r="J1352" s="106">
        <f t="shared" si="83"/>
        <v>0.28333333333333333</v>
      </c>
      <c r="K1352" s="106">
        <f t="shared" si="84"/>
        <v>-5.8666666666664646</v>
      </c>
    </row>
    <row r="1353" spans="8:11" ht="17.45" customHeight="1" x14ac:dyDescent="0.3">
      <c r="H1353" s="101">
        <f t="shared" si="85"/>
        <v>1345</v>
      </c>
      <c r="I1353" s="101">
        <f t="shared" ref="I1353:I1408" si="86">MATCH(H1353,$C$8:$C$13,1)</f>
        <v>5</v>
      </c>
      <c r="J1353" s="106">
        <f t="shared" si="83"/>
        <v>0.28333333333333333</v>
      </c>
      <c r="K1353" s="106">
        <f t="shared" si="84"/>
        <v>-5.5833333333331314</v>
      </c>
    </row>
    <row r="1354" spans="8:11" ht="17.45" customHeight="1" x14ac:dyDescent="0.3">
      <c r="H1354" s="101">
        <f t="shared" si="85"/>
        <v>1346</v>
      </c>
      <c r="I1354" s="101">
        <f t="shared" si="86"/>
        <v>5</v>
      </c>
      <c r="J1354" s="106">
        <f t="shared" ref="J1354:J1408" si="87">INDEX($E$8:$E$13,I1353)</f>
        <v>0.28333333333333333</v>
      </c>
      <c r="K1354" s="106">
        <f t="shared" ref="K1354:K1408" si="88">K1353+J1354</f>
        <v>-5.2999999999997982</v>
      </c>
    </row>
    <row r="1355" spans="8:11" ht="17.45" customHeight="1" x14ac:dyDescent="0.3">
      <c r="H1355" s="101">
        <f t="shared" si="85"/>
        <v>1347</v>
      </c>
      <c r="I1355" s="101">
        <f t="shared" si="86"/>
        <v>5</v>
      </c>
      <c r="J1355" s="106">
        <f t="shared" si="87"/>
        <v>0.28333333333333333</v>
      </c>
      <c r="K1355" s="106">
        <f t="shared" si="88"/>
        <v>-5.016666666666465</v>
      </c>
    </row>
    <row r="1356" spans="8:11" ht="17.45" customHeight="1" x14ac:dyDescent="0.3">
      <c r="H1356" s="101">
        <f t="shared" si="85"/>
        <v>1348</v>
      </c>
      <c r="I1356" s="101">
        <f t="shared" si="86"/>
        <v>5</v>
      </c>
      <c r="J1356" s="106">
        <f t="shared" si="87"/>
        <v>0.28333333333333333</v>
      </c>
      <c r="K1356" s="106">
        <f t="shared" si="88"/>
        <v>-4.7333333333331318</v>
      </c>
    </row>
    <row r="1357" spans="8:11" ht="17.45" customHeight="1" x14ac:dyDescent="0.3">
      <c r="H1357" s="101">
        <f t="shared" si="85"/>
        <v>1349</v>
      </c>
      <c r="I1357" s="101">
        <f t="shared" si="86"/>
        <v>5</v>
      </c>
      <c r="J1357" s="106">
        <f t="shared" si="87"/>
        <v>0.28333333333333333</v>
      </c>
      <c r="K1357" s="106">
        <f t="shared" si="88"/>
        <v>-4.4499999999997986</v>
      </c>
    </row>
    <row r="1358" spans="8:11" ht="17.45" customHeight="1" x14ac:dyDescent="0.3">
      <c r="H1358" s="101">
        <f t="shared" si="85"/>
        <v>1350</v>
      </c>
      <c r="I1358" s="101">
        <f t="shared" si="86"/>
        <v>5</v>
      </c>
      <c r="J1358" s="106">
        <f t="shared" si="87"/>
        <v>0.28333333333333333</v>
      </c>
      <c r="K1358" s="106">
        <f t="shared" si="88"/>
        <v>-4.1666666666664653</v>
      </c>
    </row>
    <row r="1359" spans="8:11" ht="17.45" customHeight="1" x14ac:dyDescent="0.3">
      <c r="H1359" s="101">
        <f t="shared" si="85"/>
        <v>1351</v>
      </c>
      <c r="I1359" s="101">
        <f t="shared" si="86"/>
        <v>5</v>
      </c>
      <c r="J1359" s="106">
        <f t="shared" si="87"/>
        <v>0.28333333333333333</v>
      </c>
      <c r="K1359" s="106">
        <f t="shared" si="88"/>
        <v>-3.8833333333331321</v>
      </c>
    </row>
    <row r="1360" spans="8:11" ht="17.45" customHeight="1" x14ac:dyDescent="0.3">
      <c r="H1360" s="101">
        <f t="shared" si="85"/>
        <v>1352</v>
      </c>
      <c r="I1360" s="101">
        <f t="shared" si="86"/>
        <v>5</v>
      </c>
      <c r="J1360" s="106">
        <f t="shared" si="87"/>
        <v>0.28333333333333333</v>
      </c>
      <c r="K1360" s="106">
        <f t="shared" si="88"/>
        <v>-3.5999999999997989</v>
      </c>
    </row>
    <row r="1361" spans="8:11" ht="17.45" customHeight="1" x14ac:dyDescent="0.3">
      <c r="H1361" s="101">
        <f t="shared" si="85"/>
        <v>1353</v>
      </c>
      <c r="I1361" s="101">
        <f t="shared" si="86"/>
        <v>5</v>
      </c>
      <c r="J1361" s="106">
        <f t="shared" si="87"/>
        <v>0.28333333333333333</v>
      </c>
      <c r="K1361" s="106">
        <f t="shared" si="88"/>
        <v>-3.3166666666664657</v>
      </c>
    </row>
    <row r="1362" spans="8:11" ht="17.45" customHeight="1" x14ac:dyDescent="0.3">
      <c r="H1362" s="101">
        <f t="shared" si="85"/>
        <v>1354</v>
      </c>
      <c r="I1362" s="101">
        <f t="shared" si="86"/>
        <v>5</v>
      </c>
      <c r="J1362" s="106">
        <f t="shared" si="87"/>
        <v>0.28333333333333333</v>
      </c>
      <c r="K1362" s="106">
        <f t="shared" si="88"/>
        <v>-3.0333333333331325</v>
      </c>
    </row>
    <row r="1363" spans="8:11" ht="17.45" customHeight="1" x14ac:dyDescent="0.3">
      <c r="H1363" s="101">
        <f t="shared" si="85"/>
        <v>1355</v>
      </c>
      <c r="I1363" s="101">
        <f t="shared" si="86"/>
        <v>5</v>
      </c>
      <c r="J1363" s="106">
        <f t="shared" si="87"/>
        <v>0.28333333333333333</v>
      </c>
      <c r="K1363" s="106">
        <f t="shared" si="88"/>
        <v>-2.7499999999997993</v>
      </c>
    </row>
    <row r="1364" spans="8:11" ht="17.45" customHeight="1" x14ac:dyDescent="0.3">
      <c r="H1364" s="101">
        <f t="shared" si="85"/>
        <v>1356</v>
      </c>
      <c r="I1364" s="101">
        <f t="shared" si="86"/>
        <v>5</v>
      </c>
      <c r="J1364" s="106">
        <f t="shared" si="87"/>
        <v>0.28333333333333333</v>
      </c>
      <c r="K1364" s="106">
        <f t="shared" si="88"/>
        <v>-2.4666666666664661</v>
      </c>
    </row>
    <row r="1365" spans="8:11" ht="17.45" customHeight="1" x14ac:dyDescent="0.3">
      <c r="H1365" s="101">
        <f t="shared" si="85"/>
        <v>1357</v>
      </c>
      <c r="I1365" s="101">
        <f t="shared" si="86"/>
        <v>5</v>
      </c>
      <c r="J1365" s="106">
        <f t="shared" si="87"/>
        <v>0.28333333333333333</v>
      </c>
      <c r="K1365" s="106">
        <f t="shared" si="88"/>
        <v>-2.1833333333331328</v>
      </c>
    </row>
    <row r="1366" spans="8:11" ht="17.45" customHeight="1" x14ac:dyDescent="0.3">
      <c r="H1366" s="101">
        <f t="shared" si="85"/>
        <v>1358</v>
      </c>
      <c r="I1366" s="101">
        <f t="shared" si="86"/>
        <v>5</v>
      </c>
      <c r="J1366" s="106">
        <f t="shared" si="87"/>
        <v>0.28333333333333333</v>
      </c>
      <c r="K1366" s="106">
        <f t="shared" si="88"/>
        <v>-1.8999999999997996</v>
      </c>
    </row>
    <row r="1367" spans="8:11" ht="17.45" customHeight="1" x14ac:dyDescent="0.3">
      <c r="H1367" s="101">
        <f t="shared" ref="H1367:H1408" si="89">H1366+1</f>
        <v>1359</v>
      </c>
      <c r="I1367" s="101">
        <f t="shared" si="86"/>
        <v>5</v>
      </c>
      <c r="J1367" s="106">
        <f t="shared" si="87"/>
        <v>0.28333333333333333</v>
      </c>
      <c r="K1367" s="106">
        <f t="shared" si="88"/>
        <v>-1.6166666666664664</v>
      </c>
    </row>
    <row r="1368" spans="8:11" ht="17.45" customHeight="1" x14ac:dyDescent="0.3">
      <c r="H1368" s="101">
        <f t="shared" si="89"/>
        <v>1360</v>
      </c>
      <c r="I1368" s="101">
        <f t="shared" si="86"/>
        <v>5</v>
      </c>
      <c r="J1368" s="106">
        <f t="shared" si="87"/>
        <v>0.28333333333333333</v>
      </c>
      <c r="K1368" s="106">
        <f t="shared" si="88"/>
        <v>-1.3333333333331332</v>
      </c>
    </row>
    <row r="1369" spans="8:11" ht="17.45" customHeight="1" x14ac:dyDescent="0.3">
      <c r="H1369" s="101">
        <f t="shared" si="89"/>
        <v>1361</v>
      </c>
      <c r="I1369" s="101">
        <f t="shared" si="86"/>
        <v>5</v>
      </c>
      <c r="J1369" s="106">
        <f t="shared" si="87"/>
        <v>0.28333333333333333</v>
      </c>
      <c r="K1369" s="106">
        <f t="shared" si="88"/>
        <v>-1.0499999999998</v>
      </c>
    </row>
    <row r="1370" spans="8:11" ht="17.45" customHeight="1" x14ac:dyDescent="0.3">
      <c r="H1370" s="101">
        <f t="shared" si="89"/>
        <v>1362</v>
      </c>
      <c r="I1370" s="101">
        <f t="shared" si="86"/>
        <v>5</v>
      </c>
      <c r="J1370" s="106">
        <f t="shared" si="87"/>
        <v>0.28333333333333333</v>
      </c>
      <c r="K1370" s="106">
        <f t="shared" si="88"/>
        <v>-0.76666666666646666</v>
      </c>
    </row>
    <row r="1371" spans="8:11" ht="17.45" customHeight="1" x14ac:dyDescent="0.3">
      <c r="H1371" s="101">
        <f t="shared" si="89"/>
        <v>1363</v>
      </c>
      <c r="I1371" s="101">
        <f t="shared" si="86"/>
        <v>5</v>
      </c>
      <c r="J1371" s="106">
        <f t="shared" si="87"/>
        <v>0.28333333333333333</v>
      </c>
      <c r="K1371" s="106">
        <f t="shared" si="88"/>
        <v>-0.48333333333313333</v>
      </c>
    </row>
    <row r="1372" spans="8:11" ht="17.45" customHeight="1" x14ac:dyDescent="0.3">
      <c r="H1372" s="101">
        <f t="shared" si="89"/>
        <v>1364</v>
      </c>
      <c r="I1372" s="101">
        <f t="shared" si="86"/>
        <v>5</v>
      </c>
      <c r="J1372" s="106">
        <f t="shared" si="87"/>
        <v>0.28333333333333333</v>
      </c>
      <c r="K1372" s="106">
        <f t="shared" si="88"/>
        <v>-0.1999999999998</v>
      </c>
    </row>
    <row r="1373" spans="8:11" ht="17.45" customHeight="1" x14ac:dyDescent="0.3">
      <c r="H1373" s="101">
        <f t="shared" si="89"/>
        <v>1365</v>
      </c>
      <c r="I1373" s="101">
        <f t="shared" si="86"/>
        <v>5</v>
      </c>
      <c r="J1373" s="106">
        <f t="shared" si="87"/>
        <v>0.28333333333333333</v>
      </c>
      <c r="K1373" s="106">
        <f t="shared" si="88"/>
        <v>8.3333333333533322E-2</v>
      </c>
    </row>
    <row r="1374" spans="8:11" ht="17.45" customHeight="1" x14ac:dyDescent="0.3">
      <c r="H1374" s="101">
        <f t="shared" si="89"/>
        <v>1366</v>
      </c>
      <c r="I1374" s="101">
        <f t="shared" si="86"/>
        <v>5</v>
      </c>
      <c r="J1374" s="106">
        <f t="shared" si="87"/>
        <v>0.28333333333333333</v>
      </c>
      <c r="K1374" s="106">
        <f t="shared" si="88"/>
        <v>0.36666666666686665</v>
      </c>
    </row>
    <row r="1375" spans="8:11" ht="17.45" customHeight="1" x14ac:dyDescent="0.3">
      <c r="H1375" s="101">
        <f t="shared" si="89"/>
        <v>1367</v>
      </c>
      <c r="I1375" s="101">
        <f t="shared" si="86"/>
        <v>5</v>
      </c>
      <c r="J1375" s="106">
        <f t="shared" si="87"/>
        <v>0.28333333333333333</v>
      </c>
      <c r="K1375" s="106">
        <f t="shared" si="88"/>
        <v>0.65000000000019997</v>
      </c>
    </row>
    <row r="1376" spans="8:11" ht="17.45" customHeight="1" x14ac:dyDescent="0.3">
      <c r="H1376" s="101">
        <f t="shared" si="89"/>
        <v>1368</v>
      </c>
      <c r="I1376" s="101">
        <f t="shared" si="86"/>
        <v>5</v>
      </c>
      <c r="J1376" s="106">
        <f t="shared" si="87"/>
        <v>0.28333333333333333</v>
      </c>
      <c r="K1376" s="106">
        <f t="shared" si="88"/>
        <v>0.9333333333335333</v>
      </c>
    </row>
    <row r="1377" spans="8:11" ht="17.45" customHeight="1" x14ac:dyDescent="0.3">
      <c r="H1377" s="101">
        <f t="shared" si="89"/>
        <v>1369</v>
      </c>
      <c r="I1377" s="101">
        <f t="shared" si="86"/>
        <v>5</v>
      </c>
      <c r="J1377" s="106">
        <f t="shared" si="87"/>
        <v>0.28333333333333333</v>
      </c>
      <c r="K1377" s="106">
        <f t="shared" si="88"/>
        <v>1.2166666666668666</v>
      </c>
    </row>
    <row r="1378" spans="8:11" ht="17.45" customHeight="1" x14ac:dyDescent="0.3">
      <c r="H1378" s="101">
        <f t="shared" si="89"/>
        <v>1370</v>
      </c>
      <c r="I1378" s="101">
        <f t="shared" si="86"/>
        <v>5</v>
      </c>
      <c r="J1378" s="106">
        <f t="shared" si="87"/>
        <v>0.28333333333333333</v>
      </c>
      <c r="K1378" s="106">
        <f t="shared" si="88"/>
        <v>1.5000000000001998</v>
      </c>
    </row>
    <row r="1379" spans="8:11" ht="17.45" customHeight="1" x14ac:dyDescent="0.3">
      <c r="H1379" s="101">
        <f t="shared" si="89"/>
        <v>1371</v>
      </c>
      <c r="I1379" s="101">
        <f t="shared" si="86"/>
        <v>5</v>
      </c>
      <c r="J1379" s="106">
        <f t="shared" si="87"/>
        <v>0.28333333333333333</v>
      </c>
      <c r="K1379" s="106">
        <f t="shared" si="88"/>
        <v>1.7833333333335331</v>
      </c>
    </row>
    <row r="1380" spans="8:11" ht="17.45" customHeight="1" x14ac:dyDescent="0.3">
      <c r="H1380" s="101">
        <f t="shared" si="89"/>
        <v>1372</v>
      </c>
      <c r="I1380" s="101">
        <f t="shared" si="86"/>
        <v>5</v>
      </c>
      <c r="J1380" s="106">
        <f t="shared" si="87"/>
        <v>0.28333333333333333</v>
      </c>
      <c r="K1380" s="106">
        <f t="shared" si="88"/>
        <v>2.0666666666668663</v>
      </c>
    </row>
    <row r="1381" spans="8:11" ht="17.45" customHeight="1" x14ac:dyDescent="0.3">
      <c r="H1381" s="101">
        <f t="shared" si="89"/>
        <v>1373</v>
      </c>
      <c r="I1381" s="101">
        <f t="shared" si="86"/>
        <v>5</v>
      </c>
      <c r="J1381" s="106">
        <f t="shared" si="87"/>
        <v>0.28333333333333333</v>
      </c>
      <c r="K1381" s="106">
        <f t="shared" si="88"/>
        <v>2.3500000000001995</v>
      </c>
    </row>
    <row r="1382" spans="8:11" ht="17.45" customHeight="1" x14ac:dyDescent="0.3">
      <c r="H1382" s="101">
        <f t="shared" si="89"/>
        <v>1374</v>
      </c>
      <c r="I1382" s="101">
        <f t="shared" si="86"/>
        <v>5</v>
      </c>
      <c r="J1382" s="106">
        <f t="shared" si="87"/>
        <v>0.28333333333333333</v>
      </c>
      <c r="K1382" s="106">
        <f t="shared" si="88"/>
        <v>2.6333333333335327</v>
      </c>
    </row>
    <row r="1383" spans="8:11" ht="17.45" customHeight="1" x14ac:dyDescent="0.3">
      <c r="H1383" s="101">
        <f t="shared" si="89"/>
        <v>1375</v>
      </c>
      <c r="I1383" s="101">
        <f t="shared" si="86"/>
        <v>5</v>
      </c>
      <c r="J1383" s="106">
        <f t="shared" si="87"/>
        <v>0.28333333333333333</v>
      </c>
      <c r="K1383" s="106">
        <f t="shared" si="88"/>
        <v>2.9166666666668659</v>
      </c>
    </row>
    <row r="1384" spans="8:11" ht="17.45" customHeight="1" x14ac:dyDescent="0.3">
      <c r="H1384" s="101">
        <f t="shared" si="89"/>
        <v>1376</v>
      </c>
      <c r="I1384" s="101">
        <f t="shared" si="86"/>
        <v>5</v>
      </c>
      <c r="J1384" s="106">
        <f t="shared" si="87"/>
        <v>0.28333333333333333</v>
      </c>
      <c r="K1384" s="106">
        <f t="shared" si="88"/>
        <v>3.2000000000001991</v>
      </c>
    </row>
    <row r="1385" spans="8:11" ht="17.45" customHeight="1" x14ac:dyDescent="0.3">
      <c r="H1385" s="101">
        <f t="shared" si="89"/>
        <v>1377</v>
      </c>
      <c r="I1385" s="101">
        <f t="shared" si="86"/>
        <v>5</v>
      </c>
      <c r="J1385" s="106">
        <f t="shared" si="87"/>
        <v>0.28333333333333333</v>
      </c>
      <c r="K1385" s="106">
        <f t="shared" si="88"/>
        <v>3.4833333333335323</v>
      </c>
    </row>
    <row r="1386" spans="8:11" ht="17.45" customHeight="1" x14ac:dyDescent="0.3">
      <c r="H1386" s="101">
        <f t="shared" si="89"/>
        <v>1378</v>
      </c>
      <c r="I1386" s="101">
        <f t="shared" si="86"/>
        <v>5</v>
      </c>
      <c r="J1386" s="106">
        <f t="shared" si="87"/>
        <v>0.28333333333333333</v>
      </c>
      <c r="K1386" s="106">
        <f t="shared" si="88"/>
        <v>3.7666666666668656</v>
      </c>
    </row>
    <row r="1387" spans="8:11" ht="17.45" customHeight="1" x14ac:dyDescent="0.3">
      <c r="H1387" s="101">
        <f t="shared" si="89"/>
        <v>1379</v>
      </c>
      <c r="I1387" s="101">
        <f t="shared" si="86"/>
        <v>5</v>
      </c>
      <c r="J1387" s="106">
        <f t="shared" si="87"/>
        <v>0.28333333333333333</v>
      </c>
      <c r="K1387" s="106">
        <f t="shared" si="88"/>
        <v>4.0500000000001988</v>
      </c>
    </row>
    <row r="1388" spans="8:11" ht="17.45" customHeight="1" x14ac:dyDescent="0.3">
      <c r="H1388" s="101">
        <f t="shared" si="89"/>
        <v>1380</v>
      </c>
      <c r="I1388" s="101">
        <f t="shared" si="86"/>
        <v>5</v>
      </c>
      <c r="J1388" s="106">
        <f t="shared" si="87"/>
        <v>0.28333333333333333</v>
      </c>
      <c r="K1388" s="106">
        <f t="shared" si="88"/>
        <v>4.333333333333532</v>
      </c>
    </row>
    <row r="1389" spans="8:11" ht="17.45" customHeight="1" x14ac:dyDescent="0.3">
      <c r="H1389" s="101">
        <f t="shared" si="89"/>
        <v>1381</v>
      </c>
      <c r="I1389" s="101">
        <f t="shared" si="86"/>
        <v>5</v>
      </c>
      <c r="J1389" s="106">
        <f t="shared" si="87"/>
        <v>0.28333333333333333</v>
      </c>
      <c r="K1389" s="106">
        <f t="shared" si="88"/>
        <v>4.6166666666668652</v>
      </c>
    </row>
    <row r="1390" spans="8:11" ht="17.45" customHeight="1" x14ac:dyDescent="0.3">
      <c r="H1390" s="101">
        <f t="shared" si="89"/>
        <v>1382</v>
      </c>
      <c r="I1390" s="101">
        <f t="shared" si="86"/>
        <v>5</v>
      </c>
      <c r="J1390" s="106">
        <f t="shared" si="87"/>
        <v>0.28333333333333333</v>
      </c>
      <c r="K1390" s="106">
        <f t="shared" si="88"/>
        <v>4.9000000000001984</v>
      </c>
    </row>
    <row r="1391" spans="8:11" ht="17.45" customHeight="1" x14ac:dyDescent="0.3">
      <c r="H1391" s="101">
        <f t="shared" si="89"/>
        <v>1383</v>
      </c>
      <c r="I1391" s="101">
        <f t="shared" si="86"/>
        <v>5</v>
      </c>
      <c r="J1391" s="106">
        <f t="shared" si="87"/>
        <v>0.28333333333333333</v>
      </c>
      <c r="K1391" s="106">
        <f t="shared" si="88"/>
        <v>5.1833333333335316</v>
      </c>
    </row>
    <row r="1392" spans="8:11" ht="17.45" customHeight="1" x14ac:dyDescent="0.3">
      <c r="H1392" s="101">
        <f t="shared" si="89"/>
        <v>1384</v>
      </c>
      <c r="I1392" s="101">
        <f t="shared" si="86"/>
        <v>5</v>
      </c>
      <c r="J1392" s="106">
        <f t="shared" si="87"/>
        <v>0.28333333333333333</v>
      </c>
      <c r="K1392" s="106">
        <f t="shared" si="88"/>
        <v>5.4666666666668648</v>
      </c>
    </row>
    <row r="1393" spans="8:11" ht="17.45" customHeight="1" x14ac:dyDescent="0.3">
      <c r="H1393" s="101">
        <f t="shared" si="89"/>
        <v>1385</v>
      </c>
      <c r="I1393" s="101">
        <f t="shared" si="86"/>
        <v>5</v>
      </c>
      <c r="J1393" s="106">
        <f t="shared" si="87"/>
        <v>0.28333333333333333</v>
      </c>
      <c r="K1393" s="106">
        <f t="shared" si="88"/>
        <v>5.7500000000001981</v>
      </c>
    </row>
    <row r="1394" spans="8:11" ht="17.45" customHeight="1" x14ac:dyDescent="0.3">
      <c r="H1394" s="101">
        <f t="shared" si="89"/>
        <v>1386</v>
      </c>
      <c r="I1394" s="101">
        <f t="shared" si="86"/>
        <v>5</v>
      </c>
      <c r="J1394" s="106">
        <f t="shared" si="87"/>
        <v>0.28333333333333333</v>
      </c>
      <c r="K1394" s="106">
        <f t="shared" si="88"/>
        <v>6.0333333333335313</v>
      </c>
    </row>
    <row r="1395" spans="8:11" ht="17.45" customHeight="1" x14ac:dyDescent="0.3">
      <c r="H1395" s="101">
        <f t="shared" si="89"/>
        <v>1387</v>
      </c>
      <c r="I1395" s="101">
        <f t="shared" si="86"/>
        <v>5</v>
      </c>
      <c r="J1395" s="106">
        <f t="shared" si="87"/>
        <v>0.28333333333333333</v>
      </c>
      <c r="K1395" s="106">
        <f t="shared" si="88"/>
        <v>6.3166666666668645</v>
      </c>
    </row>
    <row r="1396" spans="8:11" ht="17.45" customHeight="1" x14ac:dyDescent="0.25">
      <c r="H1396" s="101">
        <f t="shared" si="89"/>
        <v>1388</v>
      </c>
      <c r="I1396" s="101">
        <f t="shared" si="86"/>
        <v>5</v>
      </c>
      <c r="J1396" s="106">
        <f t="shared" si="87"/>
        <v>0.28333333333333333</v>
      </c>
      <c r="K1396" s="106">
        <f t="shared" si="88"/>
        <v>6.6000000000001977</v>
      </c>
    </row>
    <row r="1397" spans="8:11" ht="17.45" customHeight="1" x14ac:dyDescent="0.25">
      <c r="H1397" s="101">
        <f t="shared" si="89"/>
        <v>1389</v>
      </c>
      <c r="I1397" s="101">
        <f t="shared" si="86"/>
        <v>5</v>
      </c>
      <c r="J1397" s="106">
        <f t="shared" si="87"/>
        <v>0.28333333333333333</v>
      </c>
      <c r="K1397" s="106">
        <f t="shared" si="88"/>
        <v>6.8833333333335309</v>
      </c>
    </row>
    <row r="1398" spans="8:11" ht="17.45" customHeight="1" x14ac:dyDescent="0.25">
      <c r="H1398" s="101">
        <f t="shared" si="89"/>
        <v>1390</v>
      </c>
      <c r="I1398" s="101">
        <f t="shared" si="86"/>
        <v>5</v>
      </c>
      <c r="J1398" s="106">
        <f t="shared" si="87"/>
        <v>0.28333333333333333</v>
      </c>
      <c r="K1398" s="106">
        <f t="shared" si="88"/>
        <v>7.1666666666668641</v>
      </c>
    </row>
    <row r="1399" spans="8:11" ht="17.45" customHeight="1" x14ac:dyDescent="0.25">
      <c r="H1399" s="101">
        <f t="shared" si="89"/>
        <v>1391</v>
      </c>
      <c r="I1399" s="101">
        <f t="shared" si="86"/>
        <v>5</v>
      </c>
      <c r="J1399" s="106">
        <f t="shared" si="87"/>
        <v>0.28333333333333333</v>
      </c>
      <c r="K1399" s="106">
        <f t="shared" si="88"/>
        <v>7.4500000000001974</v>
      </c>
    </row>
    <row r="1400" spans="8:11" ht="17.45" customHeight="1" x14ac:dyDescent="0.25">
      <c r="H1400" s="101">
        <f t="shared" si="89"/>
        <v>1392</v>
      </c>
      <c r="I1400" s="101">
        <f t="shared" si="86"/>
        <v>5</v>
      </c>
      <c r="J1400" s="106">
        <f t="shared" si="87"/>
        <v>0.28333333333333333</v>
      </c>
      <c r="K1400" s="106">
        <f t="shared" si="88"/>
        <v>7.7333333333335306</v>
      </c>
    </row>
    <row r="1401" spans="8:11" ht="17.45" customHeight="1" x14ac:dyDescent="0.25">
      <c r="H1401" s="101">
        <f t="shared" si="89"/>
        <v>1393</v>
      </c>
      <c r="I1401" s="101">
        <f t="shared" si="86"/>
        <v>5</v>
      </c>
      <c r="J1401" s="106">
        <f t="shared" si="87"/>
        <v>0.28333333333333333</v>
      </c>
      <c r="K1401" s="106">
        <f t="shared" si="88"/>
        <v>8.0166666666668647</v>
      </c>
    </row>
    <row r="1402" spans="8:11" ht="17.45" customHeight="1" x14ac:dyDescent="0.25">
      <c r="H1402" s="101">
        <f t="shared" si="89"/>
        <v>1394</v>
      </c>
      <c r="I1402" s="101">
        <f t="shared" si="86"/>
        <v>5</v>
      </c>
      <c r="J1402" s="106">
        <f t="shared" si="87"/>
        <v>0.28333333333333333</v>
      </c>
      <c r="K1402" s="106">
        <f t="shared" si="88"/>
        <v>8.3000000000001979</v>
      </c>
    </row>
    <row r="1403" spans="8:11" ht="17.45" customHeight="1" x14ac:dyDescent="0.25">
      <c r="H1403" s="101">
        <f t="shared" si="89"/>
        <v>1395</v>
      </c>
      <c r="I1403" s="101">
        <f t="shared" si="86"/>
        <v>5</v>
      </c>
      <c r="J1403" s="106">
        <f t="shared" si="87"/>
        <v>0.28333333333333333</v>
      </c>
      <c r="K1403" s="106">
        <f t="shared" si="88"/>
        <v>8.5833333333335311</v>
      </c>
    </row>
    <row r="1404" spans="8:11" ht="17.45" customHeight="1" x14ac:dyDescent="0.25">
      <c r="H1404" s="101">
        <f t="shared" si="89"/>
        <v>1396</v>
      </c>
      <c r="I1404" s="101">
        <f t="shared" si="86"/>
        <v>5</v>
      </c>
      <c r="J1404" s="106">
        <f t="shared" si="87"/>
        <v>0.28333333333333333</v>
      </c>
      <c r="K1404" s="106">
        <f t="shared" si="88"/>
        <v>8.8666666666668643</v>
      </c>
    </row>
    <row r="1405" spans="8:11" ht="17.45" customHeight="1" x14ac:dyDescent="0.25">
      <c r="H1405" s="101">
        <f t="shared" si="89"/>
        <v>1397</v>
      </c>
      <c r="I1405" s="101">
        <f t="shared" si="86"/>
        <v>5</v>
      </c>
      <c r="J1405" s="106">
        <f t="shared" si="87"/>
        <v>0.28333333333333333</v>
      </c>
      <c r="K1405" s="106">
        <f t="shared" si="88"/>
        <v>9.1500000000001975</v>
      </c>
    </row>
    <row r="1406" spans="8:11" ht="17.45" customHeight="1" x14ac:dyDescent="0.25">
      <c r="H1406" s="101">
        <f t="shared" si="89"/>
        <v>1398</v>
      </c>
      <c r="I1406" s="101">
        <f t="shared" si="86"/>
        <v>5</v>
      </c>
      <c r="J1406" s="106">
        <f t="shared" si="87"/>
        <v>0.28333333333333333</v>
      </c>
      <c r="K1406" s="106">
        <f t="shared" si="88"/>
        <v>9.4333333333335307</v>
      </c>
    </row>
    <row r="1407" spans="8:11" ht="17.45" customHeight="1" x14ac:dyDescent="0.25">
      <c r="H1407" s="101">
        <f t="shared" si="89"/>
        <v>1399</v>
      </c>
      <c r="I1407" s="101">
        <f t="shared" si="86"/>
        <v>5</v>
      </c>
      <c r="J1407" s="106">
        <f t="shared" si="87"/>
        <v>0.28333333333333333</v>
      </c>
      <c r="K1407" s="106">
        <f t="shared" si="88"/>
        <v>9.716666666666864</v>
      </c>
    </row>
    <row r="1408" spans="8:11" ht="17.45" customHeight="1" x14ac:dyDescent="0.25">
      <c r="H1408" s="101">
        <f t="shared" si="89"/>
        <v>1400</v>
      </c>
      <c r="I1408" s="101">
        <f t="shared" si="86"/>
        <v>6</v>
      </c>
      <c r="J1408" s="106">
        <f t="shared" si="87"/>
        <v>0.28333333333333333</v>
      </c>
      <c r="K1408" s="106">
        <f t="shared" si="88"/>
        <v>10.000000000000197</v>
      </c>
    </row>
    <row r="1409" spans="8:11" ht="17.45" customHeight="1" x14ac:dyDescent="0.25">
      <c r="H1409"/>
      <c r="I1409"/>
      <c r="J1409"/>
      <c r="K1409"/>
    </row>
    <row r="1410" spans="8:11" ht="17.45" customHeight="1" x14ac:dyDescent="0.25">
      <c r="H1410"/>
      <c r="I1410"/>
      <c r="J1410"/>
      <c r="K1410"/>
    </row>
    <row r="1411" spans="8:11" ht="17.45" customHeight="1" x14ac:dyDescent="0.25">
      <c r="H1411"/>
      <c r="I1411"/>
      <c r="J1411"/>
      <c r="K1411"/>
    </row>
    <row r="1412" spans="8:11" ht="17.45" customHeight="1" x14ac:dyDescent="0.25">
      <c r="H1412"/>
      <c r="I1412"/>
      <c r="J1412"/>
      <c r="K1412"/>
    </row>
    <row r="1413" spans="8:11" ht="17.45" customHeight="1" x14ac:dyDescent="0.25">
      <c r="H1413"/>
      <c r="I1413"/>
      <c r="J1413"/>
      <c r="K1413"/>
    </row>
    <row r="1414" spans="8:11" ht="17.45" customHeight="1" x14ac:dyDescent="0.25">
      <c r="H1414"/>
      <c r="I1414"/>
      <c r="J1414"/>
      <c r="K1414"/>
    </row>
    <row r="1415" spans="8:11" ht="17.45" customHeight="1" x14ac:dyDescent="0.25">
      <c r="H1415"/>
      <c r="I1415"/>
      <c r="J1415"/>
      <c r="K1415"/>
    </row>
    <row r="1416" spans="8:11" ht="17.45" customHeight="1" x14ac:dyDescent="0.25">
      <c r="H1416"/>
      <c r="I1416"/>
      <c r="J1416"/>
      <c r="K1416"/>
    </row>
    <row r="1417" spans="8:11" ht="17.45" customHeight="1" x14ac:dyDescent="0.25">
      <c r="H1417"/>
      <c r="I1417"/>
      <c r="J1417"/>
      <c r="K1417"/>
    </row>
    <row r="1418" spans="8:11" ht="17.45" customHeight="1" x14ac:dyDescent="0.25">
      <c r="H1418"/>
      <c r="I1418"/>
      <c r="J1418"/>
      <c r="K1418"/>
    </row>
    <row r="1419" spans="8:11" ht="17.45" customHeight="1" x14ac:dyDescent="0.25">
      <c r="H1419"/>
      <c r="I1419"/>
      <c r="J1419"/>
      <c r="K1419"/>
    </row>
    <row r="1420" spans="8:11" ht="17.45" customHeight="1" x14ac:dyDescent="0.25">
      <c r="H1420"/>
      <c r="I1420"/>
      <c r="J1420"/>
      <c r="K1420"/>
    </row>
    <row r="1421" spans="8:11" ht="17.45" customHeight="1" x14ac:dyDescent="0.25">
      <c r="H1421"/>
      <c r="I1421"/>
      <c r="J1421"/>
      <c r="K1421"/>
    </row>
    <row r="1422" spans="8:11" ht="17.45" customHeight="1" x14ac:dyDescent="0.25">
      <c r="H1422"/>
      <c r="I1422"/>
      <c r="J1422"/>
      <c r="K1422"/>
    </row>
    <row r="1423" spans="8:11" ht="17.45" customHeight="1" x14ac:dyDescent="0.25">
      <c r="H1423"/>
      <c r="I1423"/>
      <c r="J1423"/>
      <c r="K1423"/>
    </row>
    <row r="1424" spans="8:11" ht="17.45" customHeight="1" x14ac:dyDescent="0.25">
      <c r="H1424"/>
      <c r="I1424"/>
      <c r="J1424"/>
      <c r="K1424"/>
    </row>
    <row r="1425" spans="8:11" ht="17.45" customHeight="1" x14ac:dyDescent="0.25">
      <c r="H1425"/>
      <c r="I1425"/>
      <c r="J1425"/>
      <c r="K1425"/>
    </row>
    <row r="1426" spans="8:11" ht="17.45" customHeight="1" x14ac:dyDescent="0.25">
      <c r="H1426"/>
      <c r="I1426"/>
      <c r="J1426"/>
      <c r="K1426"/>
    </row>
    <row r="1427" spans="8:11" ht="17.45" customHeight="1" x14ac:dyDescent="0.25">
      <c r="H1427"/>
      <c r="I1427"/>
      <c r="J1427"/>
      <c r="K1427"/>
    </row>
    <row r="1428" spans="8:11" ht="17.45" customHeight="1" x14ac:dyDescent="0.25">
      <c r="H1428"/>
      <c r="I1428"/>
      <c r="J1428"/>
      <c r="K1428"/>
    </row>
    <row r="1429" spans="8:11" ht="17.45" customHeight="1" x14ac:dyDescent="0.25">
      <c r="H1429"/>
      <c r="I1429"/>
      <c r="J1429"/>
      <c r="K1429"/>
    </row>
    <row r="1430" spans="8:11" ht="17.45" customHeight="1" x14ac:dyDescent="0.25">
      <c r="H1430"/>
      <c r="I1430"/>
      <c r="J1430"/>
      <c r="K1430"/>
    </row>
    <row r="1431" spans="8:11" ht="17.45" customHeight="1" x14ac:dyDescent="0.25">
      <c r="H1431"/>
      <c r="I1431"/>
      <c r="J1431"/>
      <c r="K1431"/>
    </row>
    <row r="1432" spans="8:11" ht="17.45" customHeight="1" x14ac:dyDescent="0.25">
      <c r="H1432"/>
      <c r="I1432"/>
      <c r="J1432"/>
      <c r="K143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Control Logic</vt:lpstr>
      <vt:lpstr>Real Time Clock Generator</vt:lpstr>
      <vt:lpstr>Lung Model</vt:lpstr>
      <vt:lpstr>Drive table generator</vt:lpstr>
      <vt:lpstr>Delete me</vt:lpstr>
      <vt:lpstr>_FI02</vt:lpstr>
      <vt:lpstr>drive_table_as_string</vt:lpstr>
      <vt:lpstr>elapsed</vt:lpstr>
      <vt:lpstr>Exhelation_Time</vt:lpstr>
      <vt:lpstr>Exhelation_Time_RT</vt:lpstr>
      <vt:lpstr>I_E_Ratio</vt:lpstr>
      <vt:lpstr>ieRatio</vt:lpstr>
      <vt:lpstr>inhale_driver_table</vt:lpstr>
      <vt:lpstr>inhale_grad</vt:lpstr>
      <vt:lpstr>inhale_target</vt:lpstr>
      <vt:lpstr>Inhelation_time</vt:lpstr>
      <vt:lpstr>Inhelation_Time_RT</vt:lpstr>
      <vt:lpstr>Inspiratory_pressure_level</vt:lpstr>
      <vt:lpstr>iPlusE</vt:lpstr>
      <vt:lpstr>Min_Tidal_vol_alert</vt:lpstr>
      <vt:lpstr>PEEP</vt:lpstr>
      <vt:lpstr>Pressure_Switch_Off_Time</vt:lpstr>
      <vt:lpstr>Pressure_Switch_On_Time</vt:lpstr>
      <vt:lpstr>Respatory_rate</vt:lpstr>
      <vt:lpstr>RTC_Calibration</vt:lpstr>
      <vt:lpstr>'Control Logic'!RTC_to_seconds</vt:lpstr>
      <vt:lpstr>segment</vt:lpstr>
      <vt:lpstr>ticks_per_exhale</vt:lpstr>
      <vt:lpstr>ticks_per_inhale</vt:lpstr>
      <vt:lpstr>ticksPerBreath</vt:lpstr>
      <vt:lpstr>time_for_breath_RT</vt:lpstr>
      <vt:lpstr>time_per_breath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Collins</dc:creator>
  <cp:lastModifiedBy>Donox</cp:lastModifiedBy>
  <dcterms:created xsi:type="dcterms:W3CDTF">2020-03-28T05:53:11Z</dcterms:created>
  <dcterms:modified xsi:type="dcterms:W3CDTF">2020-04-09T20:56:55Z</dcterms:modified>
</cp:coreProperties>
</file>